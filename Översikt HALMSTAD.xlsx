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46255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46255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46255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46255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46255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46255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46255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46255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46255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46255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46255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46255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46255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46255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46255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46255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46255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46255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46255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46255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46255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46255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46255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46255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46255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46255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46255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46255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Dunmossa</t>
        </is>
      </c>
      <c r="W47">
        <f>HYPERLINK("https://klasma.github.io/Logging_1380/artfynd/A 59260-2022 artfynd.xlsx", "A 59260-2022")</f>
        <v/>
      </c>
      <c r="X47">
        <f>HYPERLINK("https://klasma.github.io/Logging_1380/kartor/A 59260-2022 karta.png", "A 59260-2022")</f>
        <v/>
      </c>
      <c r="Y47">
        <f>HYPERLINK("https://klasma.github.io/Logging_1380/kartor_geotiff/A 59260-2022 georefererad karta.tif", "A 59260-2022")</f>
        <v/>
      </c>
      <c r="AA47">
        <f>HYPERLINK("https://klasma.github.io/Logging_1380/klagomål/A 59260-2022 FSC-klagomål.docx", "A 59260-2022")</f>
        <v/>
      </c>
      <c r="AB47">
        <f>HYPERLINK("https://klasma.github.io/Logging_1380/klagomålsmail/A 59260-2022 FSC-klagomål mail.docx", "A 59260-2022")</f>
        <v/>
      </c>
      <c r="AC47">
        <f>HYPERLINK("https://klasma.github.io/Logging_1380/tillsyn/A 59260-2022 tillsynsbegäran.docx", "A 59260-2022")</f>
        <v/>
      </c>
      <c r="AD47">
        <f>HYPERLINK("https://klasma.github.io/Logging_1380/tillsynsmail/A 59260-2022 tillsynsbegäran mail.docx", "A 59260-2022")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46255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46255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21488-2024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46255</v>
      </c>
      <c r="F50" t="inlineStr">
        <is>
          <t>HALLANDS LÄN</t>
        </is>
      </c>
      <c r="G50" t="inlineStr">
        <is>
          <t>HALMSTAD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Hårginst</t>
        </is>
      </c>
      <c r="W50">
        <f>HYPERLINK("https://klasma.github.io/Logging_1380/artfynd/A 21488-2024 artfynd.xlsx", "A 21488-2024")</f>
        <v/>
      </c>
      <c r="X50">
        <f>HYPERLINK("https://klasma.github.io/Logging_1380/kartor/A 21488-2024 karta.png", "A 21488-2024")</f>
        <v/>
      </c>
      <c r="Y50">
        <f>HYPERLINK("https://klasma.github.io/Logging_1380/kartor_geotiff/A 21488-2024 georefererad karta.tif", "A 21488-2024")</f>
        <v/>
      </c>
      <c r="AA50">
        <f>HYPERLINK("https://klasma.github.io/Logging_1380/klagomål/A 21488-2024 FSC-klagomål.docx", "A 21488-2024")</f>
        <v/>
      </c>
      <c r="AB50">
        <f>HYPERLINK("https://klasma.github.io/Logging_1380/klagomålsmail/A 21488-2024 FSC-klagomål mail.docx", "A 21488-2024")</f>
        <v/>
      </c>
      <c r="AC50">
        <f>HYPERLINK("https://klasma.github.io/Logging_1380/tillsyn/A 21488-2024 tillsynsbegäran.docx", "A 21488-2024")</f>
        <v/>
      </c>
      <c r="AD50">
        <f>HYPERLINK("https://klasma.github.io/Logging_1380/tillsynsmail/A 21488-2024 tillsynsbegäran mail.docx", "A 21488-2024")</f>
        <v/>
      </c>
    </row>
    <row r="51" ht="15" customHeight="1">
      <c r="A51" t="inlineStr">
        <is>
          <t>A 40623-2023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46255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Hårginst</t>
        </is>
      </c>
      <c r="W51">
        <f>HYPERLINK("https://klasma.github.io/Logging_1380/artfynd/A 40623-2023 artfynd.xlsx", "A 40623-2023")</f>
        <v/>
      </c>
      <c r="X51">
        <f>HYPERLINK("https://klasma.github.io/Logging_1380/kartor/A 40623-2023 karta.png", "A 40623-2023")</f>
        <v/>
      </c>
      <c r="Y51">
        <f>HYPERLINK("https://klasma.github.io/Logging_1380/kartor_geotiff/A 40623-2023 georefererad karta.tif", "A 40623-2023")</f>
        <v/>
      </c>
      <c r="AA51">
        <f>HYPERLINK("https://klasma.github.io/Logging_1380/klagomål/A 40623-2023 FSC-klagomål.docx", "A 40623-2023")</f>
        <v/>
      </c>
      <c r="AB51">
        <f>HYPERLINK("https://klasma.github.io/Logging_1380/klagomålsmail/A 40623-2023 FSC-klagomål mail.docx", "A 40623-2023")</f>
        <v/>
      </c>
      <c r="AC51">
        <f>HYPERLINK("https://klasma.github.io/Logging_1380/tillsyn/A 40623-2023 tillsynsbegäran.docx", "A 40623-2023")</f>
        <v/>
      </c>
      <c r="AD51">
        <f>HYPERLINK("https://klasma.github.io/Logging_1380/tillsynsmail/A 40623-2023 tillsynsbegäran mail.docx", "A 40623-2023")</f>
        <v/>
      </c>
    </row>
    <row r="52" ht="15" customHeight="1">
      <c r="A52" t="inlineStr">
        <is>
          <t>A 40659-2023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46255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3.1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40659-2023 artfynd.xlsx", "A 40659-2023")</f>
        <v/>
      </c>
      <c r="X52">
        <f>HYPERLINK("https://klasma.github.io/Logging_1380/kartor/A 40659-2023 karta.png", "A 40659-2023")</f>
        <v/>
      </c>
      <c r="Y52">
        <f>HYPERLINK("https://klasma.github.io/Logging_1380/kartor_geotiff/A 40659-2023 georefererad karta.tif", "A 40659-2023")</f>
        <v/>
      </c>
      <c r="AA52">
        <f>HYPERLINK("https://klasma.github.io/Logging_1380/klagomål/A 40659-2023 FSC-klagomål.docx", "A 40659-2023")</f>
        <v/>
      </c>
      <c r="AB52">
        <f>HYPERLINK("https://klasma.github.io/Logging_1380/klagomålsmail/A 40659-2023 FSC-klagomål mail.docx", "A 40659-2023")</f>
        <v/>
      </c>
      <c r="AC52">
        <f>HYPERLINK("https://klasma.github.io/Logging_1380/tillsyn/A 40659-2023 tillsynsbegäran.docx", "A 40659-2023")</f>
        <v/>
      </c>
      <c r="AD52">
        <f>HYPERLINK("https://klasma.github.io/Logging_1380/tillsynsmail/A 40659-2023 tillsynsbegäran mail.docx", "A 40659-2023")</f>
        <v/>
      </c>
    </row>
    <row r="53" ht="15" customHeight="1">
      <c r="A53" t="inlineStr">
        <is>
          <t>A 2994-2024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46255</v>
      </c>
      <c r="F53" t="inlineStr">
        <is>
          <t>HALLANDS LÄN</t>
        </is>
      </c>
      <c r="G53" t="inlineStr">
        <is>
          <t>HALMSTAD</t>
        </is>
      </c>
      <c r="I53" t="n">
        <v>7.9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HYPERLINK("https://klasma.github.io/Logging_1380/artfynd/A 2994-2024 artfynd.xlsx", "A 2994-2024")</f>
        <v/>
      </c>
      <c r="X53">
        <f>HYPERLINK("https://klasma.github.io/Logging_1380/kartor/A 2994-2024 karta.png", "A 2994-2024")</f>
        <v/>
      </c>
      <c r="Y53">
        <f>HYPERLINK("https://klasma.github.io/Logging_1380/kartor_geotiff/A 2994-2024 georefererad karta.tif", "A 2994-2024")</f>
        <v/>
      </c>
      <c r="AA53">
        <f>HYPERLINK("https://klasma.github.io/Logging_1380/klagomål/A 2994-2024 FSC-klagomål.docx", "A 2994-2024")</f>
        <v/>
      </c>
      <c r="AB53">
        <f>HYPERLINK("https://klasma.github.io/Logging_1380/klagomålsmail/A 2994-2024 FSC-klagomål mail.docx", "A 2994-2024")</f>
        <v/>
      </c>
      <c r="AC53">
        <f>HYPERLINK("https://klasma.github.io/Logging_1380/tillsyn/A 2994-2024 tillsynsbegäran.docx", "A 2994-2024")</f>
        <v/>
      </c>
      <c r="AD53">
        <f>HYPERLINK("https://klasma.github.io/Logging_1380/tillsynsmail/A 2994-2024 tillsynsbegäran mail.docx", "A 2994-2024")</f>
        <v/>
      </c>
    </row>
    <row r="54" ht="15" customHeight="1">
      <c r="A54" t="inlineStr">
        <is>
          <t>A 19588-2023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46255</v>
      </c>
      <c r="F54" t="inlineStr">
        <is>
          <t>HALLANDS LÄN</t>
        </is>
      </c>
      <c r="G54" t="inlineStr">
        <is>
          <t>HALMSTAD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Ljungögontröst</t>
        </is>
      </c>
      <c r="W54">
        <f>HYPERLINK("https://klasma.github.io/Logging_1380/artfynd/A 19588-2023 artfynd.xlsx", "A 19588-2023")</f>
        <v/>
      </c>
      <c r="X54">
        <f>HYPERLINK("https://klasma.github.io/Logging_1380/kartor/A 19588-2023 karta.png", "A 19588-2023")</f>
        <v/>
      </c>
      <c r="Y54">
        <f>HYPERLINK("https://klasma.github.io/Logging_1380/kartor_geotiff/A 19588-2023 georefererad karta.tif", "A 19588-2023")</f>
        <v/>
      </c>
      <c r="AA54">
        <f>HYPERLINK("https://klasma.github.io/Logging_1380/klagomål/A 19588-2023 FSC-klagomål.docx", "A 19588-2023")</f>
        <v/>
      </c>
      <c r="AB54">
        <f>HYPERLINK("https://klasma.github.io/Logging_1380/klagomålsmail/A 19588-2023 FSC-klagomål mail.docx", "A 19588-2023")</f>
        <v/>
      </c>
      <c r="AC54">
        <f>HYPERLINK("https://klasma.github.io/Logging_1380/tillsyn/A 19588-2023 tillsynsbegäran.docx", "A 19588-2023")</f>
        <v/>
      </c>
      <c r="AD54">
        <f>HYPERLINK("https://klasma.github.io/Logging_1380/tillsynsmail/A 19588-2023 tillsynsbegäran mail.docx", "A 19588-2023")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46255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16387-2023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46255</v>
      </c>
      <c r="F56" t="inlineStr">
        <is>
          <t>HALLANDS LÄN</t>
        </is>
      </c>
      <c r="G56" t="inlineStr">
        <is>
          <t>HALMSTAD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HYPERLINK("https://klasma.github.io/Logging_1380/artfynd/A 16387-2023 artfynd.xlsx", "A 16387-2023")</f>
        <v/>
      </c>
      <c r="X56">
        <f>HYPERLINK("https://klasma.github.io/Logging_1380/kartor/A 16387-2023 karta.png", "A 16387-2023")</f>
        <v/>
      </c>
      <c r="Y56">
        <f>HYPERLINK("https://klasma.github.io/Logging_1380/kartor_geotiff/A 16387-2023 georefererad karta.tif", "A 16387-2023")</f>
        <v/>
      </c>
      <c r="AA56">
        <f>HYPERLINK("https://klasma.github.io/Logging_1380/klagomål/A 16387-2023 FSC-klagomål.docx", "A 16387-2023")</f>
        <v/>
      </c>
      <c r="AB56">
        <f>HYPERLINK("https://klasma.github.io/Logging_1380/klagomålsmail/A 16387-2023 FSC-klagomål mail.docx", "A 16387-2023")</f>
        <v/>
      </c>
      <c r="AC56">
        <f>HYPERLINK("https://klasma.github.io/Logging_1380/tillsyn/A 16387-2023 tillsynsbegäran.docx", "A 16387-2023")</f>
        <v/>
      </c>
      <c r="AD56">
        <f>HYPERLINK("https://klasma.github.io/Logging_1380/tillsynsmail/A 16387-2023 tillsynsbegäran mail.docx", "A 16387-2023")</f>
        <v/>
      </c>
      <c r="AE56">
        <f>HYPERLINK("https://klasma.github.io/Logging_1380/fåglar/A 16387-2023 prioriterade fågelarter.docx", "A 16387-2023")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46255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46255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20419-2022 artfynd.xlsx", "A 20419-2022")</f>
        <v/>
      </c>
      <c r="X58">
        <f>HYPERLINK("https://klasma.github.io/Logging_1380/kartor/A 20419-2022 karta.png", "A 20419-2022")</f>
        <v/>
      </c>
      <c r="Y58">
        <f>HYPERLINK("https://klasma.github.io/Logging_1380/kartor_geotiff/A 20419-2022 georefererad karta.tif", "A 20419-2022")</f>
        <v/>
      </c>
      <c r="AA58">
        <f>HYPERLINK("https://klasma.github.io/Logging_1380/klagomål/A 20419-2022 FSC-klagomål.docx", "A 20419-2022")</f>
        <v/>
      </c>
      <c r="AB58">
        <f>HYPERLINK("https://klasma.github.io/Logging_1380/klagomålsmail/A 20419-2022 FSC-klagomål mail.docx", "A 20419-2022")</f>
        <v/>
      </c>
      <c r="AC58">
        <f>HYPERLINK("https://klasma.github.io/Logging_1380/tillsyn/A 20419-2022 tillsynsbegäran.docx", "A 20419-2022")</f>
        <v/>
      </c>
      <c r="AD58">
        <f>HYPERLINK("https://klasma.github.io/Logging_1380/tillsynsmail/A 20419-2022 tillsynsbegäran mail.docx", "A 20419-2022")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46255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46255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9816-2025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46255</v>
      </c>
      <c r="F61" t="inlineStr">
        <is>
          <t>HALLANDS LÄN</t>
        </is>
      </c>
      <c r="G61" t="inlineStr">
        <is>
          <t>HALMSTAD</t>
        </is>
      </c>
      <c r="H61" t="inlineStr">
        <is>
          <t>Övriga statliga verk och myndigheter</t>
        </is>
      </c>
      <c r="I61" t="n">
        <v>9.4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Igelkott</t>
        </is>
      </c>
      <c r="W61">
        <f>HYPERLINK("https://klasma.github.io/Logging_1380/artfynd/A 9816-2025 artfynd.xlsx", "A 9816-2025")</f>
        <v/>
      </c>
      <c r="X61">
        <f>HYPERLINK("https://klasma.github.io/Logging_1380/kartor/A 9816-2025 karta.png", "A 9816-2025")</f>
        <v/>
      </c>
      <c r="Y61">
        <f>HYPERLINK("https://klasma.github.io/Logging_1380/kartor_geotiff/A 9816-2025 georefererad karta.tif", "A 9816-2025")</f>
        <v/>
      </c>
      <c r="AA61">
        <f>HYPERLINK("https://klasma.github.io/Logging_1380/klagomål/A 9816-2025 FSC-klagomål.docx", "A 9816-2025")</f>
        <v/>
      </c>
      <c r="AB61">
        <f>HYPERLINK("https://klasma.github.io/Logging_1380/klagomålsmail/A 9816-2025 FSC-klagomål mail.docx", "A 9816-2025")</f>
        <v/>
      </c>
      <c r="AC61">
        <f>HYPERLINK("https://klasma.github.io/Logging_1380/tillsyn/A 9816-2025 tillsynsbegäran.docx", "A 9816-2025")</f>
        <v/>
      </c>
      <c r="AD61">
        <f>HYPERLINK("https://klasma.github.io/Logging_1380/tillsynsmail/A 9816-2025 tillsynsbegäran mail.docx", "A 9816-2025")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46255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46255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17266-2023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45035</v>
      </c>
      <c r="E64" s="1" t="n">
        <v>46255</v>
      </c>
      <c r="F64" t="inlineStr">
        <is>
          <t>HALLANDS LÄN</t>
        </is>
      </c>
      <c r="G64" t="inlineStr">
        <is>
          <t>HALMSTAD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HYPERLINK("https://klasma.github.io/Logging_1380/artfynd/A 17266-2023 artfynd.xlsx", "A 17266-2023")</f>
        <v/>
      </c>
      <c r="X64">
        <f>HYPERLINK("https://klasma.github.io/Logging_1380/kartor/A 17266-2023 karta.png", "A 17266-2023")</f>
        <v/>
      </c>
      <c r="Y64">
        <f>HYPERLINK("https://klasma.github.io/Logging_1380/kartor_geotiff/A 17266-2023 georefererad karta.tif", "A 17266-2023")</f>
        <v/>
      </c>
      <c r="AA64">
        <f>HYPERLINK("https://klasma.github.io/Logging_1380/klagomål/A 17266-2023 FSC-klagomål.docx", "A 17266-2023")</f>
        <v/>
      </c>
      <c r="AB64">
        <f>HYPERLINK("https://klasma.github.io/Logging_1380/klagomålsmail/A 17266-2023 FSC-klagomål mail.docx", "A 17266-2023")</f>
        <v/>
      </c>
      <c r="AC64">
        <f>HYPERLINK("https://klasma.github.io/Logging_1380/tillsyn/A 17266-2023 tillsynsbegäran.docx", "A 17266-2023")</f>
        <v/>
      </c>
      <c r="AD64">
        <f>HYPERLINK("https://klasma.github.io/Logging_1380/tillsynsmail/A 17266-2023 tillsynsbegäran mail.docx", "A 17266-2023")</f>
        <v/>
      </c>
    </row>
    <row r="65" ht="15" customHeight="1">
      <c r="A65" t="inlineStr">
        <is>
          <t>A 32753-2023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45122</v>
      </c>
      <c r="E65" s="1" t="n">
        <v>46255</v>
      </c>
      <c r="F65" t="inlineStr">
        <is>
          <t>HALLANDS LÄN</t>
        </is>
      </c>
      <c r="G65" t="inlineStr">
        <is>
          <t>HALMSTAD</t>
        </is>
      </c>
      <c r="I65" t="n">
        <v>2.7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Entita</t>
        </is>
      </c>
      <c r="W65">
        <f>HYPERLINK("https://klasma.github.io/Logging_1380/artfynd/A 32753-2023 artfynd.xlsx", "A 32753-2023")</f>
        <v/>
      </c>
      <c r="X65">
        <f>HYPERLINK("https://klasma.github.io/Logging_1380/kartor/A 32753-2023 karta.png", "A 32753-2023")</f>
        <v/>
      </c>
      <c r="Y65">
        <f>HYPERLINK("https://klasma.github.io/Logging_1380/kartor_geotiff/A 32753-2023 georefererad karta.tif", "A 32753-2023")</f>
        <v/>
      </c>
      <c r="AA65">
        <f>HYPERLINK("https://klasma.github.io/Logging_1380/klagomål/A 32753-2023 FSC-klagomål.docx", "A 32753-2023")</f>
        <v/>
      </c>
      <c r="AB65">
        <f>HYPERLINK("https://klasma.github.io/Logging_1380/klagomålsmail/A 32753-2023 FSC-klagomål mail.docx", "A 32753-2023")</f>
        <v/>
      </c>
      <c r="AC65">
        <f>HYPERLINK("https://klasma.github.io/Logging_1380/tillsyn/A 32753-2023 tillsynsbegäran.docx", "A 32753-2023")</f>
        <v/>
      </c>
      <c r="AD65">
        <f>HYPERLINK("https://klasma.github.io/Logging_1380/tillsynsmail/A 32753-2023 tillsynsbegäran mail.docx", "A 32753-2023")</f>
        <v/>
      </c>
      <c r="AE65">
        <f>HYPERLINK("https://klasma.github.io/Logging_1380/fåglar/A 32753-2023 prioriterade fågelarter.docx", "A 32753-2023")</f>
        <v/>
      </c>
    </row>
    <row r="66" ht="15" customHeight="1">
      <c r="A66" t="inlineStr">
        <is>
          <t>A 6987-2026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46255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Dvärgpipistrell</t>
        </is>
      </c>
      <c r="W66">
        <f>HYPERLINK("https://klasma.github.io/Logging_1380/artfynd/A 6987-2026 artfynd.xlsx", "A 6987-2026")</f>
        <v/>
      </c>
      <c r="X66">
        <f>HYPERLINK("https://klasma.github.io/Logging_1380/kartor/A 6987-2026 karta.png", "A 6987-2026")</f>
        <v/>
      </c>
      <c r="Y66">
        <f>HYPERLINK("https://klasma.github.io/Logging_1380/kartor_geotiff/A 6987-2026 georefererad karta.tif", "A 6987-2026")</f>
        <v/>
      </c>
      <c r="AA66">
        <f>HYPERLINK("https://klasma.github.io/Logging_1380/klagomål/A 6987-2026 FSC-klagomål.docx", "A 6987-2026")</f>
        <v/>
      </c>
      <c r="AB66">
        <f>HYPERLINK("https://klasma.github.io/Logging_1380/klagomålsmail/A 6987-2026 FSC-klagomål mail.docx", "A 6987-2026")</f>
        <v/>
      </c>
      <c r="AC66">
        <f>HYPERLINK("https://klasma.github.io/Logging_1380/tillsyn/A 6987-2026 tillsynsbegäran.docx", "A 6987-2026")</f>
        <v/>
      </c>
      <c r="AD66">
        <f>HYPERLINK("https://klasma.github.io/Logging_1380/tillsynsmail/A 6987-2026 tillsynsbegäran mail.docx", "A 6987-2026")</f>
        <v/>
      </c>
    </row>
    <row r="67" ht="15" customHeight="1">
      <c r="A67" t="inlineStr">
        <is>
          <t>A 6767-2026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46255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6767-2026 artfynd.xlsx", "A 6767-2026")</f>
        <v/>
      </c>
      <c r="X67">
        <f>HYPERLINK("https://klasma.github.io/Logging_1380/kartor/A 6767-2026 karta.png", "A 6767-2026")</f>
        <v/>
      </c>
      <c r="Y67">
        <f>HYPERLINK("https://klasma.github.io/Logging_1380/kartor_geotiff/A 6767-2026 georefererad karta.tif", "A 6767-2026")</f>
        <v/>
      </c>
      <c r="AA67">
        <f>HYPERLINK("https://klasma.github.io/Logging_1380/klagomål/A 6767-2026 FSC-klagomål.docx", "A 6767-2026")</f>
        <v/>
      </c>
      <c r="AB67">
        <f>HYPERLINK("https://klasma.github.io/Logging_1380/klagomålsmail/A 6767-2026 FSC-klagomål mail.docx", "A 6767-2026")</f>
        <v/>
      </c>
      <c r="AC67">
        <f>HYPERLINK("https://klasma.github.io/Logging_1380/tillsyn/A 6767-2026 tillsynsbegäran.docx", "A 6767-2026")</f>
        <v/>
      </c>
      <c r="AD67">
        <f>HYPERLINK("https://klasma.github.io/Logging_1380/tillsynsmail/A 6767-2026 tillsynsbegäran mail.docx", "A 6767-2026")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46255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46255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21626-2026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46255</v>
      </c>
      <c r="F70" t="inlineStr">
        <is>
          <t>HALLANDS LÄN</t>
        </is>
      </c>
      <c r="G70" t="inlineStr">
        <is>
          <t>HALMSTAD</t>
        </is>
      </c>
      <c r="I70" t="n">
        <v>9.6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Hårginst</t>
        </is>
      </c>
      <c r="W70">
        <f>HYPERLINK("https://klasma.github.io/Logging_1380/artfynd/A 21626-2026 artfynd.xlsx", "A 21626-2026")</f>
        <v/>
      </c>
      <c r="X70">
        <f>HYPERLINK("https://klasma.github.io/Logging_1380/kartor/A 21626-2026 karta.png", "A 21626-2026")</f>
        <v/>
      </c>
      <c r="Y70">
        <f>HYPERLINK("https://klasma.github.io/Logging_1380/kartor_geotiff/A 21626-2026 georefererad karta.tif", "A 21626-2026")</f>
        <v/>
      </c>
      <c r="AA70">
        <f>HYPERLINK("https://klasma.github.io/Logging_1380/klagomål/A 21626-2026 FSC-klagomål.docx", "A 21626-2026")</f>
        <v/>
      </c>
      <c r="AB70">
        <f>HYPERLINK("https://klasma.github.io/Logging_1380/klagomålsmail/A 21626-2026 FSC-klagomål mail.docx", "A 21626-2026")</f>
        <v/>
      </c>
      <c r="AC70">
        <f>HYPERLINK("https://klasma.github.io/Logging_1380/tillsyn/A 21626-2026 tillsynsbegäran.docx", "A 21626-2026")</f>
        <v/>
      </c>
      <c r="AD70">
        <f>HYPERLINK("https://klasma.github.io/Logging_1380/tillsynsmail/A 21626-2026 tillsynsbegäran mail.docx", "A 21626-2026")</f>
        <v/>
      </c>
    </row>
    <row r="71" ht="15" customHeight="1">
      <c r="A71" t="inlineStr">
        <is>
          <t>A 23305-2026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46162</v>
      </c>
      <c r="E71" s="1" t="n">
        <v>46255</v>
      </c>
      <c r="F71" t="inlineStr">
        <is>
          <t>HALLANDS LÄN</t>
        </is>
      </c>
      <c r="G71" t="inlineStr">
        <is>
          <t>HALMSTAD</t>
        </is>
      </c>
      <c r="I71" t="n">
        <v>1.6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23305-2026 artfynd.xlsx", "A 23305-2026")</f>
        <v/>
      </c>
      <c r="X71">
        <f>HYPERLINK("https://klasma.github.io/Logging_1380/kartor/A 23305-2026 karta.png", "A 23305-2026")</f>
        <v/>
      </c>
      <c r="Y71">
        <f>HYPERLINK("https://klasma.github.io/Logging_1380/kartor_geotiff/A 23305-2026 georefererad karta.tif", "A 23305-2026")</f>
        <v/>
      </c>
      <c r="AA71">
        <f>HYPERLINK("https://klasma.github.io/Logging_1380/klagomål/A 23305-2026 FSC-klagomål.docx", "A 23305-2026")</f>
        <v/>
      </c>
      <c r="AB71">
        <f>HYPERLINK("https://klasma.github.io/Logging_1380/klagomålsmail/A 23305-2026 FSC-klagomål mail.docx", "A 23305-2026")</f>
        <v/>
      </c>
      <c r="AC71">
        <f>HYPERLINK("https://klasma.github.io/Logging_1380/tillsyn/A 23305-2026 tillsynsbegäran.docx", "A 23305-2026")</f>
        <v/>
      </c>
      <c r="AD71">
        <f>HYPERLINK("https://klasma.github.io/Logging_1380/tillsynsmail/A 23305-2026 tillsynsbegäran mail.docx", "A 23305-2026")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46255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46255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HYPERLINK("https://klasma.github.io/Logging_1380/artfynd/A 25382-2026 artfynd.xlsx", "A 25382-2026")</f>
        <v/>
      </c>
      <c r="X73">
        <f>HYPERLINK("https://klasma.github.io/Logging_1380/kartor/A 25382-2026 karta.png", "A 25382-2026")</f>
        <v/>
      </c>
      <c r="Y73">
        <f>HYPERLINK("https://klasma.github.io/Logging_1380/kartor_geotiff/A 25382-2026 georefererad karta.tif", "A 25382-2026")</f>
        <v/>
      </c>
      <c r="AA73">
        <f>HYPERLINK("https://klasma.github.io/Logging_1380/klagomål/A 25382-2026 FSC-klagomål.docx", "A 25382-2026")</f>
        <v/>
      </c>
      <c r="AB73">
        <f>HYPERLINK("https://klasma.github.io/Logging_1380/klagomålsmail/A 25382-2026 FSC-klagomål mail.docx", "A 25382-2026")</f>
        <v/>
      </c>
      <c r="AC73">
        <f>HYPERLINK("https://klasma.github.io/Logging_1380/tillsyn/A 25382-2026 tillsynsbegäran.docx", "A 25382-2026")</f>
        <v/>
      </c>
      <c r="AD73">
        <f>HYPERLINK("https://klasma.github.io/Logging_1380/tillsynsmail/A 25382-2026 tillsynsbegäran mail.docx", "A 25382-2026")</f>
        <v/>
      </c>
    </row>
    <row r="74" ht="15" customHeight="1">
      <c r="A74" t="inlineStr">
        <is>
          <t>A 46505-2025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45925</v>
      </c>
      <c r="E74" s="1" t="n">
        <v>46255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46505-2025 artfynd.xlsx", "A 46505-2025")</f>
        <v/>
      </c>
      <c r="X74">
        <f>HYPERLINK("https://klasma.github.io/Logging_1380/kartor/A 46505-2025 karta.png", "A 46505-2025")</f>
        <v/>
      </c>
      <c r="Y74">
        <f>HYPERLINK("https://klasma.github.io/Logging_1380/kartor_geotiff/A 46505-2025 georefererad karta.tif", "A 46505-2025")</f>
        <v/>
      </c>
      <c r="AA74">
        <f>HYPERLINK("https://klasma.github.io/Logging_1380/klagomål/A 46505-2025 FSC-klagomål.docx", "A 46505-2025")</f>
        <v/>
      </c>
      <c r="AB74">
        <f>HYPERLINK("https://klasma.github.io/Logging_1380/klagomålsmail/A 46505-2025 FSC-klagomål mail.docx", "A 46505-2025")</f>
        <v/>
      </c>
      <c r="AC74">
        <f>HYPERLINK("https://klasma.github.io/Logging_1380/tillsyn/A 46505-2025 tillsynsbegäran.docx", "A 46505-2025")</f>
        <v/>
      </c>
      <c r="AD74">
        <f>HYPERLINK("https://klasma.github.io/Logging_1380/tillsynsmail/A 46505-2025 tillsynsbegäran mail.docx", "A 46505-2025")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46255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snok</t>
        </is>
      </c>
      <c r="W75">
        <f>HYPERLINK("https://klasma.github.io/Logging_1380/artfynd/A 25887-2026 artfynd.xlsx", "A 25887-2026")</f>
        <v/>
      </c>
      <c r="X75">
        <f>HYPERLINK("https://klasma.github.io/Logging_1380/kartor/A 25887-2026 karta.png", "A 25887-2026")</f>
        <v/>
      </c>
      <c r="Y75">
        <f>HYPERLINK("https://klasma.github.io/Logging_1380/kartor_geotiff/A 25887-2026 georefererad karta.tif", "A 25887-2026")</f>
        <v/>
      </c>
      <c r="AA75">
        <f>HYPERLINK("https://klasma.github.io/Logging_1380/klagomål/A 25887-2026 FSC-klagomål.docx", "A 25887-2026")</f>
        <v/>
      </c>
      <c r="AB75">
        <f>HYPERLINK("https://klasma.github.io/Logging_1380/klagomålsmail/A 25887-2026 FSC-klagomål mail.docx", "A 25887-2026")</f>
        <v/>
      </c>
      <c r="AC75">
        <f>HYPERLINK("https://klasma.github.io/Logging_1380/tillsyn/A 25887-2026 tillsynsbegäran.docx", "A 25887-2026")</f>
        <v/>
      </c>
      <c r="AD75">
        <f>HYPERLINK("https://klasma.github.io/Logging_1380/tillsynsmail/A 25887-2026 tillsynsbegäran mail.docx", "A 25887-2026")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46255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46255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Månlåsbräken</t>
        </is>
      </c>
      <c r="W77">
        <f>HYPERLINK("https://klasma.github.io/Logging_1380/artfynd/A 1610-2024 artfynd.xlsx", "A 1610-2024")</f>
        <v/>
      </c>
      <c r="X77">
        <f>HYPERLINK("https://klasma.github.io/Logging_1380/kartor/A 1610-2024 karta.png", "A 1610-2024")</f>
        <v/>
      </c>
      <c r="Y77">
        <f>HYPERLINK("https://klasma.github.io/Logging_1380/kartor_geotiff/A 1610-2024 georefererad karta.tif", "A 1610-2024")</f>
        <v/>
      </c>
      <c r="AA77">
        <f>HYPERLINK("https://klasma.github.io/Logging_1380/klagomål/A 1610-2024 FSC-klagomål.docx", "A 1610-2024")</f>
        <v/>
      </c>
      <c r="AB77">
        <f>HYPERLINK("https://klasma.github.io/Logging_1380/klagomålsmail/A 1610-2024 FSC-klagomål mail.docx", "A 1610-2024")</f>
        <v/>
      </c>
      <c r="AC77">
        <f>HYPERLINK("https://klasma.github.io/Logging_1380/tillsyn/A 1610-2024 tillsynsbegäran.docx", "A 1610-2024")</f>
        <v/>
      </c>
      <c r="AD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46255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46255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46255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1</v>
      </c>
      <c r="V80" s="2" t="inlineStr">
        <is>
          <t>Igelkott</t>
        </is>
      </c>
      <c r="W80">
        <f>HYPERLINK("https://klasma.github.io/Logging_1380/artfynd/A 5530-2025 artfynd.xlsx", "A 5530-2025")</f>
        <v/>
      </c>
      <c r="X80">
        <f>HYPERLINK("https://klasma.github.io/Logging_1380/kartor/A 5530-2025 karta.png", "A 5530-2025")</f>
        <v/>
      </c>
      <c r="Y80">
        <f>HYPERLINK("https://klasma.github.io/Logging_1380/kartor_geotiff/A 5530-2025 georefererad karta.tif", "A 5530-2025")</f>
        <v/>
      </c>
      <c r="AA80">
        <f>HYPERLINK("https://klasma.github.io/Logging_1380/klagomål/A 5530-2025 FSC-klagomål.docx", "A 5530-2025")</f>
        <v/>
      </c>
      <c r="AB80">
        <f>HYPERLINK("https://klasma.github.io/Logging_1380/klagomålsmail/A 5530-2025 FSC-klagomål mail.docx", "A 5530-2025")</f>
        <v/>
      </c>
      <c r="AC80">
        <f>HYPERLINK("https://klasma.github.io/Logging_1380/tillsyn/A 5530-2025 tillsynsbegäran.docx", "A 5530-2025")</f>
        <v/>
      </c>
      <c r="AD80">
        <f>HYPERLINK("https://klasma.github.io/Logging_1380/tillsynsmail/A 5530-2025 tillsynsbegäran mail.docx", "A 5530-2025")</f>
        <v/>
      </c>
    </row>
    <row r="81" ht="15" customHeight="1">
      <c r="A81" t="inlineStr">
        <is>
          <t>A 21483-2024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46255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21483-2024 artfynd.xlsx", "A 21483-2024")</f>
        <v/>
      </c>
      <c r="X81">
        <f>HYPERLINK("https://klasma.github.io/Logging_1380/kartor/A 21483-2024 karta.png", "A 21483-2024")</f>
        <v/>
      </c>
      <c r="Y81">
        <f>HYPERLINK("https://klasma.github.io/Logging_1380/kartor_geotiff/A 21483-2024 georefererad karta.tif", "A 21483-2024")</f>
        <v/>
      </c>
      <c r="AA81">
        <f>HYPERLINK("https://klasma.github.io/Logging_1380/klagomål/A 21483-2024 FSC-klagomål.docx", "A 21483-2024")</f>
        <v/>
      </c>
      <c r="AB81">
        <f>HYPERLINK("https://klasma.github.io/Logging_1380/klagomålsmail/A 21483-2024 FSC-klagomål mail.docx", "A 21483-2024")</f>
        <v/>
      </c>
      <c r="AC81">
        <f>HYPERLINK("https://klasma.github.io/Logging_1380/tillsyn/A 21483-2024 tillsynsbegäran.docx", "A 21483-2024")</f>
        <v/>
      </c>
      <c r="AD81">
        <f>HYPERLINK("https://klasma.github.io/Logging_1380/tillsynsmail/A 21483-2024 tillsynsbegäran mail.docx", "A 21483-2024")</f>
        <v/>
      </c>
    </row>
    <row r="82" ht="15" customHeight="1">
      <c r="A82" t="inlineStr">
        <is>
          <t>A 27386-2025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46255</v>
      </c>
      <c r="F82" t="inlineStr">
        <is>
          <t>HALLANDS LÄN</t>
        </is>
      </c>
      <c r="G82" t="inlineStr">
        <is>
          <t>HALMSTAD</t>
        </is>
      </c>
      <c r="I82" t="n">
        <v>8.5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27386-2025 artfynd.xlsx", "A 27386-2025")</f>
        <v/>
      </c>
      <c r="X82">
        <f>HYPERLINK("https://klasma.github.io/Logging_1380/kartor/A 27386-2025 karta.png", "A 27386-2025")</f>
        <v/>
      </c>
      <c r="Y82">
        <f>HYPERLINK("https://klasma.github.io/Logging_1380/kartor_geotiff/A 27386-2025 georefererad karta.tif", "A 27386-2025")</f>
        <v/>
      </c>
      <c r="AA82">
        <f>HYPERLINK("https://klasma.github.io/Logging_1380/klagomål/A 27386-2025 FSC-klagomål.docx", "A 27386-2025")</f>
        <v/>
      </c>
      <c r="AB82">
        <f>HYPERLINK("https://klasma.github.io/Logging_1380/klagomålsmail/A 27386-2025 FSC-klagomål mail.docx", "A 27386-2025")</f>
        <v/>
      </c>
      <c r="AC82">
        <f>HYPERLINK("https://klasma.github.io/Logging_1380/tillsyn/A 27386-2025 tillsynsbegäran.docx", "A 27386-2025")</f>
        <v/>
      </c>
      <c r="AD82">
        <f>HYPERLINK("https://klasma.github.io/Logging_1380/tillsynsmail/A 27386-2025 tillsynsbegäran mail.docx", "A 27386-2025")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46255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46255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46255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46255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46255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46255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46255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46255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46255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46255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46255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46255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46255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46255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46255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46255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46255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46255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46255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46255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46255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46255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46255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46255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46255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46255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46255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46255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46255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46255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46255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46255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46255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46255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46255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46255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46255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46255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46255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46255</v>
      </c>
      <c r="F122" t="inlineStr">
        <is>
          <t>HALLANDS LÄN</t>
        </is>
      </c>
      <c r="G122" t="inlineStr">
        <is>
          <t>HALMSTAD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46255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46255</v>
      </c>
      <c r="F124" t="inlineStr">
        <is>
          <t>HALLANDS LÄN</t>
        </is>
      </c>
      <c r="G124" t="inlineStr">
        <is>
          <t>HALMSTAD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61853-2023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45265</v>
      </c>
      <c r="E125" s="1" t="n">
        <v>46255</v>
      </c>
      <c r="F125" t="inlineStr">
        <is>
          <t>HALLANDS LÄN</t>
        </is>
      </c>
      <c r="G125" t="inlineStr">
        <is>
          <t>HALMSTAD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46255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44802</v>
      </c>
      <c r="E127" s="1" t="n">
        <v>46255</v>
      </c>
      <c r="F127" t="inlineStr">
        <is>
          <t>HALLANDS LÄN</t>
        </is>
      </c>
      <c r="G127" t="inlineStr">
        <is>
          <t>HALMSTAD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46255</v>
      </c>
      <c r="F128" t="inlineStr">
        <is>
          <t>HALLANDS LÄN</t>
        </is>
      </c>
      <c r="G128" t="inlineStr">
        <is>
          <t>HALMSTAD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46255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46255</v>
      </c>
      <c r="F130" t="inlineStr">
        <is>
          <t>HALLANDS LÄN</t>
        </is>
      </c>
      <c r="G130" t="inlineStr">
        <is>
          <t>HALMSTAD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46255</v>
      </c>
      <c r="F131" t="inlineStr">
        <is>
          <t>HALLANDS LÄN</t>
        </is>
      </c>
      <c r="G131" t="inlineStr">
        <is>
          <t>HALMSTAD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46255</v>
      </c>
      <c r="F132" t="inlineStr">
        <is>
          <t>HALLANDS LÄN</t>
        </is>
      </c>
      <c r="G132" t="inlineStr">
        <is>
          <t>HALMSTAD</t>
        </is>
      </c>
      <c r="H132" t="inlineStr">
        <is>
          <t>Kommuner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45476</v>
      </c>
      <c r="E133" s="1" t="n">
        <v>46255</v>
      </c>
      <c r="F133" t="inlineStr">
        <is>
          <t>HALLANDS LÄN</t>
        </is>
      </c>
      <c r="G133" t="inlineStr">
        <is>
          <t>HALMSTAD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46255</v>
      </c>
      <c r="F134" t="inlineStr">
        <is>
          <t>HALLANDS LÄN</t>
        </is>
      </c>
      <c r="G134" t="inlineStr">
        <is>
          <t>HALMSTAD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45488</v>
      </c>
      <c r="E135" s="1" t="n">
        <v>46255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46255</v>
      </c>
      <c r="F136" t="inlineStr">
        <is>
          <t>HALLANDS LÄN</t>
        </is>
      </c>
      <c r="G136" t="inlineStr">
        <is>
          <t>HALMSTAD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46255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54869-2022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44885</v>
      </c>
      <c r="E138" s="1" t="n">
        <v>46255</v>
      </c>
      <c r="F138" t="inlineStr">
        <is>
          <t>HALLANDS LÄN</t>
        </is>
      </c>
      <c r="G138" t="inlineStr">
        <is>
          <t>HALMSTAD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41186-2024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45559</v>
      </c>
      <c r="E139" s="1" t="n">
        <v>46255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46255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70720-2021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46255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46255</v>
      </c>
      <c r="F142" t="inlineStr">
        <is>
          <t>HALLANDS LÄN</t>
        </is>
      </c>
      <c r="G142" t="inlineStr">
        <is>
          <t>HALMSTAD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46255</v>
      </c>
      <c r="F143" t="inlineStr">
        <is>
          <t>HALLANDS LÄN</t>
        </is>
      </c>
      <c r="G143" t="inlineStr">
        <is>
          <t>HALMSTAD</t>
        </is>
      </c>
      <c r="I143" t="n">
        <v>11.8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46255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46255</v>
      </c>
      <c r="F145" t="inlineStr">
        <is>
          <t>HALLANDS LÄN</t>
        </is>
      </c>
      <c r="G145" t="inlineStr">
        <is>
          <t>HALMSTAD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46255</v>
      </c>
      <c r="F146" t="inlineStr">
        <is>
          <t>HALLANDS LÄN</t>
        </is>
      </c>
      <c r="G146" t="inlineStr">
        <is>
          <t>HALMSTAD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46255</v>
      </c>
      <c r="F147" t="inlineStr">
        <is>
          <t>HALLANDS LÄN</t>
        </is>
      </c>
      <c r="G147" t="inlineStr">
        <is>
          <t>HALMSTAD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22070-2022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44711</v>
      </c>
      <c r="E148" s="1" t="n">
        <v>46255</v>
      </c>
      <c r="F148" t="inlineStr">
        <is>
          <t>HALLANDS LÄN</t>
        </is>
      </c>
      <c r="G148" t="inlineStr">
        <is>
          <t>HALMSTAD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46255</v>
      </c>
      <c r="F149" t="inlineStr">
        <is>
          <t>HALLANDS LÄN</t>
        </is>
      </c>
      <c r="G149" t="inlineStr">
        <is>
          <t>HALMSTAD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46255</v>
      </c>
      <c r="F150" t="inlineStr">
        <is>
          <t>HALLANDS LÄN</t>
        </is>
      </c>
      <c r="G150" t="inlineStr">
        <is>
          <t>HALMSTAD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46255</v>
      </c>
      <c r="F151" t="inlineStr">
        <is>
          <t>HALLANDS LÄN</t>
        </is>
      </c>
      <c r="G151" t="inlineStr">
        <is>
          <t>HALMSTAD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46255</v>
      </c>
      <c r="F152" t="inlineStr">
        <is>
          <t>HALLANDS LÄN</t>
        </is>
      </c>
      <c r="G152" t="inlineStr">
        <is>
          <t>HALMSTAD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44687</v>
      </c>
      <c r="E153" s="1" t="n">
        <v>46255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46255</v>
      </c>
      <c r="F154" t="inlineStr">
        <is>
          <t>HALLANDS LÄN</t>
        </is>
      </c>
      <c r="G154" t="inlineStr">
        <is>
          <t>HALMSTAD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44461</v>
      </c>
      <c r="E155" s="1" t="n">
        <v>46255</v>
      </c>
      <c r="F155" t="inlineStr">
        <is>
          <t>HALLANDS LÄN</t>
        </is>
      </c>
      <c r="G155" t="inlineStr">
        <is>
          <t>HALMSTAD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46255</v>
      </c>
      <c r="F156" t="inlineStr">
        <is>
          <t>HALLANDS LÄN</t>
        </is>
      </c>
      <c r="G156" t="inlineStr">
        <is>
          <t>HALMSTAD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46255</v>
      </c>
      <c r="F157" t="inlineStr">
        <is>
          <t>HALLANDS LÄN</t>
        </is>
      </c>
      <c r="G157" t="inlineStr">
        <is>
          <t>HALMSTAD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46255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11.2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46255</v>
      </c>
      <c r="F159" t="inlineStr">
        <is>
          <t>HALLANDS LÄN</t>
        </is>
      </c>
      <c r="G159" t="inlineStr">
        <is>
          <t>HALMSTAD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46255</v>
      </c>
      <c r="F160" t="inlineStr">
        <is>
          <t>HALLANDS LÄN</t>
        </is>
      </c>
      <c r="G160" t="inlineStr">
        <is>
          <t>HALMSTAD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46255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44974</v>
      </c>
      <c r="E162" s="1" t="n">
        <v>46255</v>
      </c>
      <c r="F162" t="inlineStr">
        <is>
          <t>HALLANDS LÄN</t>
        </is>
      </c>
      <c r="G162" t="inlineStr">
        <is>
          <t>HALMSTAD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46255</v>
      </c>
      <c r="F163" t="inlineStr">
        <is>
          <t>HALLANDS LÄN</t>
        </is>
      </c>
      <c r="G163" t="inlineStr">
        <is>
          <t>HALMSTAD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45589</v>
      </c>
      <c r="E164" s="1" t="n">
        <v>46255</v>
      </c>
      <c r="F164" t="inlineStr">
        <is>
          <t>HALLANDS LÄN</t>
        </is>
      </c>
      <c r="G164" t="inlineStr">
        <is>
          <t>HALMSTAD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45627</v>
      </c>
      <c r="E165" s="1" t="n">
        <v>46255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46255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44642</v>
      </c>
      <c r="E167" s="1" t="n">
        <v>46255</v>
      </c>
      <c r="F167" t="inlineStr">
        <is>
          <t>HALLANDS LÄN</t>
        </is>
      </c>
      <c r="G167" t="inlineStr">
        <is>
          <t>HALMSTAD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46255</v>
      </c>
      <c r="F168" t="inlineStr">
        <is>
          <t>HALLANDS LÄN</t>
        </is>
      </c>
      <c r="G168" t="inlineStr">
        <is>
          <t>HALMSTAD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46255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46255</v>
      </c>
      <c r="F170" t="inlineStr">
        <is>
          <t>HALLANDS LÄN</t>
        </is>
      </c>
      <c r="G170" t="inlineStr">
        <is>
          <t>HALMSTAD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46255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33688-2025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46255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46255</v>
      </c>
      <c r="F173" t="inlineStr">
        <is>
          <t>HALLANDS LÄN</t>
        </is>
      </c>
      <c r="G173" t="inlineStr">
        <is>
          <t>HALMSTAD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45769</v>
      </c>
      <c r="E174" s="1" t="n">
        <v>46255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46255</v>
      </c>
      <c r="F175" t="inlineStr">
        <is>
          <t>HALLANDS LÄN</t>
        </is>
      </c>
      <c r="G175" t="inlineStr">
        <is>
          <t>HALMSTAD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45714</v>
      </c>
      <c r="E176" s="1" t="n">
        <v>46255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46255</v>
      </c>
      <c r="F177" t="inlineStr">
        <is>
          <t>HALLANDS LÄN</t>
        </is>
      </c>
      <c r="G177" t="inlineStr">
        <is>
          <t>HALMSTAD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46255</v>
      </c>
      <c r="F178" t="inlineStr">
        <is>
          <t>HALLANDS LÄN</t>
        </is>
      </c>
      <c r="G178" t="inlineStr">
        <is>
          <t>HALMSTAD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46255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46255</v>
      </c>
      <c r="F180" t="inlineStr">
        <is>
          <t>HALLANDS LÄN</t>
        </is>
      </c>
      <c r="G180" t="inlineStr">
        <is>
          <t>HALMSTAD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46255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7639-2022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44607</v>
      </c>
      <c r="E182" s="1" t="n">
        <v>46255</v>
      </c>
      <c r="F182" t="inlineStr">
        <is>
          <t>HALLANDS LÄN</t>
        </is>
      </c>
      <c r="G182" t="inlineStr">
        <is>
          <t>HALMSTAD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46255</v>
      </c>
      <c r="F183" t="inlineStr">
        <is>
          <t>HALLANDS LÄN</t>
        </is>
      </c>
      <c r="G183" t="inlineStr">
        <is>
          <t>HALMSTAD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46255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46255</v>
      </c>
      <c r="F185" t="inlineStr">
        <is>
          <t>HALLANDS LÄN</t>
        </is>
      </c>
      <c r="G185" t="inlineStr">
        <is>
          <t>HALMSTAD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45006</v>
      </c>
      <c r="E186" s="1" t="n">
        <v>46255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46255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46255</v>
      </c>
      <c r="F188" t="inlineStr">
        <is>
          <t>HALLANDS LÄN</t>
        </is>
      </c>
      <c r="G188" t="inlineStr">
        <is>
          <t>HALMSTAD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46255</v>
      </c>
      <c r="F189" t="inlineStr">
        <is>
          <t>HALLANDS LÄN</t>
        </is>
      </c>
      <c r="G189" t="inlineStr">
        <is>
          <t>HALMSTAD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46255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45750</v>
      </c>
      <c r="E191" s="1" t="n">
        <v>46255</v>
      </c>
      <c r="F191" t="inlineStr">
        <is>
          <t>HALLANDS LÄN</t>
        </is>
      </c>
      <c r="G191" t="inlineStr">
        <is>
          <t>HALMSTAD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46255</v>
      </c>
      <c r="F192" t="inlineStr">
        <is>
          <t>HALLANDS LÄN</t>
        </is>
      </c>
      <c r="G192" t="inlineStr">
        <is>
          <t>HALMSTAD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46255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46255</v>
      </c>
      <c r="F194" t="inlineStr">
        <is>
          <t>HALLANDS LÄN</t>
        </is>
      </c>
      <c r="G194" t="inlineStr">
        <is>
          <t>HALMSTAD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46255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45493</v>
      </c>
      <c r="E196" s="1" t="n">
        <v>46255</v>
      </c>
      <c r="F196" t="inlineStr">
        <is>
          <t>HALLANDS LÄN</t>
        </is>
      </c>
      <c r="G196" t="inlineStr">
        <is>
          <t>HALMSTAD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46255</v>
      </c>
      <c r="F197" t="inlineStr">
        <is>
          <t>HALLANDS LÄN</t>
        </is>
      </c>
      <c r="G197" t="inlineStr">
        <is>
          <t>HALMSTAD</t>
        </is>
      </c>
      <c r="I197" t="n">
        <v>9.300000000000001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46255</v>
      </c>
      <c r="F198" t="inlineStr">
        <is>
          <t>HALLANDS LÄN</t>
        </is>
      </c>
      <c r="G198" t="inlineStr">
        <is>
          <t>HALMSTAD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46255</v>
      </c>
      <c r="F199" t="inlineStr">
        <is>
          <t>HALLANDS LÄN</t>
        </is>
      </c>
      <c r="G199" t="inlineStr">
        <is>
          <t>HALMSTAD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46255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46255</v>
      </c>
      <c r="F201" t="inlineStr">
        <is>
          <t>HALLANDS LÄN</t>
        </is>
      </c>
      <c r="G201" t="inlineStr">
        <is>
          <t>HALMSTAD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46255</v>
      </c>
      <c r="F202" t="inlineStr">
        <is>
          <t>HALLANDS LÄN</t>
        </is>
      </c>
      <c r="G202" t="inlineStr">
        <is>
          <t>HALMSTAD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46255</v>
      </c>
      <c r="F203" t="inlineStr">
        <is>
          <t>HALLANDS LÄN</t>
        </is>
      </c>
      <c r="G203" t="inlineStr">
        <is>
          <t>HALMSTAD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45001</v>
      </c>
      <c r="E204" s="1" t="n">
        <v>46255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46255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46255</v>
      </c>
      <c r="F206" t="inlineStr">
        <is>
          <t>HALLANDS LÄN</t>
        </is>
      </c>
      <c r="G206" t="inlineStr">
        <is>
          <t>HALMSTAD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45611</v>
      </c>
      <c r="E207" s="1" t="n">
        <v>46255</v>
      </c>
      <c r="F207" t="inlineStr">
        <is>
          <t>HALLANDS LÄN</t>
        </is>
      </c>
      <c r="G207" t="inlineStr">
        <is>
          <t>HALMSTAD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46255</v>
      </c>
      <c r="F208" t="inlineStr">
        <is>
          <t>HALLANDS LÄN</t>
        </is>
      </c>
      <c r="G208" t="inlineStr">
        <is>
          <t>HALMSTAD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45692</v>
      </c>
      <c r="E209" s="1" t="n">
        <v>46255</v>
      </c>
      <c r="F209" t="inlineStr">
        <is>
          <t>HALLANDS LÄN</t>
        </is>
      </c>
      <c r="G209" t="inlineStr">
        <is>
          <t>HALMSTAD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53539-2022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46255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46255</v>
      </c>
      <c r="F211" t="inlineStr">
        <is>
          <t>HALLANDS LÄN</t>
        </is>
      </c>
      <c r="G211" t="inlineStr">
        <is>
          <t>HALMSTAD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46255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46255</v>
      </c>
      <c r="F213" t="inlineStr">
        <is>
          <t>HALLANDS LÄN</t>
        </is>
      </c>
      <c r="G213" t="inlineStr">
        <is>
          <t>HALMSTAD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46255</v>
      </c>
      <c r="F214" t="inlineStr">
        <is>
          <t>HALLANDS LÄN</t>
        </is>
      </c>
      <c r="G214" t="inlineStr">
        <is>
          <t>HALMSTAD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44699</v>
      </c>
      <c r="E215" s="1" t="n">
        <v>46255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46255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60442-2024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46255</v>
      </c>
      <c r="F217" t="inlineStr">
        <is>
          <t>HALLANDS LÄN</t>
        </is>
      </c>
      <c r="G217" t="inlineStr">
        <is>
          <t>HALMSTAD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46255</v>
      </c>
      <c r="F218" t="inlineStr">
        <is>
          <t>HALLANDS LÄN</t>
        </is>
      </c>
      <c r="G218" t="inlineStr">
        <is>
          <t>HALMSTAD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45311</v>
      </c>
      <c r="E219" s="1" t="n">
        <v>46255</v>
      </c>
      <c r="F219" t="inlineStr">
        <is>
          <t>HALLANDS LÄN</t>
        </is>
      </c>
      <c r="G219" t="inlineStr">
        <is>
          <t>HALMSTAD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44621</v>
      </c>
      <c r="E220" s="1" t="n">
        <v>46255</v>
      </c>
      <c r="F220" t="inlineStr">
        <is>
          <t>HALLANDS LÄN</t>
        </is>
      </c>
      <c r="G220" t="inlineStr">
        <is>
          <t>HALMSTAD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46255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46255</v>
      </c>
      <c r="F222" t="inlineStr">
        <is>
          <t>HALLANDS LÄN</t>
        </is>
      </c>
      <c r="G222" t="inlineStr">
        <is>
          <t>HALMSTAD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46255</v>
      </c>
      <c r="F223" t="inlineStr">
        <is>
          <t>HALLANDS LÄN</t>
        </is>
      </c>
      <c r="G223" t="inlineStr">
        <is>
          <t>HALMSTAD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46255</v>
      </c>
      <c r="F224" t="inlineStr">
        <is>
          <t>HALLANDS LÄN</t>
        </is>
      </c>
      <c r="G224" t="inlineStr">
        <is>
          <t>HALMSTAD</t>
        </is>
      </c>
      <c r="I224" t="n">
        <v>12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46255</v>
      </c>
      <c r="F225" t="inlineStr">
        <is>
          <t>HALLANDS LÄN</t>
        </is>
      </c>
      <c r="G225" t="inlineStr">
        <is>
          <t>HALMSTAD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46255</v>
      </c>
      <c r="F226" t="inlineStr">
        <is>
          <t>HALLANDS LÄN</t>
        </is>
      </c>
      <c r="G226" t="inlineStr">
        <is>
          <t>HALMSTAD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46255</v>
      </c>
      <c r="F227" t="inlineStr">
        <is>
          <t>HALLANDS LÄN</t>
        </is>
      </c>
      <c r="G227" t="inlineStr">
        <is>
          <t>HALMSTAD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45579</v>
      </c>
      <c r="E228" s="1" t="n">
        <v>46255</v>
      </c>
      <c r="F228" t="inlineStr">
        <is>
          <t>HALLANDS LÄN</t>
        </is>
      </c>
      <c r="G228" t="inlineStr">
        <is>
          <t>HALMSTAD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45079</v>
      </c>
      <c r="E229" s="1" t="n">
        <v>46255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45750</v>
      </c>
      <c r="E230" s="1" t="n">
        <v>46255</v>
      </c>
      <c r="F230" t="inlineStr">
        <is>
          <t>HALLANDS LÄN</t>
        </is>
      </c>
      <c r="G230" t="inlineStr">
        <is>
          <t>HALMSTAD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46255</v>
      </c>
      <c r="F231" t="inlineStr">
        <is>
          <t>HALLANDS LÄN</t>
        </is>
      </c>
      <c r="G231" t="inlineStr">
        <is>
          <t>HALMSTAD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46255</v>
      </c>
      <c r="F232" t="inlineStr">
        <is>
          <t>HALLANDS LÄN</t>
        </is>
      </c>
      <c r="G232" t="inlineStr">
        <is>
          <t>HALMSTAD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46255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45874</v>
      </c>
      <c r="E234" s="1" t="n">
        <v>46255</v>
      </c>
      <c r="F234" t="inlineStr">
        <is>
          <t>HALLANDS LÄN</t>
        </is>
      </c>
      <c r="G234" t="inlineStr">
        <is>
          <t>HALMSTAD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46255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45172</v>
      </c>
      <c r="E236" s="1" t="n">
        <v>46255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46255</v>
      </c>
      <c r="F237" t="inlineStr">
        <is>
          <t>HALLANDS LÄN</t>
        </is>
      </c>
      <c r="G237" t="inlineStr">
        <is>
          <t>HALMSTAD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44959</v>
      </c>
      <c r="E238" s="1" t="n">
        <v>46255</v>
      </c>
      <c r="F238" t="inlineStr">
        <is>
          <t>HALLANDS LÄN</t>
        </is>
      </c>
      <c r="G238" t="inlineStr">
        <is>
          <t>HALMSTAD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45876</v>
      </c>
      <c r="E239" s="1" t="n">
        <v>46255</v>
      </c>
      <c r="F239" t="inlineStr">
        <is>
          <t>HALLANDS LÄN</t>
        </is>
      </c>
      <c r="G239" t="inlineStr">
        <is>
          <t>HALMSTAD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46255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46255</v>
      </c>
      <c r="F241" t="inlineStr">
        <is>
          <t>HALLANDS LÄN</t>
        </is>
      </c>
      <c r="G241" t="inlineStr">
        <is>
          <t>HALMSTAD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51302-2021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44461</v>
      </c>
      <c r="E242" s="1" t="n">
        <v>46255</v>
      </c>
      <c r="F242" t="inlineStr">
        <is>
          <t>HALLANDS LÄN</t>
        </is>
      </c>
      <c r="G242" t="inlineStr">
        <is>
          <t>HALMSTAD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46255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46255</v>
      </c>
      <c r="F244" t="inlineStr">
        <is>
          <t>HALLANDS LÄN</t>
        </is>
      </c>
      <c r="G244" t="inlineStr">
        <is>
          <t>HALMSTAD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46255</v>
      </c>
      <c r="F245" t="inlineStr">
        <is>
          <t>HALLANDS LÄN</t>
        </is>
      </c>
      <c r="G245" t="inlineStr">
        <is>
          <t>HALMSTAD</t>
        </is>
      </c>
      <c r="H245" t="inlineStr">
        <is>
          <t>Övriga statliga verk och myndigheter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45000</v>
      </c>
      <c r="E246" s="1" t="n">
        <v>46255</v>
      </c>
      <c r="F246" t="inlineStr">
        <is>
          <t>HALLANDS LÄN</t>
        </is>
      </c>
      <c r="G246" t="inlineStr">
        <is>
          <t>HALMSTAD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46255</v>
      </c>
      <c r="F247" t="inlineStr">
        <is>
          <t>HALLANDS LÄN</t>
        </is>
      </c>
      <c r="G247" t="inlineStr">
        <is>
          <t>HALMSTAD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46255</v>
      </c>
      <c r="F248" t="inlineStr">
        <is>
          <t>HALLANDS LÄN</t>
        </is>
      </c>
      <c r="G248" t="inlineStr">
        <is>
          <t>HALMSTAD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46255</v>
      </c>
      <c r="F249" t="inlineStr">
        <is>
          <t>HALLANDS LÄN</t>
        </is>
      </c>
      <c r="G249" t="inlineStr">
        <is>
          <t>HALMSTAD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46255</v>
      </c>
      <c r="F250" t="inlineStr">
        <is>
          <t>HALLANDS LÄN</t>
        </is>
      </c>
      <c r="G250" t="inlineStr">
        <is>
          <t>HALMSTAD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46255</v>
      </c>
      <c r="F251" t="inlineStr">
        <is>
          <t>HALLANDS LÄN</t>
        </is>
      </c>
      <c r="G251" t="inlineStr">
        <is>
          <t>HALMSTAD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46255</v>
      </c>
      <c r="F252" t="inlineStr">
        <is>
          <t>HALLANDS LÄN</t>
        </is>
      </c>
      <c r="G252" t="inlineStr">
        <is>
          <t>HALMSTAD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46255</v>
      </c>
      <c r="F253" t="inlineStr">
        <is>
          <t>HALLANDS LÄN</t>
        </is>
      </c>
      <c r="G253" t="inlineStr">
        <is>
          <t>HALMSTAD</t>
        </is>
      </c>
      <c r="H253" t="inlineStr">
        <is>
          <t>Kyrkan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46255</v>
      </c>
      <c r="F254" t="inlineStr">
        <is>
          <t>HALLANDS LÄN</t>
        </is>
      </c>
      <c r="G254" t="inlineStr">
        <is>
          <t>HALMSTAD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46079</v>
      </c>
      <c r="E255" s="1" t="n">
        <v>46255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46255</v>
      </c>
      <c r="F256" t="inlineStr">
        <is>
          <t>HALLANDS LÄN</t>
        </is>
      </c>
      <c r="G256" t="inlineStr">
        <is>
          <t>HALMSTAD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59254-2022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46255</v>
      </c>
      <c r="F257" t="inlineStr">
        <is>
          <t>HALLANDS LÄN</t>
        </is>
      </c>
      <c r="G257" t="inlineStr">
        <is>
          <t>HALMSTAD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46255</v>
      </c>
      <c r="F258" t="inlineStr">
        <is>
          <t>HALLANDS LÄN</t>
        </is>
      </c>
      <c r="G258" t="inlineStr">
        <is>
          <t>HALMSTAD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46255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29471-2022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44753</v>
      </c>
      <c r="E260" s="1" t="n">
        <v>46255</v>
      </c>
      <c r="F260" t="inlineStr">
        <is>
          <t>HALLANDS LÄN</t>
        </is>
      </c>
      <c r="G260" t="inlineStr">
        <is>
          <t>HALMSTAD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46255</v>
      </c>
      <c r="F261" t="inlineStr">
        <is>
          <t>HALLANDS LÄN</t>
        </is>
      </c>
      <c r="G261" t="inlineStr">
        <is>
          <t>HALMSTAD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46255</v>
      </c>
      <c r="F262" t="inlineStr">
        <is>
          <t>HALLANDS LÄN</t>
        </is>
      </c>
      <c r="G262" t="inlineStr">
        <is>
          <t>HALMSTAD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46255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46255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46255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46255</v>
      </c>
      <c r="F266" t="inlineStr">
        <is>
          <t>HALLANDS LÄN</t>
        </is>
      </c>
      <c r="G266" t="inlineStr">
        <is>
          <t>HALMSTAD</t>
        </is>
      </c>
      <c r="H266" t="inlineStr">
        <is>
          <t>Kommuner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46255</v>
      </c>
      <c r="F267" t="inlineStr">
        <is>
          <t>HALLANDS LÄN</t>
        </is>
      </c>
      <c r="G267" t="inlineStr">
        <is>
          <t>HALMSTAD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44775</v>
      </c>
      <c r="E268" s="1" t="n">
        <v>46255</v>
      </c>
      <c r="F268" t="inlineStr">
        <is>
          <t>HALLANDS LÄN</t>
        </is>
      </c>
      <c r="G268" t="inlineStr">
        <is>
          <t>HALMSTAD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46255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44823</v>
      </c>
      <c r="E270" s="1" t="n">
        <v>46255</v>
      </c>
      <c r="F270" t="inlineStr">
        <is>
          <t>HALLANDS LÄN</t>
        </is>
      </c>
      <c r="G270" t="inlineStr">
        <is>
          <t>HALMSTAD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45488</v>
      </c>
      <c r="E271" s="1" t="n">
        <v>46255</v>
      </c>
      <c r="F271" t="inlineStr">
        <is>
          <t>HALLANDS LÄN</t>
        </is>
      </c>
      <c r="G271" t="inlineStr">
        <is>
          <t>HALMSTAD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45733</v>
      </c>
      <c r="E272" s="1" t="n">
        <v>46255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46255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13.4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46255</v>
      </c>
      <c r="F274" t="inlineStr">
        <is>
          <t>HALLANDS LÄN</t>
        </is>
      </c>
      <c r="G274" t="inlineStr">
        <is>
          <t>HALMSTAD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46255</v>
      </c>
      <c r="F275" t="inlineStr">
        <is>
          <t>HALLANDS LÄN</t>
        </is>
      </c>
      <c r="G275" t="inlineStr">
        <is>
          <t>HALMSTAD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57031-2021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44482</v>
      </c>
      <c r="E276" s="1" t="n">
        <v>46255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44827</v>
      </c>
      <c r="E277" s="1" t="n">
        <v>46255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46255</v>
      </c>
      <c r="F278" t="inlineStr">
        <is>
          <t>HALLANDS LÄN</t>
        </is>
      </c>
      <c r="G278" t="inlineStr">
        <is>
          <t>HALMSTAD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46255</v>
      </c>
      <c r="F279" t="inlineStr">
        <is>
          <t>HALLANDS LÄN</t>
        </is>
      </c>
      <c r="G279" t="inlineStr">
        <is>
          <t>HALMSTAD</t>
        </is>
      </c>
      <c r="H279" t="inlineStr">
        <is>
          <t>Bergvik skog väst AB</t>
        </is>
      </c>
      <c r="I279" t="n">
        <v>19.5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46255</v>
      </c>
      <c r="F280" t="inlineStr">
        <is>
          <t>HALLANDS LÄN</t>
        </is>
      </c>
      <c r="G280" t="inlineStr">
        <is>
          <t>HALMSTAD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46255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46255</v>
      </c>
      <c r="F282" t="inlineStr">
        <is>
          <t>HALLANDS LÄN</t>
        </is>
      </c>
      <c r="G282" t="inlineStr">
        <is>
          <t>HALMSTAD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46255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44885</v>
      </c>
      <c r="E284" s="1" t="n">
        <v>46255</v>
      </c>
      <c r="F284" t="inlineStr">
        <is>
          <t>HALLANDS LÄN</t>
        </is>
      </c>
      <c r="G284" t="inlineStr">
        <is>
          <t>HALMSTAD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46255</v>
      </c>
      <c r="F285" t="inlineStr">
        <is>
          <t>HALLANDS LÄN</t>
        </is>
      </c>
      <c r="G285" t="inlineStr">
        <is>
          <t>HALMSTAD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46255</v>
      </c>
      <c r="F286" t="inlineStr">
        <is>
          <t>HALLANDS LÄN</t>
        </is>
      </c>
      <c r="G286" t="inlineStr">
        <is>
          <t>HALMSTAD</t>
        </is>
      </c>
      <c r="H286" t="inlineStr">
        <is>
          <t>Kyrkan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46255</v>
      </c>
      <c r="F287" t="inlineStr">
        <is>
          <t>HALLANDS LÄN</t>
        </is>
      </c>
      <c r="G287" t="inlineStr">
        <is>
          <t>HALMSTAD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20436-2025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46255</v>
      </c>
      <c r="F288" t="inlineStr">
        <is>
          <t>HALLANDS LÄN</t>
        </is>
      </c>
      <c r="G288" t="inlineStr">
        <is>
          <t>HALMSTAD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44845</v>
      </c>
      <c r="E289" s="1" t="n">
        <v>46255</v>
      </c>
      <c r="F289" t="inlineStr">
        <is>
          <t>HALLANDS LÄN</t>
        </is>
      </c>
      <c r="G289" t="inlineStr">
        <is>
          <t>HALMSTAD</t>
        </is>
      </c>
      <c r="H289" t="inlineStr">
        <is>
          <t>Kyrkan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46255</v>
      </c>
      <c r="F290" t="inlineStr">
        <is>
          <t>HALLANDS LÄN</t>
        </is>
      </c>
      <c r="G290" t="inlineStr">
        <is>
          <t>HALMSTAD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46255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46255</v>
      </c>
      <c r="F292" t="inlineStr">
        <is>
          <t>HALLANDS LÄN</t>
        </is>
      </c>
      <c r="G292" t="inlineStr">
        <is>
          <t>HALMSTAD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46255</v>
      </c>
      <c r="F293" t="inlineStr">
        <is>
          <t>HALLANDS LÄN</t>
        </is>
      </c>
      <c r="G293" t="inlineStr">
        <is>
          <t>HALMSTAD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46255</v>
      </c>
      <c r="F294" t="inlineStr">
        <is>
          <t>HALLANDS LÄN</t>
        </is>
      </c>
      <c r="G294" t="inlineStr">
        <is>
          <t>HALMSTAD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46255</v>
      </c>
      <c r="F295" t="inlineStr">
        <is>
          <t>HALLANDS LÄN</t>
        </is>
      </c>
      <c r="G295" t="inlineStr">
        <is>
          <t>HALMSTAD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46255</v>
      </c>
      <c r="F296" t="inlineStr">
        <is>
          <t>HALLANDS LÄN</t>
        </is>
      </c>
      <c r="G296" t="inlineStr">
        <is>
          <t>HALMSTAD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46255</v>
      </c>
      <c r="F297" t="inlineStr">
        <is>
          <t>HALLANDS LÄN</t>
        </is>
      </c>
      <c r="G297" t="inlineStr">
        <is>
          <t>HALMSTAD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46255</v>
      </c>
      <c r="F298" t="inlineStr">
        <is>
          <t>HALLANDS LÄN</t>
        </is>
      </c>
      <c r="G298" t="inlineStr">
        <is>
          <t>HALMSTAD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46255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46255</v>
      </c>
      <c r="F300" t="inlineStr">
        <is>
          <t>HALLANDS LÄN</t>
        </is>
      </c>
      <c r="G300" t="inlineStr">
        <is>
          <t>HALMSTAD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46255</v>
      </c>
      <c r="F301" t="inlineStr">
        <is>
          <t>HALLANDS LÄN</t>
        </is>
      </c>
      <c r="G301" t="inlineStr">
        <is>
          <t>HALMSTAD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41786-2024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46255</v>
      </c>
      <c r="F302" t="inlineStr">
        <is>
          <t>HALLANDS LÄN</t>
        </is>
      </c>
      <c r="G302" t="inlineStr">
        <is>
          <t>HALMSTAD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45015</v>
      </c>
      <c r="E303" s="1" t="n">
        <v>46255</v>
      </c>
      <c r="F303" t="inlineStr">
        <is>
          <t>HALLANDS LÄN</t>
        </is>
      </c>
      <c r="G303" t="inlineStr">
        <is>
          <t>HALMSTAD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45015</v>
      </c>
      <c r="E304" s="1" t="n">
        <v>46255</v>
      </c>
      <c r="F304" t="inlineStr">
        <is>
          <t>HALLANDS LÄN</t>
        </is>
      </c>
      <c r="G304" t="inlineStr">
        <is>
          <t>HALMSTAD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66311-2021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44518</v>
      </c>
      <c r="E305" s="1" t="n">
        <v>46255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46255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46255</v>
      </c>
      <c r="F307" t="inlineStr">
        <is>
          <t>HALLANDS LÄN</t>
        </is>
      </c>
      <c r="G307" t="inlineStr">
        <is>
          <t>HALMSTAD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45356</v>
      </c>
      <c r="E308" s="1" t="n">
        <v>46255</v>
      </c>
      <c r="F308" t="inlineStr">
        <is>
          <t>HALLANDS LÄN</t>
        </is>
      </c>
      <c r="G308" t="inlineStr">
        <is>
          <t>HALMSTAD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46255</v>
      </c>
      <c r="F309" t="inlineStr">
        <is>
          <t>HALLANDS LÄN</t>
        </is>
      </c>
      <c r="G309" t="inlineStr">
        <is>
          <t>HALMSTAD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46255</v>
      </c>
      <c r="F310" t="inlineStr">
        <is>
          <t>HALLANDS LÄN</t>
        </is>
      </c>
      <c r="G310" t="inlineStr">
        <is>
          <t>HALMSTAD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46255</v>
      </c>
      <c r="F311" t="inlineStr">
        <is>
          <t>HALLANDS LÄN</t>
        </is>
      </c>
      <c r="G311" t="inlineStr">
        <is>
          <t>HALMSTAD</t>
        </is>
      </c>
      <c r="H311" t="inlineStr">
        <is>
          <t>Kommuner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46255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46255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45363</v>
      </c>
      <c r="E314" s="1" t="n">
        <v>46255</v>
      </c>
      <c r="F314" t="inlineStr">
        <is>
          <t>HALLANDS LÄN</t>
        </is>
      </c>
      <c r="G314" t="inlineStr">
        <is>
          <t>HALMSTAD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45561</v>
      </c>
      <c r="E315" s="1" t="n">
        <v>46255</v>
      </c>
      <c r="F315" t="inlineStr">
        <is>
          <t>HALLANDS LÄN</t>
        </is>
      </c>
      <c r="G315" t="inlineStr">
        <is>
          <t>HALMSTAD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46255</v>
      </c>
      <c r="F316" t="inlineStr">
        <is>
          <t>HALLANDS LÄN</t>
        </is>
      </c>
      <c r="G316" t="inlineStr">
        <is>
          <t>HALMSTAD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46255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46255</v>
      </c>
      <c r="F318" t="inlineStr">
        <is>
          <t>HALLANDS LÄN</t>
        </is>
      </c>
      <c r="G318" t="inlineStr">
        <is>
          <t>HALMSTAD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46255</v>
      </c>
      <c r="F319" t="inlineStr">
        <is>
          <t>HALLANDS LÄN</t>
        </is>
      </c>
      <c r="G319" t="inlineStr">
        <is>
          <t>HALMSTAD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46255</v>
      </c>
      <c r="F320" t="inlineStr">
        <is>
          <t>HALLANDS LÄN</t>
        </is>
      </c>
      <c r="G320" t="inlineStr">
        <is>
          <t>HALMSTAD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46255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74038-2021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44557</v>
      </c>
      <c r="E322" s="1" t="n">
        <v>46255</v>
      </c>
      <c r="F322" t="inlineStr">
        <is>
          <t>HALLANDS LÄN</t>
        </is>
      </c>
      <c r="G322" t="inlineStr">
        <is>
          <t>HALMSTAD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46255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46255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46255</v>
      </c>
      <c r="F325" t="inlineStr">
        <is>
          <t>HALLANDS LÄN</t>
        </is>
      </c>
      <c r="G325" t="inlineStr">
        <is>
          <t>HALMSTAD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46128</v>
      </c>
      <c r="E326" s="1" t="n">
        <v>46255</v>
      </c>
      <c r="F326" t="inlineStr">
        <is>
          <t>HALLANDS LÄN</t>
        </is>
      </c>
      <c r="G326" t="inlineStr">
        <is>
          <t>HALMSTAD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45156</v>
      </c>
      <c r="E327" s="1" t="n">
        <v>46255</v>
      </c>
      <c r="F327" t="inlineStr">
        <is>
          <t>HALLANDS LÄN</t>
        </is>
      </c>
      <c r="G327" t="inlineStr">
        <is>
          <t>HALMSTAD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45630</v>
      </c>
      <c r="E328" s="1" t="n">
        <v>46255</v>
      </c>
      <c r="F328" t="inlineStr">
        <is>
          <t>HALLANDS LÄN</t>
        </is>
      </c>
      <c r="G328" t="inlineStr">
        <is>
          <t>HALMSTAD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46255</v>
      </c>
      <c r="F329" t="inlineStr">
        <is>
          <t>HALLANDS LÄN</t>
        </is>
      </c>
      <c r="G329" t="inlineStr">
        <is>
          <t>HALMSTAD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40513-2024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46255</v>
      </c>
      <c r="F330" t="inlineStr">
        <is>
          <t>HALLANDS LÄN</t>
        </is>
      </c>
      <c r="G330" t="inlineStr">
        <is>
          <t>HALMSTAD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46255</v>
      </c>
      <c r="F331" t="inlineStr">
        <is>
          <t>HALLANDS LÄN</t>
        </is>
      </c>
      <c r="G331" t="inlineStr">
        <is>
          <t>HALMSTAD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46255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45348</v>
      </c>
      <c r="E333" s="1" t="n">
        <v>46255</v>
      </c>
      <c r="F333" t="inlineStr">
        <is>
          <t>HALLANDS LÄN</t>
        </is>
      </c>
      <c r="G333" t="inlineStr">
        <is>
          <t>HALMSTAD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45170</v>
      </c>
      <c r="E334" s="1" t="n">
        <v>46255</v>
      </c>
      <c r="F334" t="inlineStr">
        <is>
          <t>HALLANDS LÄN</t>
        </is>
      </c>
      <c r="G334" t="inlineStr">
        <is>
          <t>HALMSTAD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45729</v>
      </c>
      <c r="E335" s="1" t="n">
        <v>46255</v>
      </c>
      <c r="F335" t="inlineStr">
        <is>
          <t>HALLANDS LÄN</t>
        </is>
      </c>
      <c r="G335" t="inlineStr">
        <is>
          <t>HALMSTAD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46255</v>
      </c>
      <c r="F336" t="inlineStr">
        <is>
          <t>HALLANDS LÄN</t>
        </is>
      </c>
      <c r="G336" t="inlineStr">
        <is>
          <t>HALMSTAD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46255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46255</v>
      </c>
      <c r="F338" t="inlineStr">
        <is>
          <t>HALLANDS LÄN</t>
        </is>
      </c>
      <c r="G338" t="inlineStr">
        <is>
          <t>HALMSTAD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44594</v>
      </c>
      <c r="E339" s="1" t="n">
        <v>46255</v>
      </c>
      <c r="F339" t="inlineStr">
        <is>
          <t>HALLANDS LÄN</t>
        </is>
      </c>
      <c r="G339" t="inlineStr">
        <is>
          <t>HALMSTAD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44628</v>
      </c>
      <c r="E340" s="1" t="n">
        <v>46255</v>
      </c>
      <c r="F340" t="inlineStr">
        <is>
          <t>HALLANDS LÄN</t>
        </is>
      </c>
      <c r="G340" t="inlineStr">
        <is>
          <t>HALMSTAD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46255</v>
      </c>
      <c r="F341" t="inlineStr">
        <is>
          <t>HALLANDS LÄN</t>
        </is>
      </c>
      <c r="G341" t="inlineStr">
        <is>
          <t>HALMSTAD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46255</v>
      </c>
      <c r="F342" t="inlineStr">
        <is>
          <t>HALLANDS LÄN</t>
        </is>
      </c>
      <c r="G342" t="inlineStr">
        <is>
          <t>HALMSTAD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46255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45692</v>
      </c>
      <c r="E344" s="1" t="n">
        <v>46255</v>
      </c>
      <c r="F344" t="inlineStr">
        <is>
          <t>HALLANDS LÄN</t>
        </is>
      </c>
      <c r="G344" t="inlineStr">
        <is>
          <t>HALMSTAD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45660</v>
      </c>
      <c r="E345" s="1" t="n">
        <v>46255</v>
      </c>
      <c r="F345" t="inlineStr">
        <is>
          <t>HALLANDS LÄN</t>
        </is>
      </c>
      <c r="G345" t="inlineStr">
        <is>
          <t>HALMSTAD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45316</v>
      </c>
      <c r="E346" s="1" t="n">
        <v>46255</v>
      </c>
      <c r="F346" t="inlineStr">
        <is>
          <t>HALLANDS LÄN</t>
        </is>
      </c>
      <c r="G346" t="inlineStr">
        <is>
          <t>HALMSTAD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46255</v>
      </c>
      <c r="F347" t="inlineStr">
        <is>
          <t>HALLANDS LÄN</t>
        </is>
      </c>
      <c r="G347" t="inlineStr">
        <is>
          <t>HALMSTAD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46255</v>
      </c>
      <c r="F348" t="inlineStr">
        <is>
          <t>HALLANDS LÄN</t>
        </is>
      </c>
      <c r="G348" t="inlineStr">
        <is>
          <t>HALMSTAD</t>
        </is>
      </c>
      <c r="H348" t="inlineStr">
        <is>
          <t>Kommuner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45681</v>
      </c>
      <c r="E349" s="1" t="n">
        <v>46255</v>
      </c>
      <c r="F349" t="inlineStr">
        <is>
          <t>HALLANDS LÄN</t>
        </is>
      </c>
      <c r="G349" t="inlineStr">
        <is>
          <t>HALMSTAD</t>
        </is>
      </c>
      <c r="H349" t="inlineStr">
        <is>
          <t>Kommuner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46255</v>
      </c>
      <c r="F350" t="inlineStr">
        <is>
          <t>HALLANDS LÄN</t>
        </is>
      </c>
      <c r="G350" t="inlineStr">
        <is>
          <t>HALMSTAD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46255</v>
      </c>
      <c r="F351" t="inlineStr">
        <is>
          <t>HALLANDS LÄN</t>
        </is>
      </c>
      <c r="G351" t="inlineStr">
        <is>
          <t>HALMSTAD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46255</v>
      </c>
      <c r="F352" t="inlineStr">
        <is>
          <t>HALLANDS LÄN</t>
        </is>
      </c>
      <c r="G352" t="inlineStr">
        <is>
          <t>HALMSTAD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46255</v>
      </c>
      <c r="F353" t="inlineStr">
        <is>
          <t>HALLANDS LÄN</t>
        </is>
      </c>
      <c r="G353" t="inlineStr">
        <is>
          <t>HALMSTAD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44721</v>
      </c>
      <c r="E354" s="1" t="n">
        <v>46255</v>
      </c>
      <c r="F354" t="inlineStr">
        <is>
          <t>HALLANDS LÄN</t>
        </is>
      </c>
      <c r="G354" t="inlineStr">
        <is>
          <t>HALMSTAD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46255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45636</v>
      </c>
      <c r="E356" s="1" t="n">
        <v>46255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45323</v>
      </c>
      <c r="E357" s="1" t="n">
        <v>46255</v>
      </c>
      <c r="F357" t="inlineStr">
        <is>
          <t>HALLANDS LÄN</t>
        </is>
      </c>
      <c r="G357" t="inlineStr">
        <is>
          <t>HALMSTAD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44662</v>
      </c>
      <c r="E358" s="1" t="n">
        <v>46255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45401</v>
      </c>
      <c r="E359" s="1" t="n">
        <v>46255</v>
      </c>
      <c r="F359" t="inlineStr">
        <is>
          <t>HALLANDS LÄN</t>
        </is>
      </c>
      <c r="G359" t="inlineStr">
        <is>
          <t>HALMSTAD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46255</v>
      </c>
      <c r="F360" t="inlineStr">
        <is>
          <t>HALLANDS LÄN</t>
        </is>
      </c>
      <c r="G360" t="inlineStr">
        <is>
          <t>HALMSTAD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23772-2022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44722</v>
      </c>
      <c r="E361" s="1" t="n">
        <v>46255</v>
      </c>
      <c r="F361" t="inlineStr">
        <is>
          <t>HALLANDS LÄN</t>
        </is>
      </c>
      <c r="G361" t="inlineStr">
        <is>
          <t>HALMSTAD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46255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46255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46255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35376-2024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46255</v>
      </c>
      <c r="F365" t="inlineStr">
        <is>
          <t>HALLANDS LÄN</t>
        </is>
      </c>
      <c r="G365" t="inlineStr">
        <is>
          <t>HALMSTAD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27505-2022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44742</v>
      </c>
      <c r="E366" s="1" t="n">
        <v>46255</v>
      </c>
      <c r="F366" t="inlineStr">
        <is>
          <t>HALLANDS LÄN</t>
        </is>
      </c>
      <c r="G366" t="inlineStr">
        <is>
          <t>HALMSTAD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45183</v>
      </c>
      <c r="E367" s="1" t="n">
        <v>46255</v>
      </c>
      <c r="F367" t="inlineStr">
        <is>
          <t>HALLANDS LÄN</t>
        </is>
      </c>
      <c r="G367" t="inlineStr">
        <is>
          <t>HALMSTAD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46255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46255</v>
      </c>
      <c r="F369" t="inlineStr">
        <is>
          <t>HALLANDS LÄN</t>
        </is>
      </c>
      <c r="G369" t="inlineStr">
        <is>
          <t>HALMSTAD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45169</v>
      </c>
      <c r="E370" s="1" t="n">
        <v>46255</v>
      </c>
      <c r="F370" t="inlineStr">
        <is>
          <t>HALLANDS LÄN</t>
        </is>
      </c>
      <c r="G370" t="inlineStr">
        <is>
          <t>HALMSTAD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44910</v>
      </c>
      <c r="E371" s="1" t="n">
        <v>46255</v>
      </c>
      <c r="F371" t="inlineStr">
        <is>
          <t>HALLANDS LÄN</t>
        </is>
      </c>
      <c r="G371" t="inlineStr">
        <is>
          <t>HALMSTAD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46255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34114-2023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45126</v>
      </c>
      <c r="E373" s="1" t="n">
        <v>46255</v>
      </c>
      <c r="F373" t="inlineStr">
        <is>
          <t>HALLANDS LÄN</t>
        </is>
      </c>
      <c r="G373" t="inlineStr">
        <is>
          <t>HALMSTAD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44712</v>
      </c>
      <c r="E374" s="1" t="n">
        <v>46255</v>
      </c>
      <c r="F374" t="inlineStr">
        <is>
          <t>HALLANDS LÄN</t>
        </is>
      </c>
      <c r="G374" t="inlineStr">
        <is>
          <t>HALMSTAD</t>
        </is>
      </c>
      <c r="I374" t="n">
        <v>9.699999999999999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22181-2026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46255</v>
      </c>
      <c r="F375" t="inlineStr">
        <is>
          <t>HALLANDS LÄN</t>
        </is>
      </c>
      <c r="G375" t="inlineStr">
        <is>
          <t>HALMSTAD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59913-2023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45257</v>
      </c>
      <c r="E376" s="1" t="n">
        <v>46255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46255</v>
      </c>
      <c r="F377" t="inlineStr">
        <is>
          <t>HALLANDS LÄN</t>
        </is>
      </c>
      <c r="G377" t="inlineStr">
        <is>
          <t>HALMSTAD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46255</v>
      </c>
      <c r="F378" t="inlineStr">
        <is>
          <t>HALLANDS LÄN</t>
        </is>
      </c>
      <c r="G378" t="inlineStr">
        <is>
          <t>HALMSTAD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46255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44830</v>
      </c>
      <c r="E380" s="1" t="n">
        <v>46255</v>
      </c>
      <c r="F380" t="inlineStr">
        <is>
          <t>HALLANDS LÄN</t>
        </is>
      </c>
      <c r="G380" t="inlineStr">
        <is>
          <t>HALMSTAD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45279</v>
      </c>
      <c r="E381" s="1" t="n">
        <v>46255</v>
      </c>
      <c r="F381" t="inlineStr">
        <is>
          <t>HALLANDS LÄN</t>
        </is>
      </c>
      <c r="G381" t="inlineStr">
        <is>
          <t>HALMSTAD</t>
        </is>
      </c>
      <c r="H381" t="inlineStr">
        <is>
          <t>Bergvik skog väst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46162</v>
      </c>
      <c r="E382" s="1" t="n">
        <v>46255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46255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45897</v>
      </c>
      <c r="E384" s="1" t="n">
        <v>46255</v>
      </c>
      <c r="F384" t="inlineStr">
        <is>
          <t>HALLANDS LÄN</t>
        </is>
      </c>
      <c r="G384" t="inlineStr">
        <is>
          <t>HALMSTAD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46255</v>
      </c>
      <c r="F385" t="inlineStr">
        <is>
          <t>HALLANDS LÄN</t>
        </is>
      </c>
      <c r="G385" t="inlineStr">
        <is>
          <t>HALMSTAD</t>
        </is>
      </c>
      <c r="H385" t="inlineStr">
        <is>
          <t>Kommuner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46255</v>
      </c>
      <c r="F386" t="inlineStr">
        <is>
          <t>HALLANDS LÄN</t>
        </is>
      </c>
      <c r="G386" t="inlineStr">
        <is>
          <t>HALMSTAD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46255</v>
      </c>
      <c r="F387" t="inlineStr">
        <is>
          <t>HALLANDS LÄN</t>
        </is>
      </c>
      <c r="G387" t="inlineStr">
        <is>
          <t>HALMSTAD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51190-2022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44868</v>
      </c>
      <c r="E388" s="1" t="n">
        <v>46255</v>
      </c>
      <c r="F388" t="inlineStr">
        <is>
          <t>HALLANDS LÄN</t>
        </is>
      </c>
      <c r="G388" t="inlineStr">
        <is>
          <t>HALMSTAD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46255</v>
      </c>
      <c r="F389" t="inlineStr">
        <is>
          <t>HALLANDS LÄN</t>
        </is>
      </c>
      <c r="G389" t="inlineStr">
        <is>
          <t>HALMSTAD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46255</v>
      </c>
      <c r="F390" t="inlineStr">
        <is>
          <t>HALLANDS LÄN</t>
        </is>
      </c>
      <c r="G390" t="inlineStr">
        <is>
          <t>HALMSTAD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46255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45386</v>
      </c>
      <c r="E392" s="1" t="n">
        <v>46255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46255</v>
      </c>
      <c r="F393" t="inlineStr">
        <is>
          <t>HALLANDS LÄN</t>
        </is>
      </c>
      <c r="G393" t="inlineStr">
        <is>
          <t>HALMSTAD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45450</v>
      </c>
      <c r="E394" s="1" t="n">
        <v>46255</v>
      </c>
      <c r="F394" t="inlineStr">
        <is>
          <t>HALLANDS LÄN</t>
        </is>
      </c>
      <c r="G394" t="inlineStr">
        <is>
          <t>HALMSTAD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46255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46255</v>
      </c>
      <c r="F396" t="inlineStr">
        <is>
          <t>HALLANDS LÄN</t>
        </is>
      </c>
      <c r="G396" t="inlineStr">
        <is>
          <t>HALMSTAD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46255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45329</v>
      </c>
      <c r="E398" s="1" t="n">
        <v>46255</v>
      </c>
      <c r="F398" t="inlineStr">
        <is>
          <t>HALLANDS LÄN</t>
        </is>
      </c>
      <c r="G398" t="inlineStr">
        <is>
          <t>HALMSTAD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46255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57037-2021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44482</v>
      </c>
      <c r="E400" s="1" t="n">
        <v>46255</v>
      </c>
      <c r="F400" t="inlineStr">
        <is>
          <t>HALLANDS LÄN</t>
        </is>
      </c>
      <c r="G400" t="inlineStr">
        <is>
          <t>HALMSTAD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54114-2021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44470</v>
      </c>
      <c r="E401" s="1" t="n">
        <v>46255</v>
      </c>
      <c r="F401" t="inlineStr">
        <is>
          <t>HALLANDS LÄN</t>
        </is>
      </c>
      <c r="G401" t="inlineStr">
        <is>
          <t>HALMSTAD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46255</v>
      </c>
      <c r="F402" t="inlineStr">
        <is>
          <t>HALLANDS LÄN</t>
        </is>
      </c>
      <c r="G402" t="inlineStr">
        <is>
          <t>HALMSTAD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45988-2025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45924</v>
      </c>
      <c r="E403" s="1" t="n">
        <v>46255</v>
      </c>
      <c r="F403" t="inlineStr">
        <is>
          <t>HALLANDS LÄN</t>
        </is>
      </c>
      <c r="G403" t="inlineStr">
        <is>
          <t>HALMSTAD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19468-2024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46255</v>
      </c>
      <c r="F404" t="inlineStr">
        <is>
          <t>HALLANDS LÄN</t>
        </is>
      </c>
      <c r="G404" t="inlineStr">
        <is>
          <t>HALMSTAD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62766-2023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45268</v>
      </c>
      <c r="E405" s="1" t="n">
        <v>46255</v>
      </c>
      <c r="F405" t="inlineStr">
        <is>
          <t>HALLANDS LÄN</t>
        </is>
      </c>
      <c r="G405" t="inlineStr">
        <is>
          <t>HALMSTAD</t>
        </is>
      </c>
      <c r="H405" t="inlineStr">
        <is>
          <t>Sveaskog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53763-2022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44875</v>
      </c>
      <c r="E406" s="1" t="n">
        <v>46255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46255</v>
      </c>
      <c r="F407" t="inlineStr">
        <is>
          <t>HALLANDS LÄN</t>
        </is>
      </c>
      <c r="G407" t="inlineStr">
        <is>
          <t>HALMSTAD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46173</v>
      </c>
      <c r="E408" s="1" t="n">
        <v>46255</v>
      </c>
      <c r="F408" t="inlineStr">
        <is>
          <t>HALLANDS LÄN</t>
        </is>
      </c>
      <c r="G408" t="inlineStr">
        <is>
          <t>HALMSTAD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46173</v>
      </c>
      <c r="E409" s="1" t="n">
        <v>46255</v>
      </c>
      <c r="F409" t="inlineStr">
        <is>
          <t>HALLANDS LÄN</t>
        </is>
      </c>
      <c r="G409" t="inlineStr">
        <is>
          <t>HALMSTAD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45404</v>
      </c>
      <c r="E410" s="1" t="n">
        <v>46255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64231-2023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46255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44827</v>
      </c>
      <c r="E412" s="1" t="n">
        <v>46255</v>
      </c>
      <c r="F412" t="inlineStr">
        <is>
          <t>HALLANDS LÄN</t>
        </is>
      </c>
      <c r="G412" t="inlineStr">
        <is>
          <t>HALMSTAD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46176</v>
      </c>
      <c r="E413" s="1" t="n">
        <v>46255</v>
      </c>
      <c r="F413" t="inlineStr">
        <is>
          <t>HALLANDS LÄN</t>
        </is>
      </c>
      <c r="G413" t="inlineStr">
        <is>
          <t>HALMSTAD</t>
        </is>
      </c>
      <c r="I413" t="n">
        <v>17.8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46255</v>
      </c>
      <c r="F414" t="inlineStr">
        <is>
          <t>HALLANDS LÄN</t>
        </is>
      </c>
      <c r="G414" t="inlineStr">
        <is>
          <t>HALMSTAD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46255</v>
      </c>
      <c r="F415" t="inlineStr">
        <is>
          <t>HALLANDS LÄN</t>
        </is>
      </c>
      <c r="G415" t="inlineStr">
        <is>
          <t>HALMSTAD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37161-2022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44806</v>
      </c>
      <c r="E416" s="1" t="n">
        <v>46255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46255</v>
      </c>
      <c r="F417" t="inlineStr">
        <is>
          <t>HALLANDS LÄN</t>
        </is>
      </c>
      <c r="G417" t="inlineStr">
        <is>
          <t>HALMSTAD</t>
        </is>
      </c>
      <c r="I417" t="n">
        <v>12.6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25896-2026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46255</v>
      </c>
      <c r="F418" t="inlineStr">
        <is>
          <t>HALLANDS LÄN</t>
        </is>
      </c>
      <c r="G418" t="inlineStr">
        <is>
          <t>HALMSTAD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19087-2022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44691</v>
      </c>
      <c r="E419" s="1" t="n">
        <v>46255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46255</v>
      </c>
      <c r="F420" t="inlineStr">
        <is>
          <t>HALLANDS LÄN</t>
        </is>
      </c>
      <c r="G420" t="inlineStr">
        <is>
          <t>HALMSTAD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46255</v>
      </c>
      <c r="F421" t="inlineStr">
        <is>
          <t>HALLANDS LÄN</t>
        </is>
      </c>
      <c r="G421" t="inlineStr">
        <is>
          <t>HALMSTAD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46255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57021-2021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46255</v>
      </c>
      <c r="F423" t="inlineStr">
        <is>
          <t>HALLANDS LÄN</t>
        </is>
      </c>
      <c r="G423" t="inlineStr">
        <is>
          <t>HALMSTAD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44466</v>
      </c>
      <c r="E424" s="1" t="n">
        <v>46255</v>
      </c>
      <c r="F424" t="inlineStr">
        <is>
          <t>HALLANDS LÄN</t>
        </is>
      </c>
      <c r="G424" t="inlineStr">
        <is>
          <t>HALMSTAD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44964</v>
      </c>
      <c r="E425" s="1" t="n">
        <v>46255</v>
      </c>
      <c r="F425" t="inlineStr">
        <is>
          <t>HALLANDS LÄN</t>
        </is>
      </c>
      <c r="G425" t="inlineStr">
        <is>
          <t>HALMSTAD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46255</v>
      </c>
      <c r="F426" t="inlineStr">
        <is>
          <t>HALLANDS LÄN</t>
        </is>
      </c>
      <c r="G426" t="inlineStr">
        <is>
          <t>HALMSTAD</t>
        </is>
      </c>
      <c r="H426" t="inlineStr">
        <is>
          <t>Bergvik skog väst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46255</v>
      </c>
      <c r="F427" t="inlineStr">
        <is>
          <t>HALLANDS LÄN</t>
        </is>
      </c>
      <c r="G427" t="inlineStr">
        <is>
          <t>HALMSTAD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46255</v>
      </c>
      <c r="F428" t="inlineStr">
        <is>
          <t>HALLANDS LÄN</t>
        </is>
      </c>
      <c r="G428" t="inlineStr">
        <is>
          <t>HALMSTAD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46255</v>
      </c>
      <c r="F429" t="inlineStr">
        <is>
          <t>HALLANDS LÄN</t>
        </is>
      </c>
      <c r="G429" t="inlineStr">
        <is>
          <t>HALMSTAD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45216</v>
      </c>
      <c r="E430" s="1" t="n">
        <v>46255</v>
      </c>
      <c r="F430" t="inlineStr">
        <is>
          <t>HALLANDS LÄN</t>
        </is>
      </c>
      <c r="G430" t="inlineStr">
        <is>
          <t>HALMSTAD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46255</v>
      </c>
      <c r="F431" t="inlineStr">
        <is>
          <t>HALLANDS LÄN</t>
        </is>
      </c>
      <c r="G431" t="inlineStr">
        <is>
          <t>HALMSTAD</t>
        </is>
      </c>
      <c r="H431" t="inlineStr">
        <is>
          <t>Kommuner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22419-2022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44713</v>
      </c>
      <c r="E432" s="1" t="n">
        <v>46255</v>
      </c>
      <c r="F432" t="inlineStr">
        <is>
          <t>HALLANDS LÄN</t>
        </is>
      </c>
      <c r="G432" t="inlineStr">
        <is>
          <t>HALMSTAD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40639-2023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46255</v>
      </c>
      <c r="F433" t="inlineStr">
        <is>
          <t>HALLANDS LÄN</t>
        </is>
      </c>
      <c r="G433" t="inlineStr">
        <is>
          <t>HALMSTAD</t>
        </is>
      </c>
      <c r="H433" t="inlineStr">
        <is>
          <t>Kommuner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10263-2022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44622</v>
      </c>
      <c r="E434" s="1" t="n">
        <v>46255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54008-2023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46255</v>
      </c>
      <c r="F435" t="inlineStr">
        <is>
          <t>HALLANDS LÄN</t>
        </is>
      </c>
      <c r="G435" t="inlineStr">
        <is>
          <t>HALMSTAD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46255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44852</v>
      </c>
      <c r="E437" s="1" t="n">
        <v>46255</v>
      </c>
      <c r="F437" t="inlineStr">
        <is>
          <t>HALLANDS LÄN</t>
        </is>
      </c>
      <c r="G437" t="inlineStr">
        <is>
          <t>HALMSTAD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46255</v>
      </c>
      <c r="F438" t="inlineStr">
        <is>
          <t>HALLANDS LÄN</t>
        </is>
      </c>
      <c r="G438" t="inlineStr">
        <is>
          <t>HALMSTAD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46255</v>
      </c>
      <c r="F439" t="inlineStr">
        <is>
          <t>HALLANDS LÄN</t>
        </is>
      </c>
      <c r="G439" t="inlineStr">
        <is>
          <t>HALMSTAD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46255</v>
      </c>
      <c r="F440" t="inlineStr">
        <is>
          <t>HALLANDS LÄN</t>
        </is>
      </c>
      <c r="G440" t="inlineStr">
        <is>
          <t>HALMSTAD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46255</v>
      </c>
      <c r="F441" t="inlineStr">
        <is>
          <t>HALLANDS LÄN</t>
        </is>
      </c>
      <c r="G441" t="inlineStr">
        <is>
          <t>HALMSTAD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46255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45323</v>
      </c>
      <c r="E443" s="1" t="n">
        <v>46255</v>
      </c>
      <c r="F443" t="inlineStr">
        <is>
          <t>HALLANDS LÄN</t>
        </is>
      </c>
      <c r="G443" t="inlineStr">
        <is>
          <t>HALMSTAD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46255</v>
      </c>
      <c r="F444" t="inlineStr">
        <is>
          <t>HALLANDS LÄN</t>
        </is>
      </c>
      <c r="G444" t="inlineStr">
        <is>
          <t>HALMSTAD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46255</v>
      </c>
      <c r="F445" t="inlineStr">
        <is>
          <t>HALLANDS LÄN</t>
        </is>
      </c>
      <c r="G445" t="inlineStr">
        <is>
          <t>HALMSTAD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46255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46255</v>
      </c>
      <c r="F447" t="inlineStr">
        <is>
          <t>HALLANDS LÄN</t>
        </is>
      </c>
      <c r="G447" t="inlineStr">
        <is>
          <t>HALMSTAD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46255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46255</v>
      </c>
      <c r="F449" t="inlineStr">
        <is>
          <t>HALLANDS LÄN</t>
        </is>
      </c>
      <c r="G449" t="inlineStr">
        <is>
          <t>HALMSTAD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7542-2026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46059</v>
      </c>
      <c r="E450" s="1" t="n">
        <v>46255</v>
      </c>
      <c r="F450" t="inlineStr">
        <is>
          <t>HALLANDS LÄN</t>
        </is>
      </c>
      <c r="G450" t="inlineStr">
        <is>
          <t>HALMSTAD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46255</v>
      </c>
      <c r="F451" t="inlineStr">
        <is>
          <t>HALLANDS LÄN</t>
        </is>
      </c>
      <c r="G451" t="inlineStr">
        <is>
          <t>HALMSTAD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46255</v>
      </c>
      <c r="F452" t="inlineStr">
        <is>
          <t>HALLANDS LÄN</t>
        </is>
      </c>
      <c r="G452" t="inlineStr">
        <is>
          <t>HALMSTAD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46255</v>
      </c>
      <c r="F453" t="inlineStr">
        <is>
          <t>HALLANDS LÄN</t>
        </is>
      </c>
      <c r="G453" t="inlineStr">
        <is>
          <t>HALMSTAD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22146-2022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44712</v>
      </c>
      <c r="E454" s="1" t="n">
        <v>46255</v>
      </c>
      <c r="F454" t="inlineStr">
        <is>
          <t>HALLANDS LÄN</t>
        </is>
      </c>
      <c r="G454" t="inlineStr">
        <is>
          <t>HALMSTAD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45050</v>
      </c>
      <c r="E455" s="1" t="n">
        <v>46255</v>
      </c>
      <c r="F455" t="inlineStr">
        <is>
          <t>HALLANDS LÄN</t>
        </is>
      </c>
      <c r="G455" t="inlineStr">
        <is>
          <t>HALMSTAD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30093-2023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46255</v>
      </c>
      <c r="F456" t="inlineStr">
        <is>
          <t>HALLANDS LÄN</t>
        </is>
      </c>
      <c r="G456" t="inlineStr">
        <is>
          <t>HALMSTAD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6942-2023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46255</v>
      </c>
      <c r="F457" t="inlineStr">
        <is>
          <t>HALLANDS LÄN</t>
        </is>
      </c>
      <c r="G457" t="inlineStr">
        <is>
          <t>HALMSTAD</t>
        </is>
      </c>
      <c r="H457" t="inlineStr">
        <is>
          <t>Bergvik skog väst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46255</v>
      </c>
      <c r="F458" t="inlineStr">
        <is>
          <t>HALLANDS LÄN</t>
        </is>
      </c>
      <c r="G458" t="inlineStr">
        <is>
          <t>HALMSTAD</t>
        </is>
      </c>
      <c r="H458" t="inlineStr">
        <is>
          <t>Kommuner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46255</v>
      </c>
      <c r="F459" t="inlineStr">
        <is>
          <t>HALLANDS LÄN</t>
        </is>
      </c>
      <c r="G459" t="inlineStr">
        <is>
          <t>HALMSTAD</t>
        </is>
      </c>
      <c r="H459" t="inlineStr">
        <is>
          <t>Kommuner</t>
        </is>
      </c>
      <c r="I459" t="n">
        <v>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40359-2023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46255</v>
      </c>
      <c r="F460" t="inlineStr">
        <is>
          <t>HALLANDS LÄN</t>
        </is>
      </c>
      <c r="G460" t="inlineStr">
        <is>
          <t>HALMSTAD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46255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46255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64230-2023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45279</v>
      </c>
      <c r="E463" s="1" t="n">
        <v>46255</v>
      </c>
      <c r="F463" t="inlineStr">
        <is>
          <t>HALLANDS LÄN</t>
        </is>
      </c>
      <c r="G463" t="inlineStr">
        <is>
          <t>HALMSTAD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46255</v>
      </c>
      <c r="F464" t="inlineStr">
        <is>
          <t>HALLANDS LÄN</t>
        </is>
      </c>
      <c r="G464" t="inlineStr">
        <is>
          <t>HALMSTAD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46255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46255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46104-2023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46255</v>
      </c>
      <c r="F467" t="inlineStr">
        <is>
          <t>HALLANDS LÄN</t>
        </is>
      </c>
      <c r="G467" t="inlineStr">
        <is>
          <t>HALMSTAD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45335</v>
      </c>
      <c r="E468" s="1" t="n">
        <v>46255</v>
      </c>
      <c r="F468" t="inlineStr">
        <is>
          <t>HALLANDS LÄN</t>
        </is>
      </c>
      <c r="G468" t="inlineStr">
        <is>
          <t>HALMSTAD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46255</v>
      </c>
      <c r="F469" t="inlineStr">
        <is>
          <t>HALLANDS LÄN</t>
        </is>
      </c>
      <c r="G469" t="inlineStr">
        <is>
          <t>HALMSTAD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45562</v>
      </c>
      <c r="E470" s="1" t="n">
        <v>46255</v>
      </c>
      <c r="F470" t="inlineStr">
        <is>
          <t>HALLANDS LÄN</t>
        </is>
      </c>
      <c r="G470" t="inlineStr">
        <is>
          <t>HALMSTAD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46255</v>
      </c>
      <c r="F471" t="inlineStr">
        <is>
          <t>HALLANDS LÄN</t>
        </is>
      </c>
      <c r="G471" t="inlineStr">
        <is>
          <t>HALMSTAD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48022-2024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46255</v>
      </c>
      <c r="F472" t="inlineStr">
        <is>
          <t>HALLANDS LÄN</t>
        </is>
      </c>
      <c r="G472" t="inlineStr">
        <is>
          <t>HALMSTAD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12009-2026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46255</v>
      </c>
      <c r="F473" t="inlineStr">
        <is>
          <t>HALLANDS LÄN</t>
        </is>
      </c>
      <c r="G473" t="inlineStr">
        <is>
          <t>HALMSTAD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45065</v>
      </c>
      <c r="E474" s="1" t="n">
        <v>46255</v>
      </c>
      <c r="F474" t="inlineStr">
        <is>
          <t>HALLANDS LÄN</t>
        </is>
      </c>
      <c r="G474" t="inlineStr">
        <is>
          <t>HALMSTAD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46255</v>
      </c>
      <c r="F475" t="inlineStr">
        <is>
          <t>HALLANDS LÄN</t>
        </is>
      </c>
      <c r="G475" t="inlineStr">
        <is>
          <t>HALMSTAD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45079</v>
      </c>
      <c r="E476" s="1" t="n">
        <v>46255</v>
      </c>
      <c r="F476" t="inlineStr">
        <is>
          <t>HALLANDS LÄN</t>
        </is>
      </c>
      <c r="G476" t="inlineStr">
        <is>
          <t>HALMSTAD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46255</v>
      </c>
      <c r="F477" t="inlineStr">
        <is>
          <t>HALLANDS LÄN</t>
        </is>
      </c>
      <c r="G477" t="inlineStr">
        <is>
          <t>HALMSTAD</t>
        </is>
      </c>
      <c r="H477" t="inlineStr">
        <is>
          <t>Kommuner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45712</v>
      </c>
      <c r="E478" s="1" t="n">
        <v>46255</v>
      </c>
      <c r="F478" t="inlineStr">
        <is>
          <t>HALLANDS LÄN</t>
        </is>
      </c>
      <c r="G478" t="inlineStr">
        <is>
          <t>HALMSTAD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46255</v>
      </c>
      <c r="F479" t="inlineStr">
        <is>
          <t>HALLANDS LÄN</t>
        </is>
      </c>
      <c r="G479" t="inlineStr">
        <is>
          <t>HALMSTAD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45258</v>
      </c>
      <c r="E480" s="1" t="n">
        <v>46255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66730-2021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44520</v>
      </c>
      <c r="E481" s="1" t="n">
        <v>46255</v>
      </c>
      <c r="F481" t="inlineStr">
        <is>
          <t>HALLANDS LÄN</t>
        </is>
      </c>
      <c r="G481" t="inlineStr">
        <is>
          <t>HALMSTAD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45680</v>
      </c>
      <c r="E482" s="1" t="n">
        <v>46255</v>
      </c>
      <c r="F482" t="inlineStr">
        <is>
          <t>HALLANDS LÄN</t>
        </is>
      </c>
      <c r="G482" t="inlineStr">
        <is>
          <t>HALMSTAD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45329</v>
      </c>
      <c r="E483" s="1" t="n">
        <v>46255</v>
      </c>
      <c r="F483" t="inlineStr">
        <is>
          <t>HALLANDS LÄN</t>
        </is>
      </c>
      <c r="G483" t="inlineStr">
        <is>
          <t>HALMSTAD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46255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45734</v>
      </c>
      <c r="E485" s="1" t="n">
        <v>46255</v>
      </c>
      <c r="F485" t="inlineStr">
        <is>
          <t>HALLANDS LÄN</t>
        </is>
      </c>
      <c r="G485" t="inlineStr">
        <is>
          <t>HALMSTAD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9149-2024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45358</v>
      </c>
      <c r="E486" s="1" t="n">
        <v>46255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45415</v>
      </c>
      <c r="E487" s="1" t="n">
        <v>46255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51901-2024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45607</v>
      </c>
      <c r="E488" s="1" t="n">
        <v>46255</v>
      </c>
      <c r="F488" t="inlineStr">
        <is>
          <t>HALLANDS LÄN</t>
        </is>
      </c>
      <c r="G488" t="inlineStr">
        <is>
          <t>HALMSTAD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46255</v>
      </c>
      <c r="F489" t="inlineStr">
        <is>
          <t>HALLANDS LÄN</t>
        </is>
      </c>
      <c r="G489" t="inlineStr">
        <is>
          <t>HALMSTAD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46255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19304-2023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45049</v>
      </c>
      <c r="E491" s="1" t="n">
        <v>46255</v>
      </c>
      <c r="F491" t="inlineStr">
        <is>
          <t>HALLANDS LÄN</t>
        </is>
      </c>
      <c r="G491" t="inlineStr">
        <is>
          <t>HALMSTAD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46210</v>
      </c>
      <c r="E492" s="1" t="n">
        <v>46255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46255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46255</v>
      </c>
      <c r="F494" t="inlineStr">
        <is>
          <t>HALLANDS LÄN</t>
        </is>
      </c>
      <c r="G494" t="inlineStr">
        <is>
          <t>HALMSTAD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46255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46255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46255</v>
      </c>
      <c r="F497" t="inlineStr">
        <is>
          <t>HALLANDS LÄN</t>
        </is>
      </c>
      <c r="G497" t="inlineStr">
        <is>
          <t>HALMSTAD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46255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46255</v>
      </c>
      <c r="F499" t="inlineStr">
        <is>
          <t>HALLANDS LÄN</t>
        </is>
      </c>
      <c r="G499" t="inlineStr">
        <is>
          <t>HALMSTAD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21946-2024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45443</v>
      </c>
      <c r="E500" s="1" t="n">
        <v>46255</v>
      </c>
      <c r="F500" t="inlineStr">
        <is>
          <t>HALLANDS LÄN</t>
        </is>
      </c>
      <c r="G500" t="inlineStr">
        <is>
          <t>HALMSTAD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45555</v>
      </c>
      <c r="E501" s="1" t="n">
        <v>46255</v>
      </c>
      <c r="F501" t="inlineStr">
        <is>
          <t>HALLANDS LÄN</t>
        </is>
      </c>
      <c r="G501" t="inlineStr">
        <is>
          <t>HALMSTAD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46754-2024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45583</v>
      </c>
      <c r="E502" s="1" t="n">
        <v>46255</v>
      </c>
      <c r="F502" t="inlineStr">
        <is>
          <t>HALLANDS LÄN</t>
        </is>
      </c>
      <c r="G502" t="inlineStr">
        <is>
          <t>HALMSTAD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45792</v>
      </c>
      <c r="E503" s="1" t="n">
        <v>46255</v>
      </c>
      <c r="F503" t="inlineStr">
        <is>
          <t>HALLANDS LÄN</t>
        </is>
      </c>
      <c r="G503" t="inlineStr">
        <is>
          <t>HALMSTAD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46255</v>
      </c>
      <c r="F504" t="inlineStr">
        <is>
          <t>HALLANDS LÄN</t>
        </is>
      </c>
      <c r="G504" t="inlineStr">
        <is>
          <t>HALMSTAD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45694</v>
      </c>
      <c r="E505" s="1" t="n">
        <v>46255</v>
      </c>
      <c r="F505" t="inlineStr">
        <is>
          <t>HALLANDS LÄN</t>
        </is>
      </c>
      <c r="G505" t="inlineStr">
        <is>
          <t>HALMSTAD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56683-2024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45627</v>
      </c>
      <c r="E506" s="1" t="n">
        <v>46255</v>
      </c>
      <c r="F506" t="inlineStr">
        <is>
          <t>HALLANDS LÄN</t>
        </is>
      </c>
      <c r="G506" t="inlineStr">
        <is>
          <t>HALMSTAD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42190-2024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45562</v>
      </c>
      <c r="E507" s="1" t="n">
        <v>46255</v>
      </c>
      <c r="F507" t="inlineStr">
        <is>
          <t>HALLANDS LÄN</t>
        </is>
      </c>
      <c r="G507" t="inlineStr">
        <is>
          <t>HALMSTAD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44677</v>
      </c>
      <c r="E508" s="1" t="n">
        <v>46255</v>
      </c>
      <c r="F508" t="inlineStr">
        <is>
          <t>HALLANDS LÄN</t>
        </is>
      </c>
      <c r="G508" t="inlineStr">
        <is>
          <t>HALMSTAD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45316</v>
      </c>
      <c r="E509" s="1" t="n">
        <v>46255</v>
      </c>
      <c r="F509" t="inlineStr">
        <is>
          <t>HALLANDS LÄN</t>
        </is>
      </c>
      <c r="G509" t="inlineStr">
        <is>
          <t>HALMSTAD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45716</v>
      </c>
      <c r="E510" s="1" t="n">
        <v>46255</v>
      </c>
      <c r="F510" t="inlineStr">
        <is>
          <t>HALLANDS LÄN</t>
        </is>
      </c>
      <c r="G510" t="inlineStr">
        <is>
          <t>HALMSTAD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45226</v>
      </c>
      <c r="E511" s="1" t="n">
        <v>46255</v>
      </c>
      <c r="F511" t="inlineStr">
        <is>
          <t>HALLANDS LÄN</t>
        </is>
      </c>
      <c r="G511" t="inlineStr">
        <is>
          <t>HALMSTAD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45797</v>
      </c>
      <c r="E512" s="1" t="n">
        <v>46255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45330</v>
      </c>
      <c r="E513" s="1" t="n">
        <v>46255</v>
      </c>
      <c r="F513" t="inlineStr">
        <is>
          <t>HALLANDS LÄN</t>
        </is>
      </c>
      <c r="G513" t="inlineStr">
        <is>
          <t>HALMSTAD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45735</v>
      </c>
      <c r="E514" s="1" t="n">
        <v>46255</v>
      </c>
      <c r="F514" t="inlineStr">
        <is>
          <t>HALLANDS LÄN</t>
        </is>
      </c>
      <c r="G514" t="inlineStr">
        <is>
          <t>HALMSTAD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45359</v>
      </c>
      <c r="E515" s="1" t="n">
        <v>46255</v>
      </c>
      <c r="F515" t="inlineStr">
        <is>
          <t>HALLANDS LÄN</t>
        </is>
      </c>
      <c r="G515" t="inlineStr">
        <is>
          <t>HALMSTAD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27848-2025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45817</v>
      </c>
      <c r="E516" s="1" t="n">
        <v>46255</v>
      </c>
      <c r="F516" t="inlineStr">
        <is>
          <t>HALLANDS LÄN</t>
        </is>
      </c>
      <c r="G516" t="inlineStr">
        <is>
          <t>HALMSTAD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46255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46255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3049-2024</t>
        </is>
      </c>
      <c r="B519" t="inlineStr">
        <is>
          <t>samrådsanmälan</t>
        </is>
      </c>
      <c r="C519" t="inlineStr">
        <is>
          <t>Askåterföring</t>
        </is>
      </c>
      <c r="D519" s="1" t="n">
        <v>45516</v>
      </c>
      <c r="E519" s="1" t="n">
        <v>46255</v>
      </c>
      <c r="F519" t="inlineStr">
        <is>
          <t>HALLANDS LÄN</t>
        </is>
      </c>
      <c r="G519" t="inlineStr">
        <is>
          <t>HALMSTAD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46255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46255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7296-2021</t>
        </is>
      </c>
      <c r="B522" t="inlineStr">
        <is>
          <t>samrådsanmälan</t>
        </is>
      </c>
      <c r="C522" t="inlineStr">
        <is>
          <t>Skogsbilväg</t>
        </is>
      </c>
      <c r="D522" s="1" t="n">
        <v>44469</v>
      </c>
      <c r="E522" s="1" t="n">
        <v>46255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46255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46255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46255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46255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46255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46255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46255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46255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46255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2026-08-21T01:53:39Z</dcterms:created>
  <dcterms:modified xmlns:dcterms="http://purl.org/dc/terms/" xmlns:xsi="http://www.w3.org/2001/XMLSchema-instance" xsi:type="dcterms:W3CDTF">2026-08-21T01:53:39Z</dcterms:modified>
</cp:coreProperties>
</file>
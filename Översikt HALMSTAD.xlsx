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46256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46256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46256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46256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46256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46256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46256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46256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46256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46256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46256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46256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46256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46256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46256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46256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46256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46256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46256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46256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46256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46256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46256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46256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40659-2023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40659-2023 artfynd.xlsx", "A 40659-2023")</f>
        <v/>
      </c>
      <c r="X47">
        <f>HYPERLINK("https://klasma.github.io/Logging_1380/kartor/A 40659-2023 karta.png", "A 40659-2023")</f>
        <v/>
      </c>
      <c r="Y47">
        <f>HYPERLINK("https://klasma.github.io/Logging_1380/kartor_geotiff/A 40659-2023 georefererad karta.tif", "A 40659-2023")</f>
        <v/>
      </c>
      <c r="AA47">
        <f>HYPERLINK("https://klasma.github.io/Logging_1380/klagomål/A 40659-2023 FSC-klagomål.docx", "A 40659-2023")</f>
        <v/>
      </c>
      <c r="AB47">
        <f>HYPERLINK("https://klasma.github.io/Logging_1380/klagomålsmail/A 40659-2023 FSC-klagomål mail.docx", "A 40659-2023")</f>
        <v/>
      </c>
      <c r="AC47">
        <f>HYPERLINK("https://klasma.github.io/Logging_1380/tillsyn/A 40659-2023 tillsynsbegäran.docx", "A 40659-2023")</f>
        <v/>
      </c>
      <c r="AD47">
        <f>HYPERLINK("https://klasma.github.io/Logging_1380/tillsynsmail/A 40659-2023 tillsynsbegäran mail.docx", "A 40659-2023")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46256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46256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46256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5530-2025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45692</v>
      </c>
      <c r="E51" s="1" t="n">
        <v>46256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Igelkott</t>
        </is>
      </c>
      <c r="W51">
        <f>HYPERLINK("https://klasma.github.io/Logging_1380/artfynd/A 5530-2025 artfynd.xlsx", "A 5530-2025")</f>
        <v/>
      </c>
      <c r="X51">
        <f>HYPERLINK("https://klasma.github.io/Logging_1380/kartor/A 5530-2025 karta.png", "A 5530-2025")</f>
        <v/>
      </c>
      <c r="Y51">
        <f>HYPERLINK("https://klasma.github.io/Logging_1380/kartor_geotiff/A 5530-2025 georefererad karta.tif", "A 5530-2025")</f>
        <v/>
      </c>
      <c r="AA51">
        <f>HYPERLINK("https://klasma.github.io/Logging_1380/klagomål/A 5530-2025 FSC-klagomål.docx", "A 5530-2025")</f>
        <v/>
      </c>
      <c r="AB51">
        <f>HYPERLINK("https://klasma.github.io/Logging_1380/klagomålsmail/A 5530-2025 FSC-klagomål mail.docx", "A 5530-2025")</f>
        <v/>
      </c>
      <c r="AC51">
        <f>HYPERLINK("https://klasma.github.io/Logging_1380/tillsyn/A 5530-2025 tillsynsbegäran.docx", "A 5530-2025")</f>
        <v/>
      </c>
      <c r="AD51">
        <f>HYPERLINK("https://klasma.github.io/Logging_1380/tillsynsmail/A 5530-2025 tillsynsbegäran mail.docx", "A 5530-2025")</f>
        <v/>
      </c>
    </row>
    <row r="52" ht="15" customHeight="1">
      <c r="A52" t="inlineStr">
        <is>
          <t>A 17266-2023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45035</v>
      </c>
      <c r="E52" s="1" t="n">
        <v>46256</v>
      </c>
      <c r="F52" t="inlineStr">
        <is>
          <t>HALLANDS LÄN</t>
        </is>
      </c>
      <c r="G52" t="inlineStr">
        <is>
          <t>HALMSTAD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HYPERLINK("https://klasma.github.io/Logging_1380/artfynd/A 17266-2023 artfynd.xlsx", "A 17266-2023")</f>
        <v/>
      </c>
      <c r="X52">
        <f>HYPERLINK("https://klasma.github.io/Logging_1380/kartor/A 17266-2023 karta.png", "A 17266-2023")</f>
        <v/>
      </c>
      <c r="Y52">
        <f>HYPERLINK("https://klasma.github.io/Logging_1380/kartor_geotiff/A 17266-2023 georefererad karta.tif", "A 17266-2023")</f>
        <v/>
      </c>
      <c r="AA52">
        <f>HYPERLINK("https://klasma.github.io/Logging_1380/klagomål/A 17266-2023 FSC-klagomål.docx", "A 17266-2023")</f>
        <v/>
      </c>
      <c r="AB52">
        <f>HYPERLINK("https://klasma.github.io/Logging_1380/klagomålsmail/A 17266-2023 FSC-klagomål mail.docx", "A 17266-2023")</f>
        <v/>
      </c>
      <c r="AC52">
        <f>HYPERLINK("https://klasma.github.io/Logging_1380/tillsyn/A 17266-2023 tillsynsbegäran.docx", "A 17266-2023")</f>
        <v/>
      </c>
      <c r="AD52">
        <f>HYPERLINK("https://klasma.github.io/Logging_1380/tillsynsmail/A 17266-2023 tillsynsbegäran mail.docx", "A 17266-2023")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46256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HYPERLINK("https://klasma.github.io/Logging_1380/artfynd/A 1610-2024 artfynd.xlsx", "A 1610-2024")</f>
        <v/>
      </c>
      <c r="X53">
        <f>HYPERLINK("https://klasma.github.io/Logging_1380/kartor/A 1610-2024 karta.png", "A 1610-2024")</f>
        <v/>
      </c>
      <c r="Y53">
        <f>HYPERLINK("https://klasma.github.io/Logging_1380/kartor_geotiff/A 1610-2024 georefererad karta.tif", "A 1610-2024")</f>
        <v/>
      </c>
      <c r="AA53">
        <f>HYPERLINK("https://klasma.github.io/Logging_1380/klagomål/A 1610-2024 FSC-klagomål.docx", "A 1610-2024")</f>
        <v/>
      </c>
      <c r="AB53">
        <f>HYPERLINK("https://klasma.github.io/Logging_1380/klagomålsmail/A 1610-2024 FSC-klagomål mail.docx", "A 1610-2024")</f>
        <v/>
      </c>
      <c r="AC53">
        <f>HYPERLINK("https://klasma.github.io/Logging_1380/tillsyn/A 1610-2024 tillsynsbegäran.docx", "A 1610-2024")</f>
        <v/>
      </c>
      <c r="AD53">
        <f>HYPERLINK("https://klasma.github.io/Logging_1380/tillsynsmail/A 1610-2024 tillsynsbegäran mail.docx", "A 1610-2024")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46256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Spillkråka</t>
        </is>
      </c>
      <c r="W54">
        <f>HYPERLINK("https://klasma.github.io/Logging_1380/artfynd/A 22842-2022 artfynd.xlsx", "A 22842-2022")</f>
        <v/>
      </c>
      <c r="X54">
        <f>HYPERLINK("https://klasma.github.io/Logging_1380/kartor/A 22842-2022 karta.png", "A 22842-2022")</f>
        <v/>
      </c>
      <c r="Y54">
        <f>HYPERLINK("https://klasma.github.io/Logging_1380/kartor_geotiff/A 22842-2022 georefererad karta.tif", "A 22842-2022")</f>
        <v/>
      </c>
      <c r="AA54">
        <f>HYPERLINK("https://klasma.github.io/Logging_1380/klagomål/A 22842-2022 FSC-klagomål.docx", "A 22842-2022")</f>
        <v/>
      </c>
      <c r="AB54">
        <f>HYPERLINK("https://klasma.github.io/Logging_1380/klagomålsmail/A 22842-2022 FSC-klagomål mail.docx", "A 22842-2022")</f>
        <v/>
      </c>
      <c r="AC54">
        <f>HYPERLINK("https://klasma.github.io/Logging_1380/tillsyn/A 22842-2022 tillsynsbegäran.docx", "A 22842-2022")</f>
        <v/>
      </c>
      <c r="AD54">
        <f>HYPERLINK("https://klasma.github.io/Logging_1380/tillsynsmail/A 22842-2022 tillsynsbegäran mail.docx", "A 22842-2022")</f>
        <v/>
      </c>
      <c r="AE54">
        <f>HYPERLINK("https://klasma.github.io/Logging_1380/fåglar/A 22842-2022 prioriterade fågelarter.docx", "A 22842-2022")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46256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Hårginst</t>
        </is>
      </c>
      <c r="W55">
        <f>HYPERLINK("https://klasma.github.io/Logging_1380/artfynd/A 40623-2023 artfynd.xlsx", "A 40623-2023")</f>
        <v/>
      </c>
      <c r="X55">
        <f>HYPERLINK("https://klasma.github.io/Logging_1380/kartor/A 40623-2023 karta.png", "A 40623-2023")</f>
        <v/>
      </c>
      <c r="Y55">
        <f>HYPERLINK("https://klasma.github.io/Logging_1380/kartor_geotiff/A 40623-2023 georefererad karta.tif", "A 40623-2023")</f>
        <v/>
      </c>
      <c r="AA55">
        <f>HYPERLINK("https://klasma.github.io/Logging_1380/klagomål/A 40623-2023 FSC-klagomål.docx", "A 40623-2023")</f>
        <v/>
      </c>
      <c r="AB55">
        <f>HYPERLINK("https://klasma.github.io/Logging_1380/klagomålsmail/A 40623-2023 FSC-klagomål mail.docx", "A 40623-2023")</f>
        <v/>
      </c>
      <c r="AC55">
        <f>HYPERLINK("https://klasma.github.io/Logging_1380/tillsyn/A 40623-2023 tillsynsbegäran.docx", "A 40623-2023")</f>
        <v/>
      </c>
      <c r="AD55">
        <f>HYPERLINK("https://klasma.github.io/Logging_1380/tillsynsmail/A 40623-2023 tillsynsbegäran mail.docx", "A 40623-2023")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46256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57025-2021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46256</v>
      </c>
      <c r="F57" t="inlineStr">
        <is>
          <t>HALLANDS LÄN</t>
        </is>
      </c>
      <c r="G57" t="inlineStr">
        <is>
          <t>HALMSTAD</t>
        </is>
      </c>
      <c r="I57" t="n">
        <v>5.6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Gulsparv</t>
        </is>
      </c>
      <c r="W57">
        <f>HYPERLINK("https://klasma.github.io/Logging_1380/artfynd/A 57025-2021 artfynd.xlsx", "A 57025-2021")</f>
        <v/>
      </c>
      <c r="X57">
        <f>HYPERLINK("https://klasma.github.io/Logging_1380/kartor/A 57025-2021 karta.png", "A 57025-2021")</f>
        <v/>
      </c>
      <c r="Y57">
        <f>HYPERLINK("https://klasma.github.io/Logging_1380/kartor_geotiff/A 57025-2021 georefererad karta.tif", "A 57025-2021")</f>
        <v/>
      </c>
      <c r="AA57">
        <f>HYPERLINK("https://klasma.github.io/Logging_1380/klagomål/A 57025-2021 FSC-klagomål.docx", "A 57025-2021")</f>
        <v/>
      </c>
      <c r="AB57">
        <f>HYPERLINK("https://klasma.github.io/Logging_1380/klagomålsmail/A 57025-2021 FSC-klagomål mail.docx", "A 57025-2021")</f>
        <v/>
      </c>
      <c r="AC57">
        <f>HYPERLINK("https://klasma.github.io/Logging_1380/tillsyn/A 57025-2021 tillsynsbegäran.docx", "A 57025-2021")</f>
        <v/>
      </c>
      <c r="AD57">
        <f>HYPERLINK("https://klasma.github.io/Logging_1380/tillsynsmail/A 57025-2021 tillsynsbegäran mail.docx", "A 57025-2021")</f>
        <v/>
      </c>
      <c r="AE57">
        <f>HYPERLINK("https://klasma.github.io/Logging_1380/fåglar/A 57025-2021 prioriterade fågelarter.docx", "A 57025-2021")</f>
        <v/>
      </c>
    </row>
    <row r="58" ht="15" customHeight="1">
      <c r="A58" t="inlineStr">
        <is>
          <t>A 21483-2024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46256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21483-2024 artfynd.xlsx", "A 21483-2024")</f>
        <v/>
      </c>
      <c r="X58">
        <f>HYPERLINK("https://klasma.github.io/Logging_1380/kartor/A 21483-2024 karta.png", "A 21483-2024")</f>
        <v/>
      </c>
      <c r="Y58">
        <f>HYPERLINK("https://klasma.github.io/Logging_1380/kartor_geotiff/A 21483-2024 georefererad karta.tif", "A 21483-2024")</f>
        <v/>
      </c>
      <c r="AA58">
        <f>HYPERLINK("https://klasma.github.io/Logging_1380/klagomål/A 21483-2024 FSC-klagomål.docx", "A 21483-2024")</f>
        <v/>
      </c>
      <c r="AB58">
        <f>HYPERLINK("https://klasma.github.io/Logging_1380/klagomålsmail/A 21483-2024 FSC-klagomål mail.docx", "A 21483-2024")</f>
        <v/>
      </c>
      <c r="AC58">
        <f>HYPERLINK("https://klasma.github.io/Logging_1380/tillsyn/A 21483-2024 tillsynsbegäran.docx", "A 21483-2024")</f>
        <v/>
      </c>
      <c r="AD58">
        <f>HYPERLINK("https://klasma.github.io/Logging_1380/tillsynsmail/A 21483-2024 tillsynsbegäran mail.docx", "A 21483-2024")</f>
        <v/>
      </c>
    </row>
    <row r="59" ht="15" customHeight="1">
      <c r="A59" t="inlineStr">
        <is>
          <t>A 36808-2023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46256</v>
      </c>
      <c r="F59" t="inlineStr">
        <is>
          <t>HALLANDS LÄN</t>
        </is>
      </c>
      <c r="G59" t="inlineStr">
        <is>
          <t>HALMSTAD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Ljungögontröst</t>
        </is>
      </c>
      <c r="W59">
        <f>HYPERLINK("https://klasma.github.io/Logging_1380/artfynd/A 36808-2023 artfynd.xlsx", "A 36808-2023")</f>
        <v/>
      </c>
      <c r="X59">
        <f>HYPERLINK("https://klasma.github.io/Logging_1380/kartor/A 36808-2023 karta.png", "A 36808-2023")</f>
        <v/>
      </c>
      <c r="Y59">
        <f>HYPERLINK("https://klasma.github.io/Logging_1380/kartor_geotiff/A 36808-2023 georefererad karta.tif", "A 36808-2023")</f>
        <v/>
      </c>
      <c r="AA59">
        <f>HYPERLINK("https://klasma.github.io/Logging_1380/klagomål/A 36808-2023 FSC-klagomål.docx", "A 36808-2023")</f>
        <v/>
      </c>
      <c r="AB59">
        <f>HYPERLINK("https://klasma.github.io/Logging_1380/klagomålsmail/A 36808-2023 FSC-klagomål mail.docx", "A 36808-2023")</f>
        <v/>
      </c>
      <c r="AC59">
        <f>HYPERLINK("https://klasma.github.io/Logging_1380/tillsyn/A 36808-2023 tillsynsbegäran.docx", "A 36808-2023")</f>
        <v/>
      </c>
      <c r="AD59">
        <f>HYPERLINK("https://klasma.github.io/Logging_1380/tillsynsmail/A 36808-2023 tillsynsbegäran mail.docx", "A 36808-2023")</f>
        <v/>
      </c>
    </row>
    <row r="60" ht="15" customHeight="1">
      <c r="A60" t="inlineStr">
        <is>
          <t>A 10063-2022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46256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10063-2022 artfynd.xlsx", "A 10063-2022")</f>
        <v/>
      </c>
      <c r="X60">
        <f>HYPERLINK("https://klasma.github.io/Logging_1380/kartor/A 10063-2022 karta.png", "A 10063-2022")</f>
        <v/>
      </c>
      <c r="Y60">
        <f>HYPERLINK("https://klasma.github.io/Logging_1380/kartor_geotiff/A 10063-2022 georefererad karta.tif", "A 10063-2022")</f>
        <v/>
      </c>
      <c r="AA60">
        <f>HYPERLINK("https://klasma.github.io/Logging_1380/klagomål/A 10063-2022 FSC-klagomål.docx", "A 10063-2022")</f>
        <v/>
      </c>
      <c r="AB60">
        <f>HYPERLINK("https://klasma.github.io/Logging_1380/klagomålsmail/A 10063-2022 FSC-klagomål mail.docx", "A 10063-2022")</f>
        <v/>
      </c>
      <c r="AC60">
        <f>HYPERLINK("https://klasma.github.io/Logging_1380/tillsyn/A 10063-2022 tillsynsbegäran.docx", "A 10063-2022")</f>
        <v/>
      </c>
      <c r="AD60">
        <f>HYPERLINK("https://klasma.github.io/Logging_1380/tillsynsmail/A 10063-2022 tillsynsbegäran mail.docx", "A 10063-2022")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46256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46256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</t>
        </is>
      </c>
      <c r="W62">
        <f>HYPERLINK("https://klasma.github.io/Logging_1380/artfynd/A 20419-2022 artfynd.xlsx", "A 20419-2022")</f>
        <v/>
      </c>
      <c r="X62">
        <f>HYPERLINK("https://klasma.github.io/Logging_1380/kartor/A 20419-2022 karta.png", "A 20419-2022")</f>
        <v/>
      </c>
      <c r="Y62">
        <f>HYPERLINK("https://klasma.github.io/Logging_1380/kartor_geotiff/A 20419-2022 georefererad karta.tif", "A 20419-2022")</f>
        <v/>
      </c>
      <c r="AA62">
        <f>HYPERLINK("https://klasma.github.io/Logging_1380/klagomål/A 20419-2022 FSC-klagomål.docx", "A 20419-2022")</f>
        <v/>
      </c>
      <c r="AB62">
        <f>HYPERLINK("https://klasma.github.io/Logging_1380/klagomålsmail/A 20419-2022 FSC-klagomål mail.docx", "A 20419-2022")</f>
        <v/>
      </c>
      <c r="AC62">
        <f>HYPERLINK("https://klasma.github.io/Logging_1380/tillsyn/A 20419-2022 tillsynsbegäran.docx", "A 20419-2022")</f>
        <v/>
      </c>
      <c r="AD62">
        <f>HYPERLINK("https://klasma.github.io/Logging_1380/tillsynsmail/A 20419-2022 tillsynsbegäran mail.docx", "A 20419-2022")</f>
        <v/>
      </c>
    </row>
    <row r="63" ht="15" customHeight="1">
      <c r="A63" t="inlineStr">
        <is>
          <t>A 24383-2023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46256</v>
      </c>
      <c r="F63" t="inlineStr">
        <is>
          <t>HALLANDS LÄN</t>
        </is>
      </c>
      <c r="G63" t="inlineStr">
        <is>
          <t>HALMSTAD</t>
        </is>
      </c>
      <c r="I63" t="n">
        <v>3.2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24383-2023 artfynd.xlsx", "A 24383-2023")</f>
        <v/>
      </c>
      <c r="X63">
        <f>HYPERLINK("https://klasma.github.io/Logging_1380/kartor/A 24383-2023 karta.png", "A 24383-2023")</f>
        <v/>
      </c>
      <c r="Y63">
        <f>HYPERLINK("https://klasma.github.io/Logging_1380/kartor_geotiff/A 24383-2023 georefererad karta.tif", "A 24383-2023")</f>
        <v/>
      </c>
      <c r="AA63">
        <f>HYPERLINK("https://klasma.github.io/Logging_1380/klagomål/A 24383-2023 FSC-klagomål.docx", "A 24383-2023")</f>
        <v/>
      </c>
      <c r="AB63">
        <f>HYPERLINK("https://klasma.github.io/Logging_1380/klagomålsmail/A 24383-2023 FSC-klagomål mail.docx", "A 24383-2023")</f>
        <v/>
      </c>
      <c r="AC63">
        <f>HYPERLINK("https://klasma.github.io/Logging_1380/tillsyn/A 24383-2023 tillsynsbegäran.docx", "A 24383-2023")</f>
        <v/>
      </c>
      <c r="AD63">
        <f>HYPERLINK("https://klasma.github.io/Logging_1380/tillsynsmail/A 24383-2023 tillsynsbegäran mail.docx", "A 24383-2023")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46256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46256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46256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37139-2025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46256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Kornknutmossa</t>
        </is>
      </c>
      <c r="W67">
        <f>HYPERLINK("https://klasma.github.io/Logging_1380/artfynd/A 37139-2025 artfynd.xlsx", "A 37139-2025")</f>
        <v/>
      </c>
      <c r="X67">
        <f>HYPERLINK("https://klasma.github.io/Logging_1380/kartor/A 37139-2025 karta.png", "A 37139-2025")</f>
        <v/>
      </c>
      <c r="Y67">
        <f>HYPERLINK("https://klasma.github.io/Logging_1380/kartor_geotiff/A 37139-2025 georefererad karta.tif", "A 37139-2025")</f>
        <v/>
      </c>
      <c r="AA67">
        <f>HYPERLINK("https://klasma.github.io/Logging_1380/klagomål/A 37139-2025 FSC-klagomål.docx", "A 37139-2025")</f>
        <v/>
      </c>
      <c r="AB67">
        <f>HYPERLINK("https://klasma.github.io/Logging_1380/klagomålsmail/A 37139-2025 FSC-klagomål mail.docx", "A 37139-2025")</f>
        <v/>
      </c>
      <c r="AC67">
        <f>HYPERLINK("https://klasma.github.io/Logging_1380/tillsyn/A 37139-2025 tillsynsbegäran.docx", "A 37139-2025")</f>
        <v/>
      </c>
      <c r="AD67">
        <f>HYPERLINK("https://klasma.github.io/Logging_1380/tillsynsmail/A 37139-2025 tillsynsbegäran mail.docx", "A 37139-2025")</f>
        <v/>
      </c>
    </row>
    <row r="68" ht="15" customHeight="1">
      <c r="A68" t="inlineStr">
        <is>
          <t>A 38318-2025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45883</v>
      </c>
      <c r="E68" s="1" t="n">
        <v>46256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HYPERLINK("https://klasma.github.io/Logging_1380/artfynd/A 38318-2025 artfynd.xlsx", "A 38318-2025")</f>
        <v/>
      </c>
      <c r="X68">
        <f>HYPERLINK("https://klasma.github.io/Logging_1380/kartor/A 38318-2025 karta.png", "A 38318-2025")</f>
        <v/>
      </c>
      <c r="Y68">
        <f>HYPERLINK("https://klasma.github.io/Logging_1380/kartor_geotiff/A 38318-2025 georefererad karta.tif", "A 38318-2025")</f>
        <v/>
      </c>
      <c r="AA68">
        <f>HYPERLINK("https://klasma.github.io/Logging_1380/klagomål/A 38318-2025 FSC-klagomål.docx", "A 38318-2025")</f>
        <v/>
      </c>
      <c r="AB68">
        <f>HYPERLINK("https://klasma.github.io/Logging_1380/klagomålsmail/A 38318-2025 FSC-klagomål mail.docx", "A 38318-2025")</f>
        <v/>
      </c>
      <c r="AC68">
        <f>HYPERLINK("https://klasma.github.io/Logging_1380/tillsyn/A 38318-2025 tillsynsbegäran.docx", "A 38318-2025")</f>
        <v/>
      </c>
      <c r="AD68">
        <f>HYPERLINK("https://klasma.github.io/Logging_1380/tillsynsmail/A 38318-2025 tillsynsbegäran mail.docx", "A 38318-2025")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46256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6767-2026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46256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6767-2026 artfynd.xlsx", "A 6767-2026")</f>
        <v/>
      </c>
      <c r="X70">
        <f>HYPERLINK("https://klasma.github.io/Logging_1380/kartor/A 6767-2026 karta.png", "A 6767-2026")</f>
        <v/>
      </c>
      <c r="Y70">
        <f>HYPERLINK("https://klasma.github.io/Logging_1380/kartor_geotiff/A 6767-2026 georefererad karta.tif", "A 6767-2026")</f>
        <v/>
      </c>
      <c r="AA70">
        <f>HYPERLINK("https://klasma.github.io/Logging_1380/klagomål/A 6767-2026 FSC-klagomål.docx", "A 6767-2026")</f>
        <v/>
      </c>
      <c r="AB70">
        <f>HYPERLINK("https://klasma.github.io/Logging_1380/klagomålsmail/A 6767-2026 FSC-klagomål mail.docx", "A 6767-2026")</f>
        <v/>
      </c>
      <c r="AC70">
        <f>HYPERLINK("https://klasma.github.io/Logging_1380/tillsyn/A 6767-2026 tillsynsbegäran.docx", "A 6767-2026")</f>
        <v/>
      </c>
      <c r="AD70">
        <f>HYPERLINK("https://klasma.github.io/Logging_1380/tillsynsmail/A 6767-2026 tillsynsbegäran mail.docx", "A 6767-2026")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46256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46256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46256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46256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53797-2024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46256</v>
      </c>
      <c r="F75" t="inlineStr">
        <is>
          <t>HALLANDS LÄN</t>
        </is>
      </c>
      <c r="G75" t="inlineStr">
        <is>
          <t>HALMSTAD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Dvärglin</t>
        </is>
      </c>
      <c r="W75">
        <f>HYPERLINK("https://klasma.github.io/Logging_1380/artfynd/A 53797-2024 artfynd.xlsx", "A 53797-2024")</f>
        <v/>
      </c>
      <c r="X75">
        <f>HYPERLINK("https://klasma.github.io/Logging_1380/kartor/A 53797-2024 karta.png", "A 53797-2024")</f>
        <v/>
      </c>
      <c r="Y75">
        <f>HYPERLINK("https://klasma.github.io/Logging_1380/kartor_geotiff/A 53797-2024 georefererad karta.tif", "A 53797-2024")</f>
        <v/>
      </c>
      <c r="AA75">
        <f>HYPERLINK("https://klasma.github.io/Logging_1380/klagomål/A 53797-2024 FSC-klagomål.docx", "A 53797-2024")</f>
        <v/>
      </c>
      <c r="AB75">
        <f>HYPERLINK("https://klasma.github.io/Logging_1380/klagomålsmail/A 53797-2024 FSC-klagomål mail.docx", "A 53797-2024")</f>
        <v/>
      </c>
      <c r="AC75">
        <f>HYPERLINK("https://klasma.github.io/Logging_1380/tillsyn/A 53797-2024 tillsynsbegäran.docx", "A 53797-2024")</f>
        <v/>
      </c>
      <c r="AD75">
        <f>HYPERLINK("https://klasma.github.io/Logging_1380/tillsynsmail/A 53797-2024 tillsynsbegäran mail.docx", "A 53797-2024")</f>
        <v/>
      </c>
    </row>
    <row r="76" ht="15" customHeight="1">
      <c r="A76" t="inlineStr">
        <is>
          <t>A 15579-2026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46256</v>
      </c>
      <c r="F76" t="inlineStr">
        <is>
          <t>HALLANDS LÄN</t>
        </is>
      </c>
      <c r="G76" t="inlineStr">
        <is>
          <t>HALMSTAD</t>
        </is>
      </c>
      <c r="I76" t="n">
        <v>3.7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Åkerrättika</t>
        </is>
      </c>
      <c r="W76">
        <f>HYPERLINK("https://klasma.github.io/Logging_1380/artfynd/A 15579-2026 artfynd.xlsx", "A 15579-2026")</f>
        <v/>
      </c>
      <c r="X76">
        <f>HYPERLINK("https://klasma.github.io/Logging_1380/kartor/A 15579-2026 karta.png", "A 15579-2026")</f>
        <v/>
      </c>
      <c r="Y76">
        <f>HYPERLINK("https://klasma.github.io/Logging_1380/kartor_geotiff/A 15579-2026 georefererad karta.tif", "A 15579-2026")</f>
        <v/>
      </c>
      <c r="AA76">
        <f>HYPERLINK("https://klasma.github.io/Logging_1380/klagomål/A 15579-2026 FSC-klagomål.docx", "A 15579-2026")</f>
        <v/>
      </c>
      <c r="AB76">
        <f>HYPERLINK("https://klasma.github.io/Logging_1380/klagomålsmail/A 15579-2026 FSC-klagomål mail.docx", "A 15579-2026")</f>
        <v/>
      </c>
      <c r="AC76">
        <f>HYPERLINK("https://klasma.github.io/Logging_1380/tillsyn/A 15579-2026 tillsynsbegäran.docx", "A 15579-2026")</f>
        <v/>
      </c>
      <c r="AD76">
        <f>HYPERLINK("https://klasma.github.io/Logging_1380/tillsynsmail/A 15579-2026 tillsynsbegäran mail.docx", "A 15579-2026")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46256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Entita</t>
        </is>
      </c>
      <c r="W77">
        <f>HYPERLINK("https://klasma.github.io/Logging_1380/artfynd/A 32753-2023 artfynd.xlsx", "A 32753-2023")</f>
        <v/>
      </c>
      <c r="X77">
        <f>HYPERLINK("https://klasma.github.io/Logging_1380/kartor/A 32753-2023 karta.png", "A 32753-2023")</f>
        <v/>
      </c>
      <c r="Y77">
        <f>HYPERLINK("https://klasma.github.io/Logging_1380/kartor_geotiff/A 32753-2023 georefererad karta.tif", "A 32753-2023")</f>
        <v/>
      </c>
      <c r="AA77">
        <f>HYPERLINK("https://klasma.github.io/Logging_1380/klagomål/A 32753-2023 FSC-klagomål.docx", "A 32753-2023")</f>
        <v/>
      </c>
      <c r="AB77">
        <f>HYPERLINK("https://klasma.github.io/Logging_1380/klagomålsmail/A 32753-2023 FSC-klagomål mail.docx", "A 32753-2023")</f>
        <v/>
      </c>
      <c r="AC77">
        <f>HYPERLINK("https://klasma.github.io/Logging_1380/tillsyn/A 32753-2023 tillsynsbegäran.docx", "A 32753-2023")</f>
        <v/>
      </c>
      <c r="AD77">
        <f>HYPERLINK("https://klasma.github.io/Logging_1380/tillsynsmail/A 32753-2023 tillsynsbegäran mail.docx", "A 32753-2023")</f>
        <v/>
      </c>
      <c r="AE77">
        <f>HYPERLINK("https://klasma.github.io/Logging_1380/fåglar/A 32753-2023 prioriterade fågelarter.docx", "A 32753-2023")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46256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46256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46256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21626-2026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46256</v>
      </c>
      <c r="F81" t="inlineStr">
        <is>
          <t>HALLANDS LÄN</t>
        </is>
      </c>
      <c r="G81" t="inlineStr">
        <is>
          <t>HALMSTAD</t>
        </is>
      </c>
      <c r="I81" t="n">
        <v>9.6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21626-2026 artfynd.xlsx", "A 21626-2026")</f>
        <v/>
      </c>
      <c r="X81">
        <f>HYPERLINK("https://klasma.github.io/Logging_1380/kartor/A 21626-2026 karta.png", "A 21626-2026")</f>
        <v/>
      </c>
      <c r="Y81">
        <f>HYPERLINK("https://klasma.github.io/Logging_1380/kartor_geotiff/A 21626-2026 georefererad karta.tif", "A 21626-2026")</f>
        <v/>
      </c>
      <c r="AA81">
        <f>HYPERLINK("https://klasma.github.io/Logging_1380/klagomål/A 21626-2026 FSC-klagomål.docx", "A 21626-2026")</f>
        <v/>
      </c>
      <c r="AB81">
        <f>HYPERLINK("https://klasma.github.io/Logging_1380/klagomålsmail/A 21626-2026 FSC-klagomål mail.docx", "A 21626-2026")</f>
        <v/>
      </c>
      <c r="AC81">
        <f>HYPERLINK("https://klasma.github.io/Logging_1380/tillsyn/A 21626-2026 tillsynsbegäran.docx", "A 21626-2026")</f>
        <v/>
      </c>
      <c r="AD81">
        <f>HYPERLINK("https://klasma.github.io/Logging_1380/tillsynsmail/A 21626-2026 tillsynsbegäran mail.docx", "A 21626-2026")</f>
        <v/>
      </c>
    </row>
    <row r="82" ht="15" customHeight="1">
      <c r="A82" t="inlineStr">
        <is>
          <t>A 9045-2026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46256</v>
      </c>
      <c r="F82" t="inlineStr">
        <is>
          <t>HALLANDS LÄN</t>
        </is>
      </c>
      <c r="G82" t="inlineStr">
        <is>
          <t>HALMSTAD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HYPERLINK("https://klasma.github.io/Logging_1380/artfynd/A 9045-2026 artfynd.xlsx", "A 9045-2026")</f>
        <v/>
      </c>
      <c r="X82">
        <f>HYPERLINK("https://klasma.github.io/Logging_1380/kartor/A 9045-2026 karta.png", "A 9045-2026")</f>
        <v/>
      </c>
      <c r="Y82">
        <f>HYPERLINK("https://klasma.github.io/Logging_1380/kartor_geotiff/A 9045-2026 georefererad karta.tif", "A 9045-2026")</f>
        <v/>
      </c>
      <c r="AA82">
        <f>HYPERLINK("https://klasma.github.io/Logging_1380/klagomål/A 9045-2026 FSC-klagomål.docx", "A 9045-2026")</f>
        <v/>
      </c>
      <c r="AB82">
        <f>HYPERLINK("https://klasma.github.io/Logging_1380/klagomålsmail/A 9045-2026 FSC-klagomål mail.docx", "A 9045-2026")</f>
        <v/>
      </c>
      <c r="AC82">
        <f>HYPERLINK("https://klasma.github.io/Logging_1380/tillsyn/A 9045-2026 tillsynsbegäran.docx", "A 9045-2026")</f>
        <v/>
      </c>
      <c r="AD82">
        <f>HYPERLINK("https://klasma.github.io/Logging_1380/tillsynsmail/A 9045-2026 tillsynsbegäran mail.docx", "A 9045-2026")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46256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46256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46256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46256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46256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46256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46256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46256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46256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46256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46256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46256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46256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46256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46256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46256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46256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46256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46256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46256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46256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46256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46256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46256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46256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46256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46256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46256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46256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46256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46256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46256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46256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46256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46256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46256</v>
      </c>
      <c r="F118" t="inlineStr">
        <is>
          <t>HALLANDS LÄN</t>
        </is>
      </c>
      <c r="G118" t="inlineStr">
        <is>
          <t>HALMSTAD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46256</v>
      </c>
      <c r="F119" t="inlineStr">
        <is>
          <t>HALLANDS LÄN</t>
        </is>
      </c>
      <c r="G119" t="inlineStr">
        <is>
          <t>HALMSTAD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46256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46256</v>
      </c>
      <c r="F121" t="inlineStr">
        <is>
          <t>HALLANDS LÄN</t>
        </is>
      </c>
      <c r="G121" t="inlineStr">
        <is>
          <t>HALMSTAD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46256</v>
      </c>
      <c r="F122" t="inlineStr">
        <is>
          <t>HALLANDS LÄN</t>
        </is>
      </c>
      <c r="G122" t="inlineStr">
        <is>
          <t>HALMSTAD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46256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46256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46256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46256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72139-2021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46256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46256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46256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46256</v>
      </c>
      <c r="F130" t="inlineStr">
        <is>
          <t>HALLANDS LÄN</t>
        </is>
      </c>
      <c r="G130" t="inlineStr">
        <is>
          <t>HALMSTAD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46256</v>
      </c>
      <c r="F131" t="inlineStr">
        <is>
          <t>HALLANDS LÄN</t>
        </is>
      </c>
      <c r="G131" t="inlineStr">
        <is>
          <t>HALMSTAD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46256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46256</v>
      </c>
      <c r="F133" t="inlineStr">
        <is>
          <t>HALLANDS LÄN</t>
        </is>
      </c>
      <c r="G133" t="inlineStr">
        <is>
          <t>HALMSTAD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46256</v>
      </c>
      <c r="F134" t="inlineStr">
        <is>
          <t>HALLANDS LÄN</t>
        </is>
      </c>
      <c r="G134" t="inlineStr">
        <is>
          <t>HALMSTAD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46256</v>
      </c>
      <c r="F135" t="inlineStr">
        <is>
          <t>HALLANDS LÄN</t>
        </is>
      </c>
      <c r="G135" t="inlineStr">
        <is>
          <t>HALMSTAD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46256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46256</v>
      </c>
      <c r="F137" t="inlineStr">
        <is>
          <t>HALLANDS LÄN</t>
        </is>
      </c>
      <c r="G137" t="inlineStr">
        <is>
          <t>HALMSTAD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46256</v>
      </c>
      <c r="F138" t="inlineStr">
        <is>
          <t>HALLANDS LÄN</t>
        </is>
      </c>
      <c r="G138" t="inlineStr">
        <is>
          <t>HALMSTAD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46256</v>
      </c>
      <c r="F139" t="inlineStr">
        <is>
          <t>HALLANDS LÄN</t>
        </is>
      </c>
      <c r="G139" t="inlineStr">
        <is>
          <t>HALMSTAD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46256</v>
      </c>
      <c r="F140" t="inlineStr">
        <is>
          <t>HALLANDS LÄN</t>
        </is>
      </c>
      <c r="G140" t="inlineStr">
        <is>
          <t>HALMSTAD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46256</v>
      </c>
      <c r="F141" t="inlineStr">
        <is>
          <t>HALLANDS LÄN</t>
        </is>
      </c>
      <c r="G141" t="inlineStr">
        <is>
          <t>HALMSTAD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46256</v>
      </c>
      <c r="F142" t="inlineStr">
        <is>
          <t>HALLANDS LÄN</t>
        </is>
      </c>
      <c r="G142" t="inlineStr">
        <is>
          <t>HALMSTAD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46256</v>
      </c>
      <c r="F143" t="inlineStr">
        <is>
          <t>HALLANDS LÄN</t>
        </is>
      </c>
      <c r="G143" t="inlineStr">
        <is>
          <t>HALMSTAD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46256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46256</v>
      </c>
      <c r="F145" t="inlineStr">
        <is>
          <t>HALLANDS LÄN</t>
        </is>
      </c>
      <c r="G145" t="inlineStr">
        <is>
          <t>HALMSTAD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53763-2022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44875</v>
      </c>
      <c r="E146" s="1" t="n">
        <v>46256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46256</v>
      </c>
      <c r="F147" t="inlineStr">
        <is>
          <t>HALLANDS LÄN</t>
        </is>
      </c>
      <c r="G147" t="inlineStr">
        <is>
          <t>HALMSTAD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46256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46256</v>
      </c>
      <c r="F149" t="inlineStr">
        <is>
          <t>HALLANDS LÄN</t>
        </is>
      </c>
      <c r="G149" t="inlineStr">
        <is>
          <t>HALMSTAD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46256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22070-2022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44711</v>
      </c>
      <c r="E151" s="1" t="n">
        <v>46256</v>
      </c>
      <c r="F151" t="inlineStr">
        <is>
          <t>HALLANDS LÄN</t>
        </is>
      </c>
      <c r="G151" t="inlineStr">
        <is>
          <t>HALMSTAD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46256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46256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46256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46256</v>
      </c>
      <c r="F155" t="inlineStr">
        <is>
          <t>HALLANDS LÄN</t>
        </is>
      </c>
      <c r="G155" t="inlineStr">
        <is>
          <t>HALMSTAD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46256</v>
      </c>
      <c r="F156" t="inlineStr">
        <is>
          <t>HALLANDS LÄN</t>
        </is>
      </c>
      <c r="G156" t="inlineStr">
        <is>
          <t>HALMSTAD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46256</v>
      </c>
      <c r="F157" t="inlineStr">
        <is>
          <t>HALLANDS LÄN</t>
        </is>
      </c>
      <c r="G157" t="inlineStr">
        <is>
          <t>HALMSTAD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46256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46256</v>
      </c>
      <c r="F159" t="inlineStr">
        <is>
          <t>HALLANDS LÄN</t>
        </is>
      </c>
      <c r="G159" t="inlineStr">
        <is>
          <t>HALMSTAD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46256</v>
      </c>
      <c r="F160" t="inlineStr">
        <is>
          <t>HALLANDS LÄN</t>
        </is>
      </c>
      <c r="G160" t="inlineStr">
        <is>
          <t>HALMSTAD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46256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46256</v>
      </c>
      <c r="F162" t="inlineStr">
        <is>
          <t>HALLANDS LÄN</t>
        </is>
      </c>
      <c r="G162" t="inlineStr">
        <is>
          <t>HALMSTAD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46256</v>
      </c>
      <c r="F163" t="inlineStr">
        <is>
          <t>HALLANDS LÄN</t>
        </is>
      </c>
      <c r="G163" t="inlineStr">
        <is>
          <t>HALMSTAD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46256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64231-2023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46256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46256</v>
      </c>
      <c r="F166" t="inlineStr">
        <is>
          <t>HALLANDS LÄN</t>
        </is>
      </c>
      <c r="G166" t="inlineStr">
        <is>
          <t>HALMSTAD</t>
        </is>
      </c>
      <c r="H166" t="inlineStr">
        <is>
          <t>Kyrkan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46256</v>
      </c>
      <c r="F167" t="inlineStr">
        <is>
          <t>HALLANDS LÄN</t>
        </is>
      </c>
      <c r="G167" t="inlineStr">
        <is>
          <t>HALMSTAD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46256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46256</v>
      </c>
      <c r="F169" t="inlineStr">
        <is>
          <t>HALLANDS LÄN</t>
        </is>
      </c>
      <c r="G169" t="inlineStr">
        <is>
          <t>HALMSTAD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46256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46256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46256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46256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46256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46256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46256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46256</v>
      </c>
      <c r="F177" t="inlineStr">
        <is>
          <t>HALLANDS LÄN</t>
        </is>
      </c>
      <c r="G177" t="inlineStr">
        <is>
          <t>HALMSTAD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46256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46256</v>
      </c>
      <c r="F179" t="inlineStr">
        <is>
          <t>HALLANDS LÄN</t>
        </is>
      </c>
      <c r="G179" t="inlineStr">
        <is>
          <t>HALMSTAD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61853-2023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45265</v>
      </c>
      <c r="E180" s="1" t="n">
        <v>46256</v>
      </c>
      <c r="F180" t="inlineStr">
        <is>
          <t>HALLANDS LÄN</t>
        </is>
      </c>
      <c r="G180" t="inlineStr">
        <is>
          <t>HALMSTAD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46256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46256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46256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46256</v>
      </c>
      <c r="F184" t="inlineStr">
        <is>
          <t>HALLANDS LÄN</t>
        </is>
      </c>
      <c r="G184" t="inlineStr">
        <is>
          <t>HALMSTAD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45555</v>
      </c>
      <c r="E185" s="1" t="n">
        <v>46256</v>
      </c>
      <c r="F185" t="inlineStr">
        <is>
          <t>HALLANDS LÄN</t>
        </is>
      </c>
      <c r="G185" t="inlineStr">
        <is>
          <t>HALMSTAD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46256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46256</v>
      </c>
      <c r="F187" t="inlineStr">
        <is>
          <t>HALLANDS LÄN</t>
        </is>
      </c>
      <c r="G187" t="inlineStr">
        <is>
          <t>HALMSTAD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46256</v>
      </c>
      <c r="F188" t="inlineStr">
        <is>
          <t>HALLANDS LÄN</t>
        </is>
      </c>
      <c r="G188" t="inlineStr">
        <is>
          <t>HALMSTAD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46256</v>
      </c>
      <c r="F189" t="inlineStr">
        <is>
          <t>HALLANDS LÄN</t>
        </is>
      </c>
      <c r="G189" t="inlineStr">
        <is>
          <t>HALMSTAD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46256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45268</v>
      </c>
      <c r="E191" s="1" t="n">
        <v>46256</v>
      </c>
      <c r="F191" t="inlineStr">
        <is>
          <t>HALLANDS LÄN</t>
        </is>
      </c>
      <c r="G191" t="inlineStr">
        <is>
          <t>HALMSTAD</t>
        </is>
      </c>
      <c r="H191" t="inlineStr">
        <is>
          <t>Sveaskog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46256</v>
      </c>
      <c r="F192" t="inlineStr">
        <is>
          <t>HALLANDS LÄN</t>
        </is>
      </c>
      <c r="G192" t="inlineStr">
        <is>
          <t>HALMSTAD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46256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46256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46256</v>
      </c>
      <c r="F195" t="inlineStr">
        <is>
          <t>HALLANDS LÄN</t>
        </is>
      </c>
      <c r="G195" t="inlineStr">
        <is>
          <t>HALMSTAD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46256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46256</v>
      </c>
      <c r="F197" t="inlineStr">
        <is>
          <t>HALLANDS LÄN</t>
        </is>
      </c>
      <c r="G197" t="inlineStr">
        <is>
          <t>HALMSTAD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46256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46256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46256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46256</v>
      </c>
      <c r="F201" t="inlineStr">
        <is>
          <t>HALLANDS LÄN</t>
        </is>
      </c>
      <c r="G201" t="inlineStr">
        <is>
          <t>HALMSTAD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46256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44461</v>
      </c>
      <c r="E203" s="1" t="n">
        <v>46256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46256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46256</v>
      </c>
      <c r="F205" t="inlineStr">
        <is>
          <t>HALLANDS LÄN</t>
        </is>
      </c>
      <c r="G205" t="inlineStr">
        <is>
          <t>HALMSTAD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46256</v>
      </c>
      <c r="F206" t="inlineStr">
        <is>
          <t>HALLANDS LÄN</t>
        </is>
      </c>
      <c r="G206" t="inlineStr">
        <is>
          <t>HALMSTAD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46256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46256</v>
      </c>
      <c r="F208" t="inlineStr">
        <is>
          <t>HALLANDS LÄN</t>
        </is>
      </c>
      <c r="G208" t="inlineStr">
        <is>
          <t>HALMSTAD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46256</v>
      </c>
      <c r="F209" t="inlineStr">
        <is>
          <t>HALLANDS LÄN</t>
        </is>
      </c>
      <c r="G209" t="inlineStr">
        <is>
          <t>HALMSTAD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46256</v>
      </c>
      <c r="F210" t="inlineStr">
        <is>
          <t>HALLANDS LÄN</t>
        </is>
      </c>
      <c r="G210" t="inlineStr">
        <is>
          <t>HALMSTAD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46256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46256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46256</v>
      </c>
      <c r="F213" t="inlineStr">
        <is>
          <t>HALLANDS LÄN</t>
        </is>
      </c>
      <c r="G213" t="inlineStr">
        <is>
          <t>HALMSTAD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46256</v>
      </c>
      <c r="F214" t="inlineStr">
        <is>
          <t>HALLANDS LÄN</t>
        </is>
      </c>
      <c r="G214" t="inlineStr">
        <is>
          <t>HALMSTAD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46256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45169</v>
      </c>
      <c r="E216" s="1" t="n">
        <v>46256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46256</v>
      </c>
      <c r="F217" t="inlineStr">
        <is>
          <t>HALLANDS LÄN</t>
        </is>
      </c>
      <c r="G217" t="inlineStr">
        <is>
          <t>HALMSTAD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45168</v>
      </c>
      <c r="E218" s="1" t="n">
        <v>46256</v>
      </c>
      <c r="F218" t="inlineStr">
        <is>
          <t>HALLANDS LÄN</t>
        </is>
      </c>
      <c r="G218" t="inlineStr">
        <is>
          <t>HALMSTAD</t>
        </is>
      </c>
      <c r="H218" t="inlineStr">
        <is>
          <t>Kommuner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44557</v>
      </c>
      <c r="E219" s="1" t="n">
        <v>46256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46256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46256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46256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46256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46256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46256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46256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45476</v>
      </c>
      <c r="E227" s="1" t="n">
        <v>46256</v>
      </c>
      <c r="F227" t="inlineStr">
        <is>
          <t>HALLANDS LÄN</t>
        </is>
      </c>
      <c r="G227" t="inlineStr">
        <is>
          <t>HALMSTAD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46256</v>
      </c>
      <c r="F228" t="inlineStr">
        <is>
          <t>HALLANDS LÄN</t>
        </is>
      </c>
      <c r="G228" t="inlineStr">
        <is>
          <t>HALMSTAD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46256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44691</v>
      </c>
      <c r="E230" s="1" t="n">
        <v>46256</v>
      </c>
      <c r="F230" t="inlineStr">
        <is>
          <t>HALLANDS LÄN</t>
        </is>
      </c>
      <c r="G230" t="inlineStr">
        <is>
          <t>HALMSTAD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46256</v>
      </c>
      <c r="F231" t="inlineStr">
        <is>
          <t>HALLANDS LÄN</t>
        </is>
      </c>
      <c r="G231" t="inlineStr">
        <is>
          <t>HALMSTAD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46256</v>
      </c>
      <c r="F232" t="inlineStr">
        <is>
          <t>HALLANDS LÄN</t>
        </is>
      </c>
      <c r="G232" t="inlineStr">
        <is>
          <t>HALMSTAD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46256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44594</v>
      </c>
      <c r="E234" s="1" t="n">
        <v>46256</v>
      </c>
      <c r="F234" t="inlineStr">
        <is>
          <t>HALLANDS LÄN</t>
        </is>
      </c>
      <c r="G234" t="inlineStr">
        <is>
          <t>HALMSTAD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50791-2023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46256</v>
      </c>
      <c r="F235" t="inlineStr">
        <is>
          <t>HALLANDS LÄN</t>
        </is>
      </c>
      <c r="G235" t="inlineStr">
        <is>
          <t>HALMSTAD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46256</v>
      </c>
      <c r="F236" t="inlineStr">
        <is>
          <t>HALLANDS LÄN</t>
        </is>
      </c>
      <c r="G236" t="inlineStr">
        <is>
          <t>HALMSTAD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46256</v>
      </c>
      <c r="F237" t="inlineStr">
        <is>
          <t>HALLANDS LÄN</t>
        </is>
      </c>
      <c r="G237" t="inlineStr">
        <is>
          <t>HALMSTAD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46256</v>
      </c>
      <c r="F238" t="inlineStr">
        <is>
          <t>HALLANDS LÄN</t>
        </is>
      </c>
      <c r="G238" t="inlineStr">
        <is>
          <t>HALMSTAD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45323</v>
      </c>
      <c r="E239" s="1" t="n">
        <v>46256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46256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46256</v>
      </c>
      <c r="F241" t="inlineStr">
        <is>
          <t>HALLANDS LÄN</t>
        </is>
      </c>
      <c r="G241" t="inlineStr">
        <is>
          <t>HALMSTAD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46256</v>
      </c>
      <c r="F242" t="inlineStr">
        <is>
          <t>HALLANDS LÄN</t>
        </is>
      </c>
      <c r="G242" t="inlineStr">
        <is>
          <t>HALMSTAD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66311-2021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44518</v>
      </c>
      <c r="E243" s="1" t="n">
        <v>46256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66730-2021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44520</v>
      </c>
      <c r="E244" s="1" t="n">
        <v>46256</v>
      </c>
      <c r="F244" t="inlineStr">
        <is>
          <t>HALLANDS LÄN</t>
        </is>
      </c>
      <c r="G244" t="inlineStr">
        <is>
          <t>HALMSTAD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45117</v>
      </c>
      <c r="E245" s="1" t="n">
        <v>46256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46256</v>
      </c>
      <c r="F246" t="inlineStr">
        <is>
          <t>HALLANDS LÄN</t>
        </is>
      </c>
      <c r="G246" t="inlineStr">
        <is>
          <t>HALMSTAD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44687</v>
      </c>
      <c r="E247" s="1" t="n">
        <v>46256</v>
      </c>
      <c r="F247" t="inlineStr">
        <is>
          <t>HALLANDS LÄN</t>
        </is>
      </c>
      <c r="G247" t="inlineStr">
        <is>
          <t>HALMSTAD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46256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46256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46256</v>
      </c>
      <c r="F250" t="inlineStr">
        <is>
          <t>HALLANDS LÄN</t>
        </is>
      </c>
      <c r="G250" t="inlineStr">
        <is>
          <t>HALMSTAD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46256</v>
      </c>
      <c r="F251" t="inlineStr">
        <is>
          <t>HALLANDS LÄN</t>
        </is>
      </c>
      <c r="G251" t="inlineStr">
        <is>
          <t>HALMSTAD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46256</v>
      </c>
      <c r="F252" t="inlineStr">
        <is>
          <t>HALLANDS LÄN</t>
        </is>
      </c>
      <c r="G252" t="inlineStr">
        <is>
          <t>HALMSTAD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44721</v>
      </c>
      <c r="E253" s="1" t="n">
        <v>46256</v>
      </c>
      <c r="F253" t="inlineStr">
        <is>
          <t>HALLANDS LÄN</t>
        </is>
      </c>
      <c r="G253" t="inlineStr">
        <is>
          <t>HALMSTAD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45854</v>
      </c>
      <c r="E254" s="1" t="n">
        <v>46256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46256</v>
      </c>
      <c r="F255" t="inlineStr">
        <is>
          <t>HALLANDS LÄN</t>
        </is>
      </c>
      <c r="G255" t="inlineStr">
        <is>
          <t>HALMSTAD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44742</v>
      </c>
      <c r="E256" s="1" t="n">
        <v>46256</v>
      </c>
      <c r="F256" t="inlineStr">
        <is>
          <t>HALLANDS LÄN</t>
        </is>
      </c>
      <c r="G256" t="inlineStr">
        <is>
          <t>HALMSTAD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46256</v>
      </c>
      <c r="F257" t="inlineStr">
        <is>
          <t>HALLANDS LÄN</t>
        </is>
      </c>
      <c r="G257" t="inlineStr">
        <is>
          <t>HALMSTAD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45856</v>
      </c>
      <c r="E258" s="1" t="n">
        <v>46256</v>
      </c>
      <c r="F258" t="inlineStr">
        <is>
          <t>HALLANDS LÄN</t>
        </is>
      </c>
      <c r="G258" t="inlineStr">
        <is>
          <t>HALMSTAD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46256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46256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46256</v>
      </c>
      <c r="F261" t="inlineStr">
        <is>
          <t>HALLANDS LÄN</t>
        </is>
      </c>
      <c r="G261" t="inlineStr">
        <is>
          <t>HALMSTAD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46256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44802</v>
      </c>
      <c r="E263" s="1" t="n">
        <v>46256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46256</v>
      </c>
      <c r="F264" t="inlineStr">
        <is>
          <t>HALLANDS LÄN</t>
        </is>
      </c>
      <c r="G264" t="inlineStr">
        <is>
          <t>HALMSTAD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44827</v>
      </c>
      <c r="E265" s="1" t="n">
        <v>46256</v>
      </c>
      <c r="F265" t="inlineStr">
        <is>
          <t>HALLANDS LÄN</t>
        </is>
      </c>
      <c r="G265" t="inlineStr">
        <is>
          <t>HALMSTAD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45257</v>
      </c>
      <c r="E266" s="1" t="n">
        <v>46256</v>
      </c>
      <c r="F266" t="inlineStr">
        <is>
          <t>HALLANDS LÄN</t>
        </is>
      </c>
      <c r="G266" t="inlineStr">
        <is>
          <t>HALMSTAD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46256</v>
      </c>
      <c r="F267" t="inlineStr">
        <is>
          <t>HALLANDS LÄN</t>
        </is>
      </c>
      <c r="G267" t="inlineStr">
        <is>
          <t>HALMSTAD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46256</v>
      </c>
      <c r="F268" t="inlineStr">
        <is>
          <t>HALLANDS LÄN</t>
        </is>
      </c>
      <c r="G268" t="inlineStr">
        <is>
          <t>HALMSTAD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46256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46256</v>
      </c>
      <c r="F270" t="inlineStr">
        <is>
          <t>HALLANDS LÄN</t>
        </is>
      </c>
      <c r="G270" t="inlineStr">
        <is>
          <t>HALMSTAD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46256</v>
      </c>
      <c r="F271" t="inlineStr">
        <is>
          <t>HALLANDS LÄN</t>
        </is>
      </c>
      <c r="G271" t="inlineStr">
        <is>
          <t>HALMSTAD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46256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45316</v>
      </c>
      <c r="E273" s="1" t="n">
        <v>46256</v>
      </c>
      <c r="F273" t="inlineStr">
        <is>
          <t>HALLANDS LÄN</t>
        </is>
      </c>
      <c r="G273" t="inlineStr">
        <is>
          <t>HALMSTAD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44595</v>
      </c>
      <c r="E274" s="1" t="n">
        <v>46256</v>
      </c>
      <c r="F274" t="inlineStr">
        <is>
          <t>HALLANDS LÄN</t>
        </is>
      </c>
      <c r="G274" t="inlineStr">
        <is>
          <t>HALMSTAD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46256</v>
      </c>
      <c r="F275" t="inlineStr">
        <is>
          <t>HALLANDS LÄN</t>
        </is>
      </c>
      <c r="G275" t="inlineStr">
        <is>
          <t>HALMSTAD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46256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46256</v>
      </c>
      <c r="F277" t="inlineStr">
        <is>
          <t>HALLANDS LÄN</t>
        </is>
      </c>
      <c r="G277" t="inlineStr">
        <is>
          <t>HALMSTAD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46256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46256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46256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45126</v>
      </c>
      <c r="E281" s="1" t="n">
        <v>46256</v>
      </c>
      <c r="F281" t="inlineStr">
        <is>
          <t>HALLANDS LÄN</t>
        </is>
      </c>
      <c r="G281" t="inlineStr">
        <is>
          <t>HALMSTAD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46256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46256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46256</v>
      </c>
      <c r="F284" t="inlineStr">
        <is>
          <t>HALLANDS LÄN</t>
        </is>
      </c>
      <c r="G284" t="inlineStr">
        <is>
          <t>HALMSTAD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45015</v>
      </c>
      <c r="E285" s="1" t="n">
        <v>46256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46256</v>
      </c>
      <c r="F286" t="inlineStr">
        <is>
          <t>HALLANDS LÄN</t>
        </is>
      </c>
      <c r="G286" t="inlineStr">
        <is>
          <t>HALMSTAD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46256</v>
      </c>
      <c r="F287" t="inlineStr">
        <is>
          <t>HALLANDS LÄN</t>
        </is>
      </c>
      <c r="G287" t="inlineStr">
        <is>
          <t>HALMSTAD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46256</v>
      </c>
      <c r="F288" t="inlineStr">
        <is>
          <t>HALLANDS LÄN</t>
        </is>
      </c>
      <c r="G288" t="inlineStr">
        <is>
          <t>HALMSTAD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46256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45493</v>
      </c>
      <c r="E290" s="1" t="n">
        <v>46256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46256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44885</v>
      </c>
      <c r="E292" s="1" t="n">
        <v>46256</v>
      </c>
      <c r="F292" t="inlineStr">
        <is>
          <t>HALLANDS LÄN</t>
        </is>
      </c>
      <c r="G292" t="inlineStr">
        <is>
          <t>HALMSTAD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44885</v>
      </c>
      <c r="E293" s="1" t="n">
        <v>46256</v>
      </c>
      <c r="F293" t="inlineStr">
        <is>
          <t>HALLANDS LÄN</t>
        </is>
      </c>
      <c r="G293" t="inlineStr">
        <is>
          <t>HALMSTAD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45589</v>
      </c>
      <c r="E294" s="1" t="n">
        <v>46256</v>
      </c>
      <c r="F294" t="inlineStr">
        <is>
          <t>HALLANDS LÄN</t>
        </is>
      </c>
      <c r="G294" t="inlineStr">
        <is>
          <t>HALMSTAD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46256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44952</v>
      </c>
      <c r="E296" s="1" t="n">
        <v>46256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46256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46256</v>
      </c>
      <c r="F298" t="inlineStr">
        <is>
          <t>HALLANDS LÄN</t>
        </is>
      </c>
      <c r="G298" t="inlineStr">
        <is>
          <t>HALMSTAD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46256</v>
      </c>
      <c r="F299" t="inlineStr">
        <is>
          <t>HALLANDS LÄN</t>
        </is>
      </c>
      <c r="G299" t="inlineStr">
        <is>
          <t>HALMSTAD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45240</v>
      </c>
      <c r="E300" s="1" t="n">
        <v>46256</v>
      </c>
      <c r="F300" t="inlineStr">
        <is>
          <t>HALLANDS LÄN</t>
        </is>
      </c>
      <c r="G300" t="inlineStr">
        <is>
          <t>HALMSTAD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46256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44622</v>
      </c>
      <c r="E302" s="1" t="n">
        <v>46256</v>
      </c>
      <c r="F302" t="inlineStr">
        <is>
          <t>HALLANDS LÄN</t>
        </is>
      </c>
      <c r="G302" t="inlineStr">
        <is>
          <t>HALMSTAD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46256</v>
      </c>
      <c r="F303" t="inlineStr">
        <is>
          <t>HALLANDS LÄN</t>
        </is>
      </c>
      <c r="G303" t="inlineStr">
        <is>
          <t>HALMSTAD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45172</v>
      </c>
      <c r="E304" s="1" t="n">
        <v>46256</v>
      </c>
      <c r="F304" t="inlineStr">
        <is>
          <t>HALLANDS LÄN</t>
        </is>
      </c>
      <c r="G304" t="inlineStr">
        <is>
          <t>HALMSTAD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46256</v>
      </c>
      <c r="F305" t="inlineStr">
        <is>
          <t>HALLANDS LÄN</t>
        </is>
      </c>
      <c r="G305" t="inlineStr">
        <is>
          <t>HALMSTAD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46256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46256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46256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46256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46256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46256</v>
      </c>
      <c r="F311" t="inlineStr">
        <is>
          <t>HALLANDS LÄN</t>
        </is>
      </c>
      <c r="G311" t="inlineStr">
        <is>
          <t>HALMSTAD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46256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53550-2022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44879</v>
      </c>
      <c r="E313" s="1" t="n">
        <v>46256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46256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46256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46256</v>
      </c>
      <c r="F316" t="inlineStr">
        <is>
          <t>HALLANDS LÄN</t>
        </is>
      </c>
      <c r="G316" t="inlineStr">
        <is>
          <t>HALMSTAD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46256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45082</v>
      </c>
      <c r="E318" s="1" t="n">
        <v>46256</v>
      </c>
      <c r="F318" t="inlineStr">
        <is>
          <t>HALLANDS LÄN</t>
        </is>
      </c>
      <c r="G318" t="inlineStr">
        <is>
          <t>HALMSTAD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46256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46256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46256</v>
      </c>
      <c r="F321" t="inlineStr">
        <is>
          <t>HALLANDS LÄN</t>
        </is>
      </c>
      <c r="G321" t="inlineStr">
        <is>
          <t>HALMSTAD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44580</v>
      </c>
      <c r="E322" s="1" t="n">
        <v>46256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46256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45311</v>
      </c>
      <c r="E324" s="1" t="n">
        <v>46256</v>
      </c>
      <c r="F324" t="inlineStr">
        <is>
          <t>HALLANDS LÄN</t>
        </is>
      </c>
      <c r="G324" t="inlineStr">
        <is>
          <t>HALMSTAD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46256</v>
      </c>
      <c r="F325" t="inlineStr">
        <is>
          <t>HALLANDS LÄN</t>
        </is>
      </c>
      <c r="G325" t="inlineStr">
        <is>
          <t>HALMSTAD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46256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46256</v>
      </c>
      <c r="F327" t="inlineStr">
        <is>
          <t>HALLANDS LÄN</t>
        </is>
      </c>
      <c r="G327" t="inlineStr">
        <is>
          <t>HALMSTAD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46256</v>
      </c>
      <c r="F328" t="inlineStr">
        <is>
          <t>HALLANDS LÄN</t>
        </is>
      </c>
      <c r="G328" t="inlineStr">
        <is>
          <t>HALMSTAD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46256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46256</v>
      </c>
      <c r="F330" t="inlineStr">
        <is>
          <t>HALLANDS LÄN</t>
        </is>
      </c>
      <c r="G330" t="inlineStr">
        <is>
          <t>HALMSTAD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44775</v>
      </c>
      <c r="E331" s="1" t="n">
        <v>46256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45488</v>
      </c>
      <c r="E332" s="1" t="n">
        <v>46256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46256</v>
      </c>
      <c r="F333" t="inlineStr">
        <is>
          <t>HALLANDS LÄN</t>
        </is>
      </c>
      <c r="G333" t="inlineStr">
        <is>
          <t>HALMSTAD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45415</v>
      </c>
      <c r="E334" s="1" t="n">
        <v>46256</v>
      </c>
      <c r="F334" t="inlineStr">
        <is>
          <t>HALLANDS LÄN</t>
        </is>
      </c>
      <c r="G334" t="inlineStr">
        <is>
          <t>HALMSTAD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44910</v>
      </c>
      <c r="E335" s="1" t="n">
        <v>46256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46256</v>
      </c>
      <c r="F336" t="inlineStr">
        <is>
          <t>HALLANDS LÄN</t>
        </is>
      </c>
      <c r="G336" t="inlineStr">
        <is>
          <t>HALMSTAD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44571</v>
      </c>
      <c r="E337" s="1" t="n">
        <v>46256</v>
      </c>
      <c r="F337" t="inlineStr">
        <is>
          <t>HALLANDS LÄN</t>
        </is>
      </c>
      <c r="G337" t="inlineStr">
        <is>
          <t>HALMSTAD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44621</v>
      </c>
      <c r="E338" s="1" t="n">
        <v>46256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46256</v>
      </c>
      <c r="F339" t="inlineStr">
        <is>
          <t>HALLANDS LÄN</t>
        </is>
      </c>
      <c r="G339" t="inlineStr">
        <is>
          <t>HALMSTAD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45750</v>
      </c>
      <c r="E340" s="1" t="n">
        <v>46256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46256</v>
      </c>
      <c r="F341" t="inlineStr">
        <is>
          <t>HALLANDS LÄN</t>
        </is>
      </c>
      <c r="G341" t="inlineStr">
        <is>
          <t>HALMSTAD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46256</v>
      </c>
      <c r="F342" t="inlineStr">
        <is>
          <t>HALLANDS LÄN</t>
        </is>
      </c>
      <c r="G342" t="inlineStr">
        <is>
          <t>HALMSTAD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20414-2022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44699</v>
      </c>
      <c r="E343" s="1" t="n">
        <v>46256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46256</v>
      </c>
      <c r="F344" t="inlineStr">
        <is>
          <t>HALLANDS LÄN</t>
        </is>
      </c>
      <c r="G344" t="inlineStr">
        <is>
          <t>HALMSTAD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46256</v>
      </c>
      <c r="F345" t="inlineStr">
        <is>
          <t>HALLANDS LÄN</t>
        </is>
      </c>
      <c r="G345" t="inlineStr">
        <is>
          <t>HALMSTAD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46256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46256</v>
      </c>
      <c r="F347" t="inlineStr">
        <is>
          <t>HALLANDS LÄN</t>
        </is>
      </c>
      <c r="G347" t="inlineStr">
        <is>
          <t>HALMSTAD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46256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46256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46256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46256</v>
      </c>
      <c r="F351" t="inlineStr">
        <is>
          <t>HALLANDS LÄN</t>
        </is>
      </c>
      <c r="G351" t="inlineStr">
        <is>
          <t>HALMSTAD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46256</v>
      </c>
      <c r="F352" t="inlineStr">
        <is>
          <t>HALLANDS LÄN</t>
        </is>
      </c>
      <c r="G352" t="inlineStr">
        <is>
          <t>HALMSTAD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46256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46256</v>
      </c>
      <c r="F354" t="inlineStr">
        <is>
          <t>HALLANDS LÄN</t>
        </is>
      </c>
      <c r="G354" t="inlineStr">
        <is>
          <t>HALMSTAD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46256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46256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46256</v>
      </c>
      <c r="F357" t="inlineStr">
        <is>
          <t>HALLANDS LÄN</t>
        </is>
      </c>
      <c r="G357" t="inlineStr">
        <is>
          <t>HALMSTAD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46256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45876</v>
      </c>
      <c r="E359" s="1" t="n">
        <v>46256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46256</v>
      </c>
      <c r="F360" t="inlineStr">
        <is>
          <t>HALLANDS LÄN</t>
        </is>
      </c>
      <c r="G360" t="inlineStr">
        <is>
          <t>HALMSTAD</t>
        </is>
      </c>
      <c r="H360" t="inlineStr">
        <is>
          <t>Kommuner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46256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46256</v>
      </c>
      <c r="F362" t="inlineStr">
        <is>
          <t>HALLANDS LÄN</t>
        </is>
      </c>
      <c r="G362" t="inlineStr">
        <is>
          <t>HALMSTAD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46256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46256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46256</v>
      </c>
      <c r="F365" t="inlineStr">
        <is>
          <t>HALLANDS LÄN</t>
        </is>
      </c>
      <c r="G365" t="inlineStr">
        <is>
          <t>HALMSTAD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46256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46256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51190-2022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44868</v>
      </c>
      <c r="E368" s="1" t="n">
        <v>46256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46256</v>
      </c>
      <c r="F369" t="inlineStr">
        <is>
          <t>HALLANDS LÄN</t>
        </is>
      </c>
      <c r="G369" t="inlineStr">
        <is>
          <t>HALMSTAD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46256</v>
      </c>
      <c r="F370" t="inlineStr">
        <is>
          <t>HALLANDS LÄN</t>
        </is>
      </c>
      <c r="G370" t="inlineStr">
        <is>
          <t>HALMSTAD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46256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46173</v>
      </c>
      <c r="E372" s="1" t="n">
        <v>46256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46256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45006</v>
      </c>
      <c r="E374" s="1" t="n">
        <v>46256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46256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46256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45660</v>
      </c>
      <c r="E377" s="1" t="n">
        <v>46256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46256</v>
      </c>
      <c r="F378" t="inlineStr">
        <is>
          <t>HALLANDS LÄN</t>
        </is>
      </c>
      <c r="G378" t="inlineStr">
        <is>
          <t>HALMSTAD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46256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45769</v>
      </c>
      <c r="E380" s="1" t="n">
        <v>46256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46256</v>
      </c>
      <c r="F381" t="inlineStr">
        <is>
          <t>HALLANDS LÄN</t>
        </is>
      </c>
      <c r="G381" t="inlineStr">
        <is>
          <t>HALMSTAD</t>
        </is>
      </c>
      <c r="I381" t="n">
        <v>17.8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46256</v>
      </c>
      <c r="F382" t="inlineStr">
        <is>
          <t>HALLANDS LÄN</t>
        </is>
      </c>
      <c r="G382" t="inlineStr">
        <is>
          <t>HALMSTAD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46256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46256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46256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46256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45562</v>
      </c>
      <c r="E387" s="1" t="n">
        <v>46256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46256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46256</v>
      </c>
      <c r="F389" t="inlineStr">
        <is>
          <t>HALLANDS LÄN</t>
        </is>
      </c>
      <c r="G389" t="inlineStr">
        <is>
          <t>HALMSTAD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46256</v>
      </c>
      <c r="F390" t="inlineStr">
        <is>
          <t>HALLANDS LÄN</t>
        </is>
      </c>
      <c r="G390" t="inlineStr">
        <is>
          <t>HALMSTAD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46256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46256</v>
      </c>
      <c r="F392" t="inlineStr">
        <is>
          <t>HALLANDS LÄN</t>
        </is>
      </c>
      <c r="G392" t="inlineStr">
        <is>
          <t>HALMSTAD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46256</v>
      </c>
      <c r="F393" t="inlineStr">
        <is>
          <t>HALLANDS LÄN</t>
        </is>
      </c>
      <c r="G393" t="inlineStr">
        <is>
          <t>HALMSTAD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45386</v>
      </c>
      <c r="E394" s="1" t="n">
        <v>46256</v>
      </c>
      <c r="F394" t="inlineStr">
        <is>
          <t>HALLANDS LÄN</t>
        </is>
      </c>
      <c r="G394" t="inlineStr">
        <is>
          <t>HALMSTAD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46256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46256</v>
      </c>
      <c r="F396" t="inlineStr">
        <is>
          <t>HALLANDS LÄN</t>
        </is>
      </c>
      <c r="G396" t="inlineStr">
        <is>
          <t>HALMSTAD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46256</v>
      </c>
      <c r="F397" t="inlineStr">
        <is>
          <t>HALLANDS LÄN</t>
        </is>
      </c>
      <c r="G397" t="inlineStr">
        <is>
          <t>HALMSTAD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44722</v>
      </c>
      <c r="E398" s="1" t="n">
        <v>46256</v>
      </c>
      <c r="F398" t="inlineStr">
        <is>
          <t>HALLANDS LÄN</t>
        </is>
      </c>
      <c r="G398" t="inlineStr">
        <is>
          <t>HALMSTAD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70720-2021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46256</v>
      </c>
      <c r="F399" t="inlineStr">
        <is>
          <t>HALLANDS LÄN</t>
        </is>
      </c>
      <c r="G399" t="inlineStr">
        <is>
          <t>HALMSTAD</t>
        </is>
      </c>
      <c r="H399" t="inlineStr">
        <is>
          <t>Kyrkan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46256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44712</v>
      </c>
      <c r="E401" s="1" t="n">
        <v>46256</v>
      </c>
      <c r="F401" t="inlineStr">
        <is>
          <t>HALLANDS LÄN</t>
        </is>
      </c>
      <c r="G401" t="inlineStr">
        <is>
          <t>HALMSTAD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46256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46256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46256</v>
      </c>
      <c r="F404" t="inlineStr">
        <is>
          <t>HALLANDS LÄN</t>
        </is>
      </c>
      <c r="G404" t="inlineStr">
        <is>
          <t>HALMSTAD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46256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46256</v>
      </c>
      <c r="F406" t="inlineStr">
        <is>
          <t>HALLANDS LÄN</t>
        </is>
      </c>
      <c r="G406" t="inlineStr">
        <is>
          <t>HALMSTAD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46256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46256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44461</v>
      </c>
      <c r="E409" s="1" t="n">
        <v>46256</v>
      </c>
      <c r="F409" t="inlineStr">
        <is>
          <t>HALLANDS LÄN</t>
        </is>
      </c>
      <c r="G409" t="inlineStr">
        <is>
          <t>HALMSTAD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46256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46256</v>
      </c>
      <c r="F411" t="inlineStr">
        <is>
          <t>HALLANDS LÄN</t>
        </is>
      </c>
      <c r="G411" t="inlineStr">
        <is>
          <t>HALMSTAD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46256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46256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46256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46256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44806</v>
      </c>
      <c r="E416" s="1" t="n">
        <v>46256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46256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46256</v>
      </c>
      <c r="F418" t="inlineStr">
        <is>
          <t>HALLANDS LÄN</t>
        </is>
      </c>
      <c r="G418" t="inlineStr">
        <is>
          <t>HALMSTAD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46256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46256</v>
      </c>
      <c r="F420" t="inlineStr">
        <is>
          <t>HALLANDS LÄN</t>
        </is>
      </c>
      <c r="G420" t="inlineStr">
        <is>
          <t>HALMSTAD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46256</v>
      </c>
      <c r="F421" t="inlineStr">
        <is>
          <t>HALLANDS LÄN</t>
        </is>
      </c>
      <c r="G421" t="inlineStr">
        <is>
          <t>HALMSTAD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46256</v>
      </c>
      <c r="F422" t="inlineStr">
        <is>
          <t>HALLANDS LÄN</t>
        </is>
      </c>
      <c r="G422" t="inlineStr">
        <is>
          <t>HALMSTAD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46256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46256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46256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46256</v>
      </c>
      <c r="F426" t="inlineStr">
        <is>
          <t>HALLANDS LÄN</t>
        </is>
      </c>
      <c r="G426" t="inlineStr">
        <is>
          <t>HALMSTAD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57031-2021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46256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46256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46256</v>
      </c>
      <c r="F429" t="inlineStr">
        <is>
          <t>HALLANDS LÄN</t>
        </is>
      </c>
      <c r="G429" t="inlineStr">
        <is>
          <t>HALMSTAD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46256</v>
      </c>
      <c r="F430" t="inlineStr">
        <is>
          <t>HALLANDS LÄN</t>
        </is>
      </c>
      <c r="G430" t="inlineStr">
        <is>
          <t>HALMSTAD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46256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46256</v>
      </c>
      <c r="F432" t="inlineStr">
        <is>
          <t>HALLANDS LÄN</t>
        </is>
      </c>
      <c r="G432" t="inlineStr">
        <is>
          <t>HALMSTAD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46256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46256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46256</v>
      </c>
      <c r="F435" t="inlineStr">
        <is>
          <t>HALLANDS LÄN</t>
        </is>
      </c>
      <c r="G435" t="inlineStr">
        <is>
          <t>HALMSTAD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46256</v>
      </c>
      <c r="F436" t="inlineStr">
        <is>
          <t>HALLANDS LÄN</t>
        </is>
      </c>
      <c r="G436" t="inlineStr">
        <is>
          <t>HALMSTAD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46256</v>
      </c>
      <c r="F437" t="inlineStr">
        <is>
          <t>HALLANDS LÄN</t>
        </is>
      </c>
      <c r="G437" t="inlineStr">
        <is>
          <t>HALMSTAD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40702-2023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46256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46256</v>
      </c>
      <c r="F439" t="inlineStr">
        <is>
          <t>HALLANDS LÄN</t>
        </is>
      </c>
      <c r="G439" t="inlineStr">
        <is>
          <t>HALMSTAD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46256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46256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46256</v>
      </c>
      <c r="F442" t="inlineStr">
        <is>
          <t>HALLANDS LÄN</t>
        </is>
      </c>
      <c r="G442" t="inlineStr">
        <is>
          <t>HALMSTAD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46256</v>
      </c>
      <c r="F443" t="inlineStr">
        <is>
          <t>HALLANDS LÄN</t>
        </is>
      </c>
      <c r="G443" t="inlineStr">
        <is>
          <t>HALMSTAD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46256</v>
      </c>
      <c r="F444" t="inlineStr">
        <is>
          <t>HALLANDS LÄN</t>
        </is>
      </c>
      <c r="G444" t="inlineStr">
        <is>
          <t>HALMSTAD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46256</v>
      </c>
      <c r="F445" t="inlineStr">
        <is>
          <t>HALLANDS LÄN</t>
        </is>
      </c>
      <c r="G445" t="inlineStr">
        <is>
          <t>HALMSTAD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18686-2026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46256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45404</v>
      </c>
      <c r="E447" s="1" t="n">
        <v>46256</v>
      </c>
      <c r="F447" t="inlineStr">
        <is>
          <t>HALLANDS LÄN</t>
        </is>
      </c>
      <c r="G447" t="inlineStr">
        <is>
          <t>HALMSTAD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46256</v>
      </c>
      <c r="F448" t="inlineStr">
        <is>
          <t>HALLANDS LÄN</t>
        </is>
      </c>
      <c r="G448" t="inlineStr">
        <is>
          <t>HALMSTAD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44466</v>
      </c>
      <c r="E449" s="1" t="n">
        <v>46256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46256</v>
      </c>
      <c r="F450" t="inlineStr">
        <is>
          <t>HALLANDS LÄN</t>
        </is>
      </c>
      <c r="G450" t="inlineStr">
        <is>
          <t>HALMSTAD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46256</v>
      </c>
      <c r="F451" t="inlineStr">
        <is>
          <t>HALLANDS LÄN</t>
        </is>
      </c>
      <c r="G451" t="inlineStr">
        <is>
          <t>HALMSTAD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46256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46256</v>
      </c>
      <c r="F453" t="inlineStr">
        <is>
          <t>HALLANDS LÄN</t>
        </is>
      </c>
      <c r="G453" t="inlineStr">
        <is>
          <t>HALMSTAD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46256</v>
      </c>
      <c r="F454" t="inlineStr">
        <is>
          <t>HALLANDS LÄN</t>
        </is>
      </c>
      <c r="G454" t="inlineStr">
        <is>
          <t>HALMSTAD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45203</v>
      </c>
      <c r="E455" s="1" t="n">
        <v>46256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46256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46256</v>
      </c>
      <c r="F457" t="inlineStr">
        <is>
          <t>HALLANDS LÄN</t>
        </is>
      </c>
      <c r="G457" t="inlineStr">
        <is>
          <t>HALMSTAD</t>
        </is>
      </c>
      <c r="H457" t="inlineStr">
        <is>
          <t>Kommuner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46256</v>
      </c>
      <c r="F458" t="inlineStr">
        <is>
          <t>HALLANDS LÄN</t>
        </is>
      </c>
      <c r="G458" t="inlineStr">
        <is>
          <t>HALMSTAD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46256</v>
      </c>
      <c r="F459" t="inlineStr">
        <is>
          <t>HALLANDS LÄN</t>
        </is>
      </c>
      <c r="G459" t="inlineStr">
        <is>
          <t>HALMSTAD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46256</v>
      </c>
      <c r="F460" t="inlineStr">
        <is>
          <t>HALLANDS LÄN</t>
        </is>
      </c>
      <c r="G460" t="inlineStr">
        <is>
          <t>HALMSTAD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46256</v>
      </c>
      <c r="F461" t="inlineStr">
        <is>
          <t>HALLANDS LÄN</t>
        </is>
      </c>
      <c r="G461" t="inlineStr">
        <is>
          <t>HALMSTAD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46256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46256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46256</v>
      </c>
      <c r="F464" t="inlineStr">
        <is>
          <t>HALLANDS LÄN</t>
        </is>
      </c>
      <c r="G464" t="inlineStr">
        <is>
          <t>HALMSTAD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46256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58080-2024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46256</v>
      </c>
      <c r="F466" t="inlineStr">
        <is>
          <t>HALLANDS LÄN</t>
        </is>
      </c>
      <c r="G466" t="inlineStr">
        <is>
          <t>HALMSTAD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46256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46256</v>
      </c>
      <c r="F468" t="inlineStr">
        <is>
          <t>HALLANDS LÄN</t>
        </is>
      </c>
      <c r="G468" t="inlineStr">
        <is>
          <t>HALMSTAD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46256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46256</v>
      </c>
      <c r="F470" t="inlineStr">
        <is>
          <t>HALLANDS LÄN</t>
        </is>
      </c>
      <c r="G470" t="inlineStr">
        <is>
          <t>HALMSTAD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46256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46256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46256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46256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45729</v>
      </c>
      <c r="E475" s="1" t="n">
        <v>46256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46256</v>
      </c>
      <c r="F476" t="inlineStr">
        <is>
          <t>HALLANDS LÄN</t>
        </is>
      </c>
      <c r="G476" t="inlineStr">
        <is>
          <t>HALMSTAD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46256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46256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46256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46256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46256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46256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46256</v>
      </c>
      <c r="F483" t="inlineStr">
        <is>
          <t>HALLANDS LÄN</t>
        </is>
      </c>
      <c r="G483" t="inlineStr">
        <is>
          <t>HALMSTAD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46256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45450</v>
      </c>
      <c r="E485" s="1" t="n">
        <v>46256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46256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46256</v>
      </c>
      <c r="F487" t="inlineStr">
        <is>
          <t>HALLANDS LÄN</t>
        </is>
      </c>
      <c r="G487" t="inlineStr">
        <is>
          <t>HALMSTAD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44470</v>
      </c>
      <c r="E488" s="1" t="n">
        <v>46256</v>
      </c>
      <c r="F488" t="inlineStr">
        <is>
          <t>HALLANDS LÄN</t>
        </is>
      </c>
      <c r="G488" t="inlineStr">
        <is>
          <t>HALMSTAD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46256</v>
      </c>
      <c r="F489" t="inlineStr">
        <is>
          <t>HALLANDS LÄN</t>
        </is>
      </c>
      <c r="G489" t="inlineStr">
        <is>
          <t>HALMSTAD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50387-2023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46256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46256</v>
      </c>
      <c r="F491" t="inlineStr">
        <is>
          <t>HALLANDS LÄN</t>
        </is>
      </c>
      <c r="G491" t="inlineStr">
        <is>
          <t>HALMSTAD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45733</v>
      </c>
      <c r="E492" s="1" t="n">
        <v>46256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44775</v>
      </c>
      <c r="E493" s="1" t="n">
        <v>46256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46256</v>
      </c>
      <c r="F494" t="inlineStr">
        <is>
          <t>HALLANDS LÄN</t>
        </is>
      </c>
      <c r="G494" t="inlineStr">
        <is>
          <t>HALMSTAD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46256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46256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46256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46256</v>
      </c>
      <c r="F498" t="inlineStr">
        <is>
          <t>HALLANDS LÄN</t>
        </is>
      </c>
      <c r="G498" t="inlineStr">
        <is>
          <t>HALMSTAD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46256</v>
      </c>
      <c r="F499" t="inlineStr">
        <is>
          <t>HALLANDS LÄN</t>
        </is>
      </c>
      <c r="G499" t="inlineStr">
        <is>
          <t>HALMSTAD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55006-2022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44886</v>
      </c>
      <c r="E500" s="1" t="n">
        <v>46256</v>
      </c>
      <c r="F500" t="inlineStr">
        <is>
          <t>HALLANDS LÄN</t>
        </is>
      </c>
      <c r="G500" t="inlineStr">
        <is>
          <t>HALMSTAD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45712</v>
      </c>
      <c r="E501" s="1" t="n">
        <v>46256</v>
      </c>
      <c r="F501" t="inlineStr">
        <is>
          <t>HALLANDS LÄN</t>
        </is>
      </c>
      <c r="G501" t="inlineStr">
        <is>
          <t>HALMSTAD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45071</v>
      </c>
      <c r="E502" s="1" t="n">
        <v>46256</v>
      </c>
      <c r="F502" t="inlineStr">
        <is>
          <t>HALLANDS LÄN</t>
        </is>
      </c>
      <c r="G502" t="inlineStr">
        <is>
          <t>HALMSTAD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45897</v>
      </c>
      <c r="E503" s="1" t="n">
        <v>46256</v>
      </c>
      <c r="F503" t="inlineStr">
        <is>
          <t>HALLANDS LÄN</t>
        </is>
      </c>
      <c r="G503" t="inlineStr">
        <is>
          <t>HALMSTAD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46256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46256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46256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46256</v>
      </c>
      <c r="F507" t="inlineStr">
        <is>
          <t>HALLANDS LÄN</t>
        </is>
      </c>
      <c r="G507" t="inlineStr">
        <is>
          <t>HALMSTAD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23315-2026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46256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45747</v>
      </c>
      <c r="E509" s="1" t="n">
        <v>46256</v>
      </c>
      <c r="F509" t="inlineStr">
        <is>
          <t>HALLANDS LÄN</t>
        </is>
      </c>
      <c r="G509" t="inlineStr">
        <is>
          <t>HALMSTAD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46256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45694</v>
      </c>
      <c r="E511" s="1" t="n">
        <v>46256</v>
      </c>
      <c r="F511" t="inlineStr">
        <is>
          <t>HALLANDS LÄN</t>
        </is>
      </c>
      <c r="G511" t="inlineStr">
        <is>
          <t>HALMSTAD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44677</v>
      </c>
      <c r="E512" s="1" t="n">
        <v>46256</v>
      </c>
      <c r="F512" t="inlineStr">
        <is>
          <t>HALLANDS LÄN</t>
        </is>
      </c>
      <c r="G512" t="inlineStr">
        <is>
          <t>HALMSTAD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46256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46256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46256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46256</v>
      </c>
      <c r="F516" t="inlineStr">
        <is>
          <t>HALLANDS LÄN</t>
        </is>
      </c>
      <c r="G516" t="inlineStr">
        <is>
          <t>HALMSTAD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46256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45627</v>
      </c>
      <c r="E518" s="1" t="n">
        <v>46256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46256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46256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46256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46256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46256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46256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46256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46256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46256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46256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46256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46256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46256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46256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46256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2026-08-22T01:49:50Z</dcterms:created>
  <dcterms:modified xmlns:dcterms="http://purl.org/dc/terms/" xmlns:xsi="http://www.w3.org/2001/XMLSchema-instance" xsi:type="dcterms:W3CDTF">2026-08-22T01:49:50Z</dcterms:modified>
</cp:coreProperties>
</file>
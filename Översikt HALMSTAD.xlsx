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45762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45762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45762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45762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45762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45762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45762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45762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45762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45762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45762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45762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45762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45762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45762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45762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45762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45762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45762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45762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45762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45762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45762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45762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45762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47997-2023</t>
        </is>
      </c>
      <c r="B27" s="1" t="n">
        <v>45204</v>
      </c>
      <c r="C27" s="1" t="n">
        <v>45762</v>
      </c>
      <c r="D27" t="inlineStr">
        <is>
          <t>HALLANDS LÄN</t>
        </is>
      </c>
      <c r="E27" t="inlineStr">
        <is>
          <t>HALMSTAD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HYPERLINK("https://klasma.github.io/Logging_1380/artfynd/A 47997-2023 artfynd.xlsx", "A 47997-2023")</f>
        <v/>
      </c>
      <c r="T27">
        <f>HYPERLINK("https://klasma.github.io/Logging_1380/kartor/A 47997-2023 karta.png", "A 47997-2023")</f>
        <v/>
      </c>
      <c r="V27">
        <f>HYPERLINK("https://klasma.github.io/Logging_1380/klagomål/A 47997-2023 FSC-klagomål.docx", "A 47997-2023")</f>
        <v/>
      </c>
      <c r="W27">
        <f>HYPERLINK("https://klasma.github.io/Logging_1380/klagomålsmail/A 47997-2023 FSC-klagomål mail.docx", "A 47997-2023")</f>
        <v/>
      </c>
      <c r="X27">
        <f>HYPERLINK("https://klasma.github.io/Logging_1380/tillsyn/A 47997-2023 tillsynsbegäran.docx", "A 47997-2023")</f>
        <v/>
      </c>
      <c r="Y27">
        <f>HYPERLINK("https://klasma.github.io/Logging_1380/tillsynsmail/A 47997-2023 tillsynsbegäran mail.docx", "A 47997-2023")</f>
        <v/>
      </c>
    </row>
    <row r="28" ht="15" customHeight="1">
      <c r="A28" t="inlineStr">
        <is>
          <t>A 55580-2023</t>
        </is>
      </c>
      <c r="B28" s="1" t="n">
        <v>45238</v>
      </c>
      <c r="C28" s="1" t="n">
        <v>45762</v>
      </c>
      <c r="D28" t="inlineStr">
        <is>
          <t>HALLANDS LÄN</t>
        </is>
      </c>
      <c r="E28" t="inlineStr">
        <is>
          <t>HALMSTAD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Hårginst</t>
        </is>
      </c>
      <c r="S28">
        <f>HYPERLINK("https://klasma.github.io/Logging_1380/artfynd/A 55580-2023 artfynd.xlsx", "A 55580-2023")</f>
        <v/>
      </c>
      <c r="T28">
        <f>HYPERLINK("https://klasma.github.io/Logging_1380/kartor/A 55580-2023 karta.png", "A 55580-2023")</f>
        <v/>
      </c>
      <c r="V28">
        <f>HYPERLINK("https://klasma.github.io/Logging_1380/klagomål/A 55580-2023 FSC-klagomål.docx", "A 55580-2023")</f>
        <v/>
      </c>
      <c r="W28">
        <f>HYPERLINK("https://klasma.github.io/Logging_1380/klagomålsmail/A 55580-2023 FSC-klagomål mail.docx", "A 55580-2023")</f>
        <v/>
      </c>
      <c r="X28">
        <f>HYPERLINK("https://klasma.github.io/Logging_1380/tillsyn/A 55580-2023 tillsynsbegäran.docx", "A 55580-2023")</f>
        <v/>
      </c>
      <c r="Y28">
        <f>HYPERLINK("https://klasma.github.io/Logging_1380/tillsynsmail/A 55580-2023 tillsynsbegäran mail.docx", "A 55580-2023")</f>
        <v/>
      </c>
    </row>
    <row r="29" ht="15" customHeight="1">
      <c r="A29" t="inlineStr">
        <is>
          <t>A 60387-2023</t>
        </is>
      </c>
      <c r="B29" s="1" t="n">
        <v>45259</v>
      </c>
      <c r="C29" s="1" t="n">
        <v>45762</v>
      </c>
      <c r="D29" t="inlineStr">
        <is>
          <t>HALLANDS LÄN</t>
        </is>
      </c>
      <c r="E29" t="inlineStr">
        <is>
          <t>HALMSTAD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HYPERLINK("https://klasma.github.io/Logging_1380/artfynd/A 60387-2023 artfynd.xlsx", "A 60387-2023")</f>
        <v/>
      </c>
      <c r="T29">
        <f>HYPERLINK("https://klasma.github.io/Logging_1380/kartor/A 60387-2023 karta.png", "A 60387-2023")</f>
        <v/>
      </c>
      <c r="V29">
        <f>HYPERLINK("https://klasma.github.io/Logging_1380/klagomål/A 60387-2023 FSC-klagomål.docx", "A 60387-2023")</f>
        <v/>
      </c>
      <c r="W29">
        <f>HYPERLINK("https://klasma.github.io/Logging_1380/klagomålsmail/A 60387-2023 FSC-klagomål mail.docx", "A 60387-2023")</f>
        <v/>
      </c>
      <c r="X29">
        <f>HYPERLINK("https://klasma.github.io/Logging_1380/tillsyn/A 60387-2023 tillsynsbegäran.docx", "A 60387-2023")</f>
        <v/>
      </c>
      <c r="Y29">
        <f>HYPERLINK("https://klasma.github.io/Logging_1380/tillsynsmail/A 60387-2023 tillsynsbegäran mail.docx", "A 60387-2023")</f>
        <v/>
      </c>
      <c r="Z29">
        <f>HYPERLINK("https://klasma.github.io/Logging_1380/fåglar/A 60387-2023 prioriterade fågelarter.docx", "A 60387-2023")</f>
        <v/>
      </c>
    </row>
    <row r="30" ht="15" customHeight="1">
      <c r="A30" t="inlineStr">
        <is>
          <t>A 2994-2024</t>
        </is>
      </c>
      <c r="B30" s="1" t="n">
        <v>45315</v>
      </c>
      <c r="C30" s="1" t="n">
        <v>45762</v>
      </c>
      <c r="D30" t="inlineStr">
        <is>
          <t>HALLANDS LÄN</t>
        </is>
      </c>
      <c r="E30" t="inlineStr">
        <is>
          <t>HALMSTAD</t>
        </is>
      </c>
      <c r="G30" t="n">
        <v>7.9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HYPERLINK("https://klasma.github.io/Logging_1380/artfynd/A 2994-2024 artfynd.xlsx", "A 2994-2024")</f>
        <v/>
      </c>
      <c r="T30">
        <f>HYPERLINK("https://klasma.github.io/Logging_1380/kartor/A 2994-2024 karta.png", "A 2994-2024")</f>
        <v/>
      </c>
      <c r="V30">
        <f>HYPERLINK("https://klasma.github.io/Logging_1380/klagomål/A 2994-2024 FSC-klagomål.docx", "A 2994-2024")</f>
        <v/>
      </c>
      <c r="W30">
        <f>HYPERLINK("https://klasma.github.io/Logging_1380/klagomålsmail/A 2994-2024 FSC-klagomål mail.docx", "A 2994-2024")</f>
        <v/>
      </c>
      <c r="X30">
        <f>HYPERLINK("https://klasma.github.io/Logging_1380/tillsyn/A 2994-2024 tillsynsbegäran.docx", "A 2994-2024")</f>
        <v/>
      </c>
      <c r="Y30">
        <f>HYPERLINK("https://klasma.github.io/Logging_1380/tillsynsmail/A 2994-2024 tillsynsbegäran mail.docx", "A 2994-2024")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45762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10229-2024</t>
        </is>
      </c>
      <c r="B32" s="1" t="n">
        <v>45365</v>
      </c>
      <c r="C32" s="1" t="n">
        <v>45762</v>
      </c>
      <c r="D32" t="inlineStr">
        <is>
          <t>HALLANDS LÄN</t>
        </is>
      </c>
      <c r="E32" t="inlineStr">
        <is>
          <t>HALMSTAD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Trind spretmossa</t>
        </is>
      </c>
      <c r="S32">
        <f>HYPERLINK("https://klasma.github.io/Logging_1380/artfynd/A 10229-2024 artfynd.xlsx", "A 10229-2024")</f>
        <v/>
      </c>
      <c r="T32">
        <f>HYPERLINK("https://klasma.github.io/Logging_1380/kartor/A 10229-2024 karta.png", "A 10229-2024")</f>
        <v/>
      </c>
      <c r="V32">
        <f>HYPERLINK("https://klasma.github.io/Logging_1380/klagomål/A 10229-2024 FSC-klagomål.docx", "A 10229-2024")</f>
        <v/>
      </c>
      <c r="W32">
        <f>HYPERLINK("https://klasma.github.io/Logging_1380/klagomålsmail/A 10229-2024 FSC-klagomål mail.docx", "A 10229-2024")</f>
        <v/>
      </c>
      <c r="X32">
        <f>HYPERLINK("https://klasma.github.io/Logging_1380/tillsyn/A 10229-2024 tillsynsbegäran.docx", "A 10229-2024")</f>
        <v/>
      </c>
      <c r="Y32">
        <f>HYPERLINK("https://klasma.github.io/Logging_1380/tillsynsmail/A 10229-2024 tillsynsbegäran mail.docx", "A 10229-2024")</f>
        <v/>
      </c>
    </row>
    <row r="33" ht="15" customHeight="1">
      <c r="A33" t="inlineStr">
        <is>
          <t>A 21622-2024</t>
        </is>
      </c>
      <c r="B33" s="1" t="n">
        <v>45442</v>
      </c>
      <c r="C33" s="1" t="n">
        <v>45762</v>
      </c>
      <c r="D33" t="inlineStr">
        <is>
          <t>HALLANDS LÄN</t>
        </is>
      </c>
      <c r="E33" t="inlineStr">
        <is>
          <t>HALMSTAD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21622-2024 artfynd.xlsx", "A 21622-2024")</f>
        <v/>
      </c>
      <c r="T33">
        <f>HYPERLINK("https://klasma.github.io/Logging_1380/kartor/A 21622-2024 karta.png", "A 21622-2024")</f>
        <v/>
      </c>
      <c r="V33">
        <f>HYPERLINK("https://klasma.github.io/Logging_1380/klagomål/A 21622-2024 FSC-klagomål.docx", "A 21622-2024")</f>
        <v/>
      </c>
      <c r="W33">
        <f>HYPERLINK("https://klasma.github.io/Logging_1380/klagomålsmail/A 21622-2024 FSC-klagomål mail.docx", "A 21622-2024")</f>
        <v/>
      </c>
      <c r="X33">
        <f>HYPERLINK("https://klasma.github.io/Logging_1380/tillsyn/A 21622-2024 tillsynsbegäran.docx", "A 21622-2024")</f>
        <v/>
      </c>
      <c r="Y33">
        <f>HYPERLINK("https://klasma.github.io/Logging_1380/tillsynsmail/A 21622-2024 tillsynsbegäran mail.docx", "A 21622-2024")</f>
        <v/>
      </c>
    </row>
    <row r="34" ht="15" customHeight="1">
      <c r="A34" t="inlineStr">
        <is>
          <t>A 37600-2024</t>
        </is>
      </c>
      <c r="B34" s="1" t="n">
        <v>45541</v>
      </c>
      <c r="C34" s="1" t="n">
        <v>45762</v>
      </c>
      <c r="D34" t="inlineStr">
        <is>
          <t>HALLANDS LÄN</t>
        </is>
      </c>
      <c r="E34" t="inlineStr">
        <is>
          <t>HALMSTAD</t>
        </is>
      </c>
      <c r="G34" t="n">
        <v>23.1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37600-2024 artfynd.xlsx", "A 37600-2024")</f>
        <v/>
      </c>
      <c r="T34">
        <f>HYPERLINK("https://klasma.github.io/Logging_1380/kartor/A 37600-2024 karta.png", "A 37600-2024")</f>
        <v/>
      </c>
      <c r="V34">
        <f>HYPERLINK("https://klasma.github.io/Logging_1380/klagomål/A 37600-2024 FSC-klagomål.docx", "A 37600-2024")</f>
        <v/>
      </c>
      <c r="W34">
        <f>HYPERLINK("https://klasma.github.io/Logging_1380/klagomålsmail/A 37600-2024 FSC-klagomål mail.docx", "A 37600-2024")</f>
        <v/>
      </c>
      <c r="X34">
        <f>HYPERLINK("https://klasma.github.io/Logging_1380/tillsyn/A 37600-2024 tillsynsbegäran.docx", "A 37600-2024")</f>
        <v/>
      </c>
      <c r="Y34">
        <f>HYPERLINK("https://klasma.github.io/Logging_1380/tillsynsmail/A 37600-2024 tillsynsbegäran mail.docx", "A 37600-2024")</f>
        <v/>
      </c>
    </row>
    <row r="35" ht="15" customHeight="1">
      <c r="A35" t="inlineStr">
        <is>
          <t>A 42732-2024</t>
        </is>
      </c>
      <c r="B35" s="1" t="n">
        <v>45566</v>
      </c>
      <c r="C35" s="1" t="n">
        <v>45762</v>
      </c>
      <c r="D35" t="inlineStr">
        <is>
          <t>HALLANDS LÄN</t>
        </is>
      </c>
      <c r="E35" t="inlineStr">
        <is>
          <t>HALMSTAD</t>
        </is>
      </c>
      <c r="G35" t="n">
        <v>13.9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42732-2024 artfynd.xlsx", "A 42732-2024")</f>
        <v/>
      </c>
      <c r="T35">
        <f>HYPERLINK("https://klasma.github.io/Logging_1380/kartor/A 42732-2024 karta.png", "A 42732-2024")</f>
        <v/>
      </c>
      <c r="V35">
        <f>HYPERLINK("https://klasma.github.io/Logging_1380/klagomål/A 42732-2024 FSC-klagomål.docx", "A 42732-2024")</f>
        <v/>
      </c>
      <c r="W35">
        <f>HYPERLINK("https://klasma.github.io/Logging_1380/klagomålsmail/A 42732-2024 FSC-klagomål mail.docx", "A 42732-2024")</f>
        <v/>
      </c>
      <c r="X35">
        <f>HYPERLINK("https://klasma.github.io/Logging_1380/tillsyn/A 42732-2024 tillsynsbegäran.docx", "A 42732-2024")</f>
        <v/>
      </c>
      <c r="Y35">
        <f>HYPERLINK("https://klasma.github.io/Logging_1380/tillsynsmail/A 42732-2024 tillsynsbegäran mail.docx", "A 42732-2024")</f>
        <v/>
      </c>
    </row>
    <row r="36" ht="15" customHeight="1">
      <c r="A36" t="inlineStr">
        <is>
          <t>A 5530-2025</t>
        </is>
      </c>
      <c r="B36" s="1" t="n">
        <v>45692</v>
      </c>
      <c r="C36" s="1" t="n">
        <v>45762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HYPERLINK("https://klasma.github.io/Logging_1380/artfynd/A 5530-2025 artfynd.xlsx", "A 5530-2025")</f>
        <v/>
      </c>
      <c r="T36">
        <f>HYPERLINK("https://klasma.github.io/Logging_1380/kartor/A 5530-2025 karta.png", "A 5530-2025")</f>
        <v/>
      </c>
      <c r="V36">
        <f>HYPERLINK("https://klasma.github.io/Logging_1380/klagomål/A 5530-2025 FSC-klagomål.docx", "A 5530-2025")</f>
        <v/>
      </c>
      <c r="W36">
        <f>HYPERLINK("https://klasma.github.io/Logging_1380/klagomålsmail/A 5530-2025 FSC-klagomål mail.docx", "A 5530-2025")</f>
        <v/>
      </c>
      <c r="X36">
        <f>HYPERLINK("https://klasma.github.io/Logging_1380/tillsyn/A 5530-2025 tillsynsbegäran.docx", "A 5530-2025")</f>
        <v/>
      </c>
      <c r="Y36">
        <f>HYPERLINK("https://klasma.github.io/Logging_1380/tillsynsmail/A 5530-2025 tillsynsbegäran mail.docx", "A 5530-2025")</f>
        <v/>
      </c>
    </row>
    <row r="37" ht="15" customHeight="1">
      <c r="A37" t="inlineStr">
        <is>
          <t>A 5240-2025</t>
        </is>
      </c>
      <c r="B37" s="1" t="n">
        <v>45692</v>
      </c>
      <c r="C37" s="1" t="n">
        <v>45762</v>
      </c>
      <c r="D37" t="inlineStr">
        <is>
          <t>HALLANDS LÄN</t>
        </is>
      </c>
      <c r="E37" t="inlineStr">
        <is>
          <t>HALMSTAD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Mussellav</t>
        </is>
      </c>
      <c r="S37">
        <f>HYPERLINK("https://klasma.github.io/Logging_1380/artfynd/A 5240-2025 artfynd.xlsx", "A 5240-2025")</f>
        <v/>
      </c>
      <c r="T37">
        <f>HYPERLINK("https://klasma.github.io/Logging_1380/kartor/A 5240-2025 karta.png", "A 5240-2025")</f>
        <v/>
      </c>
      <c r="V37">
        <f>HYPERLINK("https://klasma.github.io/Logging_1380/klagomål/A 5240-2025 FSC-klagomål.docx", "A 5240-2025")</f>
        <v/>
      </c>
      <c r="W37">
        <f>HYPERLINK("https://klasma.github.io/Logging_1380/klagomålsmail/A 5240-2025 FSC-klagomål mail.docx", "A 5240-2025")</f>
        <v/>
      </c>
      <c r="X37">
        <f>HYPERLINK("https://klasma.github.io/Logging_1380/tillsyn/A 5240-2025 tillsynsbegäran.docx", "A 5240-2025")</f>
        <v/>
      </c>
      <c r="Y37">
        <f>HYPERLINK("https://klasma.github.io/Logging_1380/tillsynsmail/A 5240-2025 tillsynsbegäran mail.docx", "A 5240-2025")</f>
        <v/>
      </c>
    </row>
    <row r="38" ht="15" customHeight="1">
      <c r="A38" t="inlineStr">
        <is>
          <t>A 17740-2019</t>
        </is>
      </c>
      <c r="B38" s="1" t="n">
        <v>43556</v>
      </c>
      <c r="C38" s="1" t="n">
        <v>45762</v>
      </c>
      <c r="D38" t="inlineStr">
        <is>
          <t>HALLANDS LÄN</t>
        </is>
      </c>
      <c r="E38" t="inlineStr">
        <is>
          <t>HALMSTAD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17783-2019</t>
        </is>
      </c>
      <c r="B39" s="1" t="n">
        <v>43556</v>
      </c>
      <c r="C39" s="1" t="n">
        <v>45762</v>
      </c>
      <c r="D39" t="inlineStr">
        <is>
          <t>HALLANDS LÄN</t>
        </is>
      </c>
      <c r="E39" t="inlineStr">
        <is>
          <t>HALMSTAD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17776-2019</t>
        </is>
      </c>
      <c r="B40" s="1" t="n">
        <v>43556</v>
      </c>
      <c r="C40" s="1" t="n">
        <v>45762</v>
      </c>
      <c r="D40" t="inlineStr">
        <is>
          <t>HALLANDS LÄN</t>
        </is>
      </c>
      <c r="E40" t="inlineStr">
        <is>
          <t>HALMSTAD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18661-2019</t>
        </is>
      </c>
      <c r="B41" s="1" t="n">
        <v>43560</v>
      </c>
      <c r="C41" s="1" t="n">
        <v>45762</v>
      </c>
      <c r="D41" t="inlineStr">
        <is>
          <t>HALLANDS LÄN</t>
        </is>
      </c>
      <c r="E41" t="inlineStr">
        <is>
          <t>HALMSTAD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19203-2019</t>
        </is>
      </c>
      <c r="B42" s="1" t="n">
        <v>43564</v>
      </c>
      <c r="C42" s="1" t="n">
        <v>45762</v>
      </c>
      <c r="D42" t="inlineStr">
        <is>
          <t>HALLANDS LÄN</t>
        </is>
      </c>
      <c r="E42" t="inlineStr">
        <is>
          <t>HALMSTAD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20327-2019</t>
        </is>
      </c>
      <c r="B43" s="1" t="n">
        <v>43571</v>
      </c>
      <c r="C43" s="1" t="n">
        <v>45762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20554-2019</t>
        </is>
      </c>
      <c r="B44" s="1" t="n">
        <v>43572</v>
      </c>
      <c r="C44" s="1" t="n">
        <v>45762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21163-2019</t>
        </is>
      </c>
      <c r="B45" s="1" t="n">
        <v>43578</v>
      </c>
      <c r="C45" s="1" t="n">
        <v>45762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21159-2019</t>
        </is>
      </c>
      <c r="B46" s="1" t="n">
        <v>43578</v>
      </c>
      <c r="C46" s="1" t="n">
        <v>45762</v>
      </c>
      <c r="D46" t="inlineStr">
        <is>
          <t>HALLANDS LÄN</t>
        </is>
      </c>
      <c r="E46" t="inlineStr">
        <is>
          <t>HALMSTAD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21536-2019</t>
        </is>
      </c>
      <c r="B47" s="1" t="n">
        <v>43580</v>
      </c>
      <c r="C47" s="1" t="n">
        <v>45762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21713-2019</t>
        </is>
      </c>
      <c r="B48" s="1" t="n">
        <v>43581</v>
      </c>
      <c r="C48" s="1" t="n">
        <v>45762</v>
      </c>
      <c r="D48" t="inlineStr">
        <is>
          <t>HALLANDS LÄN</t>
        </is>
      </c>
      <c r="E48" t="inlineStr">
        <is>
          <t>HALMSTAD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23552-2019</t>
        </is>
      </c>
      <c r="B49" s="1" t="n">
        <v>43593</v>
      </c>
      <c r="C49" s="1" t="n">
        <v>45762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23522-2019</t>
        </is>
      </c>
      <c r="B50" s="1" t="n">
        <v>43593</v>
      </c>
      <c r="C50" s="1" t="n">
        <v>45762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24480-2019</t>
        </is>
      </c>
      <c r="B51" s="1" t="n">
        <v>43600</v>
      </c>
      <c r="C51" s="1" t="n">
        <v>45762</v>
      </c>
      <c r="D51" t="inlineStr">
        <is>
          <t>HALLANDS LÄN</t>
        </is>
      </c>
      <c r="E51" t="inlineStr">
        <is>
          <t>HALMSTAD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25198-2019</t>
        </is>
      </c>
      <c r="B52" s="1" t="n">
        <v>43605</v>
      </c>
      <c r="C52" s="1" t="n">
        <v>45762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25222-2019</t>
        </is>
      </c>
      <c r="B53" s="1" t="n">
        <v>43605</v>
      </c>
      <c r="C53" s="1" t="n">
        <v>45762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26295-2019</t>
        </is>
      </c>
      <c r="B54" s="1" t="n">
        <v>43606</v>
      </c>
      <c r="C54" s="1" t="n">
        <v>45762</v>
      </c>
      <c r="D54" t="inlineStr">
        <is>
          <t>HALLANDS LÄN</t>
        </is>
      </c>
      <c r="E54" t="inlineStr">
        <is>
          <t>HALMSTAD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26135-2019</t>
        </is>
      </c>
      <c r="B55" s="1" t="n">
        <v>43609</v>
      </c>
      <c r="C55" s="1" t="n">
        <v>45762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27796-2019</t>
        </is>
      </c>
      <c r="B56" s="1" t="n">
        <v>43620</v>
      </c>
      <c r="C56" s="1" t="n">
        <v>45762</v>
      </c>
      <c r="D56" t="inlineStr">
        <is>
          <t>HALLANDS LÄN</t>
        </is>
      </c>
      <c r="E56" t="inlineStr">
        <is>
          <t>HALMSTAD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29870-2019</t>
        </is>
      </c>
      <c r="B57" s="1" t="n">
        <v>43633</v>
      </c>
      <c r="C57" s="1" t="n">
        <v>45762</v>
      </c>
      <c r="D57" t="inlineStr">
        <is>
          <t>HALLANDS LÄN</t>
        </is>
      </c>
      <c r="E57" t="inlineStr">
        <is>
          <t>HALMSTAD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30422-2019</t>
        </is>
      </c>
      <c r="B58" s="1" t="n">
        <v>43633</v>
      </c>
      <c r="C58" s="1" t="n">
        <v>45762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30490-2019</t>
        </is>
      </c>
      <c r="B59" s="1" t="n">
        <v>43635</v>
      </c>
      <c r="C59" s="1" t="n">
        <v>45762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31527-2019</t>
        </is>
      </c>
      <c r="B60" s="1" t="n">
        <v>43641</v>
      </c>
      <c r="C60" s="1" t="n">
        <v>45762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31367-2019</t>
        </is>
      </c>
      <c r="B61" s="1" t="n">
        <v>43641</v>
      </c>
      <c r="C61" s="1" t="n">
        <v>45762</v>
      </c>
      <c r="D61" t="inlineStr">
        <is>
          <t>HALLANDS LÄN</t>
        </is>
      </c>
      <c r="E61" t="inlineStr">
        <is>
          <t>HALMSTAD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32265-2019</t>
        </is>
      </c>
      <c r="B62" s="1" t="n">
        <v>43644</v>
      </c>
      <c r="C62" s="1" t="n">
        <v>45762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32755-2019</t>
        </is>
      </c>
      <c r="B63" s="1" t="n">
        <v>43648</v>
      </c>
      <c r="C63" s="1" t="n">
        <v>45762</v>
      </c>
      <c r="D63" t="inlineStr">
        <is>
          <t>HALLANDS LÄN</t>
        </is>
      </c>
      <c r="E63" t="inlineStr">
        <is>
          <t>HALMSTAD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33945-2019</t>
        </is>
      </c>
      <c r="B64" s="1" t="n">
        <v>43654</v>
      </c>
      <c r="C64" s="1" t="n">
        <v>45762</v>
      </c>
      <c r="D64" t="inlineStr">
        <is>
          <t>HALLANDS LÄN</t>
        </is>
      </c>
      <c r="E64" t="inlineStr">
        <is>
          <t>HALMSTAD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34849-2019</t>
        </is>
      </c>
      <c r="B65" s="1" t="n">
        <v>43658</v>
      </c>
      <c r="C65" s="1" t="n">
        <v>45762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34850-2019</t>
        </is>
      </c>
      <c r="B66" s="1" t="n">
        <v>43658</v>
      </c>
      <c r="C66" s="1" t="n">
        <v>45762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36757-2019</t>
        </is>
      </c>
      <c r="B67" s="1" t="n">
        <v>43672</v>
      </c>
      <c r="C67" s="1" t="n">
        <v>45762</v>
      </c>
      <c r="D67" t="inlineStr">
        <is>
          <t>HALLANDS LÄN</t>
        </is>
      </c>
      <c r="E67" t="inlineStr">
        <is>
          <t>HALMSTAD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38958-2019</t>
        </is>
      </c>
      <c r="B68" s="1" t="n">
        <v>43685</v>
      </c>
      <c r="C68" s="1" t="n">
        <v>45762</v>
      </c>
      <c r="D68" t="inlineStr">
        <is>
          <t>HALLANDS LÄN</t>
        </is>
      </c>
      <c r="E68" t="inlineStr">
        <is>
          <t>HALMSTAD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38962-2019</t>
        </is>
      </c>
      <c r="B69" s="1" t="n">
        <v>43685</v>
      </c>
      <c r="C69" s="1" t="n">
        <v>45762</v>
      </c>
      <c r="D69" t="inlineStr">
        <is>
          <t>HALLANDS LÄN</t>
        </is>
      </c>
      <c r="E69" t="inlineStr">
        <is>
          <t>HALMSTAD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39657-2019</t>
        </is>
      </c>
      <c r="B70" s="1" t="n">
        <v>43691</v>
      </c>
      <c r="C70" s="1" t="n">
        <v>45762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39820-2019</t>
        </is>
      </c>
      <c r="B71" s="1" t="n">
        <v>43692</v>
      </c>
      <c r="C71" s="1" t="n">
        <v>45762</v>
      </c>
      <c r="D71" t="inlineStr">
        <is>
          <t>HALLANDS LÄN</t>
        </is>
      </c>
      <c r="E71" t="inlineStr">
        <is>
          <t>HALMSTAD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41064-2019</t>
        </is>
      </c>
      <c r="B72" s="1" t="n">
        <v>43698</v>
      </c>
      <c r="C72" s="1" t="n">
        <v>45762</v>
      </c>
      <c r="D72" t="inlineStr">
        <is>
          <t>HALLANDS LÄN</t>
        </is>
      </c>
      <c r="E72" t="inlineStr">
        <is>
          <t>HALMSTAD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41177-2019</t>
        </is>
      </c>
      <c r="B73" s="1" t="n">
        <v>43698</v>
      </c>
      <c r="C73" s="1" t="n">
        <v>45762</v>
      </c>
      <c r="D73" t="inlineStr">
        <is>
          <t>HALLANDS LÄN</t>
        </is>
      </c>
      <c r="E73" t="inlineStr">
        <is>
          <t>HALMSTAD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41295-2019</t>
        </is>
      </c>
      <c r="B74" s="1" t="n">
        <v>43698</v>
      </c>
      <c r="C74" s="1" t="n">
        <v>45762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41302-2019</t>
        </is>
      </c>
      <c r="B75" s="1" t="n">
        <v>43698</v>
      </c>
      <c r="C75" s="1" t="n">
        <v>45762</v>
      </c>
      <c r="D75" t="inlineStr">
        <is>
          <t>HALLANDS LÄN</t>
        </is>
      </c>
      <c r="E75" t="inlineStr">
        <is>
          <t>HALMSTAD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41301-2019</t>
        </is>
      </c>
      <c r="B76" s="1" t="n">
        <v>43698</v>
      </c>
      <c r="C76" s="1" t="n">
        <v>45762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44175-2019</t>
        </is>
      </c>
      <c r="B77" s="1" t="n">
        <v>43710</v>
      </c>
      <c r="C77" s="1" t="n">
        <v>45762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44170-2019</t>
        </is>
      </c>
      <c r="B78" s="1" t="n">
        <v>43710</v>
      </c>
      <c r="C78" s="1" t="n">
        <v>45762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46030-2019</t>
        </is>
      </c>
      <c r="B79" s="1" t="n">
        <v>43718</v>
      </c>
      <c r="C79" s="1" t="n">
        <v>45762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46041-2019</t>
        </is>
      </c>
      <c r="B80" s="1" t="n">
        <v>43718</v>
      </c>
      <c r="C80" s="1" t="n">
        <v>45762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46035-2019</t>
        </is>
      </c>
      <c r="B81" s="1" t="n">
        <v>43718</v>
      </c>
      <c r="C81" s="1" t="n">
        <v>45762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46042-2019</t>
        </is>
      </c>
      <c r="B82" s="1" t="n">
        <v>43718</v>
      </c>
      <c r="C82" s="1" t="n">
        <v>45762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46025-2019</t>
        </is>
      </c>
      <c r="B83" s="1" t="n">
        <v>43718</v>
      </c>
      <c r="C83" s="1" t="n">
        <v>45762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47139-2019</t>
        </is>
      </c>
      <c r="B84" s="1" t="n">
        <v>43721</v>
      </c>
      <c r="C84" s="1" t="n">
        <v>45762</v>
      </c>
      <c r="D84" t="inlineStr">
        <is>
          <t>HALLANDS LÄN</t>
        </is>
      </c>
      <c r="E84" t="inlineStr">
        <is>
          <t>HALMSTAD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47480-2019</t>
        </is>
      </c>
      <c r="B85" s="1" t="n">
        <v>43724</v>
      </c>
      <c r="C85" s="1" t="n">
        <v>45762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48619-2019</t>
        </is>
      </c>
      <c r="B86" s="1" t="n">
        <v>43727</v>
      </c>
      <c r="C86" s="1" t="n">
        <v>45762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49808-2019</t>
        </is>
      </c>
      <c r="B87" s="1" t="n">
        <v>43733</v>
      </c>
      <c r="C87" s="1" t="n">
        <v>45762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52108-2019</t>
        </is>
      </c>
      <c r="B88" s="1" t="n">
        <v>43742</v>
      </c>
      <c r="C88" s="1" t="n">
        <v>45762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53861-2019</t>
        </is>
      </c>
      <c r="B89" s="1" t="n">
        <v>43742</v>
      </c>
      <c r="C89" s="1" t="n">
        <v>45762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52106-2019</t>
        </is>
      </c>
      <c r="B90" s="1" t="n">
        <v>43742</v>
      </c>
      <c r="C90" s="1" t="n">
        <v>45762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52118-2019</t>
        </is>
      </c>
      <c r="B91" s="1" t="n">
        <v>43742</v>
      </c>
      <c r="C91" s="1" t="n">
        <v>45762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53283-2019</t>
        </is>
      </c>
      <c r="B92" s="1" t="n">
        <v>43748</v>
      </c>
      <c r="C92" s="1" t="n">
        <v>45762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54461-2019</t>
        </is>
      </c>
      <c r="B93" s="1" t="n">
        <v>43754</v>
      </c>
      <c r="C93" s="1" t="n">
        <v>45762</v>
      </c>
      <c r="D93" t="inlineStr">
        <is>
          <t>HALLANDS LÄN</t>
        </is>
      </c>
      <c r="E93" t="inlineStr">
        <is>
          <t>HALMSTAD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58277-2019</t>
        </is>
      </c>
      <c r="B94" s="1" t="n">
        <v>43770</v>
      </c>
      <c r="C94" s="1" t="n">
        <v>45762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59406-2019</t>
        </is>
      </c>
      <c r="B95" s="1" t="n">
        <v>43775</v>
      </c>
      <c r="C95" s="1" t="n">
        <v>45762</v>
      </c>
      <c r="D95" t="inlineStr">
        <is>
          <t>HALLANDS LÄN</t>
        </is>
      </c>
      <c r="E95" t="inlineStr">
        <is>
          <t>HALMSTAD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59410-2019</t>
        </is>
      </c>
      <c r="B96" s="1" t="n">
        <v>43775</v>
      </c>
      <c r="C96" s="1" t="n">
        <v>45762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59407-2019</t>
        </is>
      </c>
      <c r="B97" s="1" t="n">
        <v>43775</v>
      </c>
      <c r="C97" s="1" t="n">
        <v>45762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59348-2019</t>
        </is>
      </c>
      <c r="B98" s="1" t="n">
        <v>43775</v>
      </c>
      <c r="C98" s="1" t="n">
        <v>45762</v>
      </c>
      <c r="D98" t="inlineStr">
        <is>
          <t>HALLANDS LÄN</t>
        </is>
      </c>
      <c r="E98" t="inlineStr">
        <is>
          <t>HALMSTAD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62365-2019</t>
        </is>
      </c>
      <c r="B99" s="1" t="n">
        <v>43788</v>
      </c>
      <c r="C99" s="1" t="n">
        <v>45762</v>
      </c>
      <c r="D99" t="inlineStr">
        <is>
          <t>HALLANDS LÄN</t>
        </is>
      </c>
      <c r="E99" t="inlineStr">
        <is>
          <t>HALMSTAD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62408-2019</t>
        </is>
      </c>
      <c r="B100" s="1" t="n">
        <v>43788</v>
      </c>
      <c r="C100" s="1" t="n">
        <v>45762</v>
      </c>
      <c r="D100" t="inlineStr">
        <is>
          <t>HALLANDS LÄN</t>
        </is>
      </c>
      <c r="E100" t="inlineStr">
        <is>
          <t>HALMSTAD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62601-2019</t>
        </is>
      </c>
      <c r="B101" s="1" t="n">
        <v>43789</v>
      </c>
      <c r="C101" s="1" t="n">
        <v>45762</v>
      </c>
      <c r="D101" t="inlineStr">
        <is>
          <t>HALLANDS LÄN</t>
        </is>
      </c>
      <c r="E101" t="inlineStr">
        <is>
          <t>HALMSTAD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64877-2019</t>
        </is>
      </c>
      <c r="B102" s="1" t="n">
        <v>43795</v>
      </c>
      <c r="C102" s="1" t="n">
        <v>45762</v>
      </c>
      <c r="D102" t="inlineStr">
        <is>
          <t>HALLANDS LÄN</t>
        </is>
      </c>
      <c r="E102" t="inlineStr">
        <is>
          <t>HALMSTAD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64033-2019</t>
        </is>
      </c>
      <c r="B103" s="1" t="n">
        <v>43795</v>
      </c>
      <c r="C103" s="1" t="n">
        <v>45762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63858-2019</t>
        </is>
      </c>
      <c r="B104" s="1" t="n">
        <v>43796</v>
      </c>
      <c r="C104" s="1" t="n">
        <v>45762</v>
      </c>
      <c r="D104" t="inlineStr">
        <is>
          <t>HALLANDS LÄN</t>
        </is>
      </c>
      <c r="E104" t="inlineStr">
        <is>
          <t>HALMSTAD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63907-2019</t>
        </is>
      </c>
      <c r="B105" s="1" t="n">
        <v>43796</v>
      </c>
      <c r="C105" s="1" t="n">
        <v>45762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63975-2019</t>
        </is>
      </c>
      <c r="B106" s="1" t="n">
        <v>43796</v>
      </c>
      <c r="C106" s="1" t="n">
        <v>45762</v>
      </c>
      <c r="D106" t="inlineStr">
        <is>
          <t>HALLANDS LÄN</t>
        </is>
      </c>
      <c r="E106" t="inlineStr">
        <is>
          <t>HALMSTAD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66779-2019</t>
        </is>
      </c>
      <c r="B107" s="1" t="n">
        <v>43810</v>
      </c>
      <c r="C107" s="1" t="n">
        <v>45762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66778-2019</t>
        </is>
      </c>
      <c r="B108" s="1" t="n">
        <v>43810</v>
      </c>
      <c r="C108" s="1" t="n">
        <v>45762</v>
      </c>
      <c r="D108" t="inlineStr">
        <is>
          <t>HALLANDS LÄN</t>
        </is>
      </c>
      <c r="E108" t="inlineStr">
        <is>
          <t>HALMSTAD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67209-2019</t>
        </is>
      </c>
      <c r="B109" s="1" t="n">
        <v>43811</v>
      </c>
      <c r="C109" s="1" t="n">
        <v>45762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1959-2020</t>
        </is>
      </c>
      <c r="B110" s="1" t="n">
        <v>43845</v>
      </c>
      <c r="C110" s="1" t="n">
        <v>45762</v>
      </c>
      <c r="D110" t="inlineStr">
        <is>
          <t>HALLANDS LÄN</t>
        </is>
      </c>
      <c r="E110" t="inlineStr">
        <is>
          <t>HALMSTAD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4903-2020</t>
        </is>
      </c>
      <c r="B111" s="1" t="n">
        <v>43859</v>
      </c>
      <c r="C111" s="1" t="n">
        <v>45762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5019-2020</t>
        </is>
      </c>
      <c r="B112" s="1" t="n">
        <v>43859</v>
      </c>
      <c r="C112" s="1" t="n">
        <v>45762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5414-2020</t>
        </is>
      </c>
      <c r="B113" s="1" t="n">
        <v>43860</v>
      </c>
      <c r="C113" s="1" t="n">
        <v>45762</v>
      </c>
      <c r="D113" t="inlineStr">
        <is>
          <t>HALLANDS LÄN</t>
        </is>
      </c>
      <c r="E113" t="inlineStr">
        <is>
          <t>HALMSTAD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5771-2020</t>
        </is>
      </c>
      <c r="B114" s="1" t="n">
        <v>43864</v>
      </c>
      <c r="C114" s="1" t="n">
        <v>45762</v>
      </c>
      <c r="D114" t="inlineStr">
        <is>
          <t>HALLANDS LÄN</t>
        </is>
      </c>
      <c r="E114" t="inlineStr">
        <is>
          <t>HALMSTAD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7593-2020</t>
        </is>
      </c>
      <c r="B115" s="1" t="n">
        <v>43872</v>
      </c>
      <c r="C115" s="1" t="n">
        <v>45762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9221-2020</t>
        </is>
      </c>
      <c r="B116" s="1" t="n">
        <v>43879</v>
      </c>
      <c r="C116" s="1" t="n">
        <v>45762</v>
      </c>
      <c r="D116" t="inlineStr">
        <is>
          <t>HALLANDS LÄN</t>
        </is>
      </c>
      <c r="E116" t="inlineStr">
        <is>
          <t>HALMSTAD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9219-2020</t>
        </is>
      </c>
      <c r="B117" s="1" t="n">
        <v>43879</v>
      </c>
      <c r="C117" s="1" t="n">
        <v>45762</v>
      </c>
      <c r="D117" t="inlineStr">
        <is>
          <t>HALLANDS LÄN</t>
        </is>
      </c>
      <c r="E117" t="inlineStr">
        <is>
          <t>HALMSTAD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9477-2020</t>
        </is>
      </c>
      <c r="B118" s="1" t="n">
        <v>43880</v>
      </c>
      <c r="C118" s="1" t="n">
        <v>45762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9452-2020</t>
        </is>
      </c>
      <c r="B119" s="1" t="n">
        <v>43880</v>
      </c>
      <c r="C119" s="1" t="n">
        <v>45762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9459-2020</t>
        </is>
      </c>
      <c r="B120" s="1" t="n">
        <v>43880</v>
      </c>
      <c r="C120" s="1" t="n">
        <v>45762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10232-2020</t>
        </is>
      </c>
      <c r="B121" s="1" t="n">
        <v>43887</v>
      </c>
      <c r="C121" s="1" t="n">
        <v>45762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12189-2020</t>
        </is>
      </c>
      <c r="B122" s="1" t="n">
        <v>43895</v>
      </c>
      <c r="C122" s="1" t="n">
        <v>45762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13405-2020</t>
        </is>
      </c>
      <c r="B123" s="1" t="n">
        <v>43902</v>
      </c>
      <c r="C123" s="1" t="n">
        <v>45762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13398-2020</t>
        </is>
      </c>
      <c r="B124" s="1" t="n">
        <v>43902</v>
      </c>
      <c r="C124" s="1" t="n">
        <v>45762</v>
      </c>
      <c r="D124" t="inlineStr">
        <is>
          <t>HALLANDS LÄN</t>
        </is>
      </c>
      <c r="E124" t="inlineStr">
        <is>
          <t>HALMSTAD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16582-2020</t>
        </is>
      </c>
      <c r="B125" s="1" t="n">
        <v>43909</v>
      </c>
      <c r="C125" s="1" t="n">
        <v>45762</v>
      </c>
      <c r="D125" t="inlineStr">
        <is>
          <t>HALLANDS LÄN</t>
        </is>
      </c>
      <c r="E125" t="inlineStr">
        <is>
          <t>HALMSTAD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16029-2020</t>
        </is>
      </c>
      <c r="B126" s="1" t="n">
        <v>43916</v>
      </c>
      <c r="C126" s="1" t="n">
        <v>45762</v>
      </c>
      <c r="D126" t="inlineStr">
        <is>
          <t>HALLANDS LÄN</t>
        </is>
      </c>
      <c r="E126" t="inlineStr">
        <is>
          <t>HALMSTAD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17724-2020</t>
        </is>
      </c>
      <c r="B127" s="1" t="n">
        <v>43924</v>
      </c>
      <c r="C127" s="1" t="n">
        <v>45762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17725-2020</t>
        </is>
      </c>
      <c r="B128" s="1" t="n">
        <v>43924</v>
      </c>
      <c r="C128" s="1" t="n">
        <v>45762</v>
      </c>
      <c r="D128" t="inlineStr">
        <is>
          <t>HALLANDS LÄN</t>
        </is>
      </c>
      <c r="E128" t="inlineStr">
        <is>
          <t>HALMSTAD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18125-2020</t>
        </is>
      </c>
      <c r="B129" s="1" t="n">
        <v>43927</v>
      </c>
      <c r="C129" s="1" t="n">
        <v>45762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19209-2020</t>
        </is>
      </c>
      <c r="B130" s="1" t="n">
        <v>43937</v>
      </c>
      <c r="C130" s="1" t="n">
        <v>45762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19737-2020</t>
        </is>
      </c>
      <c r="B131" s="1" t="n">
        <v>43942</v>
      </c>
      <c r="C131" s="1" t="n">
        <v>45762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20208-2020</t>
        </is>
      </c>
      <c r="B132" s="1" t="n">
        <v>43944</v>
      </c>
      <c r="C132" s="1" t="n">
        <v>45762</v>
      </c>
      <c r="D132" t="inlineStr">
        <is>
          <t>HALLANDS LÄN</t>
        </is>
      </c>
      <c r="E132" t="inlineStr">
        <is>
          <t>HALMSTAD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20297-2020</t>
        </is>
      </c>
      <c r="B133" s="1" t="n">
        <v>43944</v>
      </c>
      <c r="C133" s="1" t="n">
        <v>45762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20457-2020</t>
        </is>
      </c>
      <c r="B134" s="1" t="n">
        <v>43948</v>
      </c>
      <c r="C134" s="1" t="n">
        <v>45762</v>
      </c>
      <c r="D134" t="inlineStr">
        <is>
          <t>HALLANDS LÄN</t>
        </is>
      </c>
      <c r="E134" t="inlineStr">
        <is>
          <t>HALMSTAD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20637-2020</t>
        </is>
      </c>
      <c r="B135" s="1" t="n">
        <v>43949</v>
      </c>
      <c r="C135" s="1" t="n">
        <v>45762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20828-2020</t>
        </is>
      </c>
      <c r="B136" s="1" t="n">
        <v>43949</v>
      </c>
      <c r="C136" s="1" t="n">
        <v>45762</v>
      </c>
      <c r="D136" t="inlineStr">
        <is>
          <t>HALLANDS LÄN</t>
        </is>
      </c>
      <c r="E136" t="inlineStr">
        <is>
          <t>HALMSTAD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20896-2020</t>
        </is>
      </c>
      <c r="B137" s="1" t="n">
        <v>43950</v>
      </c>
      <c r="C137" s="1" t="n">
        <v>45762</v>
      </c>
      <c r="D137" t="inlineStr">
        <is>
          <t>HALLANDS LÄN</t>
        </is>
      </c>
      <c r="E137" t="inlineStr">
        <is>
          <t>HALMSTAD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24545-2020</t>
        </is>
      </c>
      <c r="B138" s="1" t="n">
        <v>43977</v>
      </c>
      <c r="C138" s="1" t="n">
        <v>45762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24544-2020</t>
        </is>
      </c>
      <c r="B139" s="1" t="n">
        <v>43977</v>
      </c>
      <c r="C139" s="1" t="n">
        <v>45762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24848-2020</t>
        </is>
      </c>
      <c r="B140" s="1" t="n">
        <v>43978</v>
      </c>
      <c r="C140" s="1" t="n">
        <v>45762</v>
      </c>
      <c r="D140" t="inlineStr">
        <is>
          <t>HALLANDS LÄN</t>
        </is>
      </c>
      <c r="E140" t="inlineStr">
        <is>
          <t>HALMSTAD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24686-2020</t>
        </is>
      </c>
      <c r="B141" s="1" t="n">
        <v>43978</v>
      </c>
      <c r="C141" s="1" t="n">
        <v>45762</v>
      </c>
      <c r="D141" t="inlineStr">
        <is>
          <t>HALLANDS LÄN</t>
        </is>
      </c>
      <c r="E141" t="inlineStr">
        <is>
          <t>HALMSTAD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26294-2020</t>
        </is>
      </c>
      <c r="B142" s="1" t="n">
        <v>43986</v>
      </c>
      <c r="C142" s="1" t="n">
        <v>45762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27024-2020</t>
        </is>
      </c>
      <c r="B143" s="1" t="n">
        <v>43991</v>
      </c>
      <c r="C143" s="1" t="n">
        <v>45762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27021-2020</t>
        </is>
      </c>
      <c r="B144" s="1" t="n">
        <v>43991</v>
      </c>
      <c r="C144" s="1" t="n">
        <v>45762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27795-2020</t>
        </is>
      </c>
      <c r="B145" s="1" t="n">
        <v>43994</v>
      </c>
      <c r="C145" s="1" t="n">
        <v>45762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28651-2020</t>
        </is>
      </c>
      <c r="B146" s="1" t="n">
        <v>43999</v>
      </c>
      <c r="C146" s="1" t="n">
        <v>45762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28657-2020</t>
        </is>
      </c>
      <c r="B147" s="1" t="n">
        <v>43999</v>
      </c>
      <c r="C147" s="1" t="n">
        <v>45762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28639-2020</t>
        </is>
      </c>
      <c r="B148" s="1" t="n">
        <v>43999</v>
      </c>
      <c r="C148" s="1" t="n">
        <v>45762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28847-2020</t>
        </is>
      </c>
      <c r="B149" s="1" t="n">
        <v>44000</v>
      </c>
      <c r="C149" s="1" t="n">
        <v>45762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28841-2020</t>
        </is>
      </c>
      <c r="B150" s="1" t="n">
        <v>44000</v>
      </c>
      <c r="C150" s="1" t="n">
        <v>45762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29265-2020</t>
        </is>
      </c>
      <c r="B151" s="1" t="n">
        <v>44004</v>
      </c>
      <c r="C151" s="1" t="n">
        <v>45762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29535-2020</t>
        </is>
      </c>
      <c r="B152" s="1" t="n">
        <v>44005</v>
      </c>
      <c r="C152" s="1" t="n">
        <v>45762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30693-2020</t>
        </is>
      </c>
      <c r="B153" s="1" t="n">
        <v>44008</v>
      </c>
      <c r="C153" s="1" t="n">
        <v>45762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33308-2020</t>
        </is>
      </c>
      <c r="B154" s="1" t="n">
        <v>44022</v>
      </c>
      <c r="C154" s="1" t="n">
        <v>45762</v>
      </c>
      <c r="D154" t="inlineStr">
        <is>
          <t>HALLANDS LÄN</t>
        </is>
      </c>
      <c r="E154" t="inlineStr">
        <is>
          <t>HALMSTAD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36129-2020</t>
        </is>
      </c>
      <c r="B155" s="1" t="n">
        <v>44048</v>
      </c>
      <c r="C155" s="1" t="n">
        <v>45762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37792-2020</t>
        </is>
      </c>
      <c r="B156" s="1" t="n">
        <v>44057</v>
      </c>
      <c r="C156" s="1" t="n">
        <v>45762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39483-2020</t>
        </is>
      </c>
      <c r="B157" s="1" t="n">
        <v>44064</v>
      </c>
      <c r="C157" s="1" t="n">
        <v>45762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40270-2020</t>
        </is>
      </c>
      <c r="B158" s="1" t="n">
        <v>44068</v>
      </c>
      <c r="C158" s="1" t="n">
        <v>45762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40488-2020</t>
        </is>
      </c>
      <c r="B159" s="1" t="n">
        <v>44069</v>
      </c>
      <c r="C159" s="1" t="n">
        <v>45762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42015-2020</t>
        </is>
      </c>
      <c r="B160" s="1" t="n">
        <v>44075</v>
      </c>
      <c r="C160" s="1" t="n">
        <v>45762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42122-2020</t>
        </is>
      </c>
      <c r="B161" s="1" t="n">
        <v>44075</v>
      </c>
      <c r="C161" s="1" t="n">
        <v>45762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42339-2020</t>
        </is>
      </c>
      <c r="B162" s="1" t="n">
        <v>44076</v>
      </c>
      <c r="C162" s="1" t="n">
        <v>45762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44402-2020</t>
        </is>
      </c>
      <c r="B163" s="1" t="n">
        <v>44084</v>
      </c>
      <c r="C163" s="1" t="n">
        <v>45762</v>
      </c>
      <c r="D163" t="inlineStr">
        <is>
          <t>HALLANDS LÄN</t>
        </is>
      </c>
      <c r="E163" t="inlineStr">
        <is>
          <t>HALMSTAD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47492-2020</t>
        </is>
      </c>
      <c r="B164" s="1" t="n">
        <v>44098</v>
      </c>
      <c r="C164" s="1" t="n">
        <v>45762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52978-2020</t>
        </is>
      </c>
      <c r="B165" s="1" t="n">
        <v>44119</v>
      </c>
      <c r="C165" s="1" t="n">
        <v>45762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53012-2020</t>
        </is>
      </c>
      <c r="B166" s="1" t="n">
        <v>44120</v>
      </c>
      <c r="C166" s="1" t="n">
        <v>45762</v>
      </c>
      <c r="D166" t="inlineStr">
        <is>
          <t>HALLANDS LÄN</t>
        </is>
      </c>
      <c r="E166" t="inlineStr">
        <is>
          <t>HALMSTAD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53631-2020</t>
        </is>
      </c>
      <c r="B167" s="1" t="n">
        <v>44124</v>
      </c>
      <c r="C167" s="1" t="n">
        <v>45762</v>
      </c>
      <c r="D167" t="inlineStr">
        <is>
          <t>HALLANDS LÄN</t>
        </is>
      </c>
      <c r="E167" t="inlineStr">
        <is>
          <t>HALMSTAD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57849-2020</t>
        </is>
      </c>
      <c r="B168" s="1" t="n">
        <v>44141</v>
      </c>
      <c r="C168" s="1" t="n">
        <v>45762</v>
      </c>
      <c r="D168" t="inlineStr">
        <is>
          <t>HALLANDS LÄN</t>
        </is>
      </c>
      <c r="E168" t="inlineStr">
        <is>
          <t>HALMSTAD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59719-2020</t>
        </is>
      </c>
      <c r="B169" s="1" t="n">
        <v>44151</v>
      </c>
      <c r="C169" s="1" t="n">
        <v>45762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61907-2020</t>
        </is>
      </c>
      <c r="B170" s="1" t="n">
        <v>44159</v>
      </c>
      <c r="C170" s="1" t="n">
        <v>45762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61849-2020</t>
        </is>
      </c>
      <c r="B171" s="1" t="n">
        <v>44159</v>
      </c>
      <c r="C171" s="1" t="n">
        <v>45762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65404-2020</t>
        </is>
      </c>
      <c r="B172" s="1" t="n">
        <v>44173</v>
      </c>
      <c r="C172" s="1" t="n">
        <v>45762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65872-2020</t>
        </is>
      </c>
      <c r="B173" s="1" t="n">
        <v>44174</v>
      </c>
      <c r="C173" s="1" t="n">
        <v>45762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65870-2020</t>
        </is>
      </c>
      <c r="B174" s="1" t="n">
        <v>44174</v>
      </c>
      <c r="C174" s="1" t="n">
        <v>45762</v>
      </c>
      <c r="D174" t="inlineStr">
        <is>
          <t>HALLANDS LÄN</t>
        </is>
      </c>
      <c r="E174" t="inlineStr">
        <is>
          <t>HALMSTAD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66992-2020</t>
        </is>
      </c>
      <c r="B175" s="1" t="n">
        <v>44176</v>
      </c>
      <c r="C175" s="1" t="n">
        <v>45762</v>
      </c>
      <c r="D175" t="inlineStr">
        <is>
          <t>HALLANDS LÄN</t>
        </is>
      </c>
      <c r="E175" t="inlineStr">
        <is>
          <t>HALMSTAD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66575-2020</t>
        </is>
      </c>
      <c r="B176" s="1" t="n">
        <v>44179</v>
      </c>
      <c r="C176" s="1" t="n">
        <v>45762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66573-2020</t>
        </is>
      </c>
      <c r="B177" s="1" t="n">
        <v>44179</v>
      </c>
      <c r="C177" s="1" t="n">
        <v>45762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66920-2020</t>
        </is>
      </c>
      <c r="B178" s="1" t="n">
        <v>44180</v>
      </c>
      <c r="C178" s="1" t="n">
        <v>45762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66928-2020</t>
        </is>
      </c>
      <c r="B179" s="1" t="n">
        <v>44180</v>
      </c>
      <c r="C179" s="1" t="n">
        <v>45762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68830-2020</t>
        </is>
      </c>
      <c r="B180" s="1" t="n">
        <v>44187</v>
      </c>
      <c r="C180" s="1" t="n">
        <v>45762</v>
      </c>
      <c r="D180" t="inlineStr">
        <is>
          <t>HALLANDS LÄN</t>
        </is>
      </c>
      <c r="E180" t="inlineStr">
        <is>
          <t>HALMSTAD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68894-2020</t>
        </is>
      </c>
      <c r="B181" s="1" t="n">
        <v>44187</v>
      </c>
      <c r="C181" s="1" t="n">
        <v>45762</v>
      </c>
      <c r="D181" t="inlineStr">
        <is>
          <t>HALLANDS LÄN</t>
        </is>
      </c>
      <c r="E181" t="inlineStr">
        <is>
          <t>HALMSTAD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720-2021</t>
        </is>
      </c>
      <c r="B182" s="1" t="n">
        <v>44204</v>
      </c>
      <c r="C182" s="1" t="n">
        <v>45762</v>
      </c>
      <c r="D182" t="inlineStr">
        <is>
          <t>HALLANDS LÄN</t>
        </is>
      </c>
      <c r="E182" t="inlineStr">
        <is>
          <t>HALMSTAD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1583-2021</t>
        </is>
      </c>
      <c r="B183" s="1" t="n">
        <v>44209</v>
      </c>
      <c r="C183" s="1" t="n">
        <v>45762</v>
      </c>
      <c r="D183" t="inlineStr">
        <is>
          <t>HALLANDS LÄN</t>
        </is>
      </c>
      <c r="E183" t="inlineStr">
        <is>
          <t>HALMSTAD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2180-2021</t>
        </is>
      </c>
      <c r="B184" s="1" t="n">
        <v>44211</v>
      </c>
      <c r="C184" s="1" t="n">
        <v>45762</v>
      </c>
      <c r="D184" t="inlineStr">
        <is>
          <t>HALLANDS LÄN</t>
        </is>
      </c>
      <c r="E184" t="inlineStr">
        <is>
          <t>HALMSTAD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2070-2021</t>
        </is>
      </c>
      <c r="B185" s="1" t="n">
        <v>44211</v>
      </c>
      <c r="C185" s="1" t="n">
        <v>45762</v>
      </c>
      <c r="D185" t="inlineStr">
        <is>
          <t>HALLANDS LÄN</t>
        </is>
      </c>
      <c r="E185" t="inlineStr">
        <is>
          <t>HALMSTAD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2938-2021</t>
        </is>
      </c>
      <c r="B186" s="1" t="n">
        <v>44214</v>
      </c>
      <c r="C186" s="1" t="n">
        <v>45762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2977-2021</t>
        </is>
      </c>
      <c r="B187" s="1" t="n">
        <v>44214</v>
      </c>
      <c r="C187" s="1" t="n">
        <v>45762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2880-2021</t>
        </is>
      </c>
      <c r="B188" s="1" t="n">
        <v>44214</v>
      </c>
      <c r="C188" s="1" t="n">
        <v>45762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3161-2021</t>
        </is>
      </c>
      <c r="B189" s="1" t="n">
        <v>44214</v>
      </c>
      <c r="C189" s="1" t="n">
        <v>45762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3166-2021</t>
        </is>
      </c>
      <c r="B190" s="1" t="n">
        <v>44214</v>
      </c>
      <c r="C190" s="1" t="n">
        <v>45762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2949-2021</t>
        </is>
      </c>
      <c r="B191" s="1" t="n">
        <v>44214</v>
      </c>
      <c r="C191" s="1" t="n">
        <v>45762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3140-2021</t>
        </is>
      </c>
      <c r="B192" s="1" t="n">
        <v>44214</v>
      </c>
      <c r="C192" s="1" t="n">
        <v>45762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2996-2021</t>
        </is>
      </c>
      <c r="B193" s="1" t="n">
        <v>44216</v>
      </c>
      <c r="C193" s="1" t="n">
        <v>45762</v>
      </c>
      <c r="D193" t="inlineStr">
        <is>
          <t>HALLANDS LÄN</t>
        </is>
      </c>
      <c r="E193" t="inlineStr">
        <is>
          <t>HALMSTAD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3190-2021</t>
        </is>
      </c>
      <c r="B194" s="1" t="n">
        <v>44217</v>
      </c>
      <c r="C194" s="1" t="n">
        <v>45762</v>
      </c>
      <c r="D194" t="inlineStr">
        <is>
          <t>HALLANDS LÄN</t>
        </is>
      </c>
      <c r="E194" t="inlineStr">
        <is>
          <t>HALMSTAD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3144-2021</t>
        </is>
      </c>
      <c r="B195" s="1" t="n">
        <v>44217</v>
      </c>
      <c r="C195" s="1" t="n">
        <v>45762</v>
      </c>
      <c r="D195" t="inlineStr">
        <is>
          <t>HALLANDS LÄN</t>
        </is>
      </c>
      <c r="E195" t="inlineStr">
        <is>
          <t>HALMSTAD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4133-2021</t>
        </is>
      </c>
      <c r="B196" s="1" t="n">
        <v>44218</v>
      </c>
      <c r="C196" s="1" t="n">
        <v>45762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3588-2021</t>
        </is>
      </c>
      <c r="B197" s="1" t="n">
        <v>44220</v>
      </c>
      <c r="C197" s="1" t="n">
        <v>45762</v>
      </c>
      <c r="D197" t="inlineStr">
        <is>
          <t>HALLANDS LÄN</t>
        </is>
      </c>
      <c r="E197" t="inlineStr">
        <is>
          <t>HALMSTAD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3591-2021</t>
        </is>
      </c>
      <c r="B198" s="1" t="n">
        <v>44220</v>
      </c>
      <c r="C198" s="1" t="n">
        <v>45762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4208-2021</t>
        </is>
      </c>
      <c r="B199" s="1" t="n">
        <v>44223</v>
      </c>
      <c r="C199" s="1" t="n">
        <v>45762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5066-2021</t>
        </is>
      </c>
      <c r="B200" s="1" t="n">
        <v>44228</v>
      </c>
      <c r="C200" s="1" t="n">
        <v>45762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5061-2021</t>
        </is>
      </c>
      <c r="B201" s="1" t="n">
        <v>44228</v>
      </c>
      <c r="C201" s="1" t="n">
        <v>45762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5065-2021</t>
        </is>
      </c>
      <c r="B202" s="1" t="n">
        <v>44228</v>
      </c>
      <c r="C202" s="1" t="n">
        <v>45762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45762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6992-2021</t>
        </is>
      </c>
      <c r="B204" s="1" t="n">
        <v>44237</v>
      </c>
      <c r="C204" s="1" t="n">
        <v>45762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7326-2021</t>
        </is>
      </c>
      <c r="B205" s="1" t="n">
        <v>44239</v>
      </c>
      <c r="C205" s="1" t="n">
        <v>45762</v>
      </c>
      <c r="D205" t="inlineStr">
        <is>
          <t>HALLANDS LÄN</t>
        </is>
      </c>
      <c r="E205" t="inlineStr">
        <is>
          <t>HALMSTAD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8345-2021</t>
        </is>
      </c>
      <c r="B206" s="1" t="n">
        <v>44244</v>
      </c>
      <c r="C206" s="1" t="n">
        <v>45762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10503-2021</t>
        </is>
      </c>
      <c r="B207" s="1" t="n">
        <v>44258</v>
      </c>
      <c r="C207" s="1" t="n">
        <v>45762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11798-2021</t>
        </is>
      </c>
      <c r="B208" s="1" t="n">
        <v>44265</v>
      </c>
      <c r="C208" s="1" t="n">
        <v>45762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12263-2021</t>
        </is>
      </c>
      <c r="B209" s="1" t="n">
        <v>44266</v>
      </c>
      <c r="C209" s="1" t="n">
        <v>45762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12264-2021</t>
        </is>
      </c>
      <c r="B210" s="1" t="n">
        <v>44266</v>
      </c>
      <c r="C210" s="1" t="n">
        <v>45762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45762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13029-2021</t>
        </is>
      </c>
      <c r="B212" s="1" t="n">
        <v>44271</v>
      </c>
      <c r="C212" s="1" t="n">
        <v>45762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13408-2021</t>
        </is>
      </c>
      <c r="B213" s="1" t="n">
        <v>44273</v>
      </c>
      <c r="C213" s="1" t="n">
        <v>45762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14319-2021</t>
        </is>
      </c>
      <c r="B214" s="1" t="n">
        <v>44278</v>
      </c>
      <c r="C214" s="1" t="n">
        <v>45762</v>
      </c>
      <c r="D214" t="inlineStr">
        <is>
          <t>HALLANDS LÄN</t>
        </is>
      </c>
      <c r="E214" t="inlineStr">
        <is>
          <t>HALMSTAD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14759-2021</t>
        </is>
      </c>
      <c r="B215" s="1" t="n">
        <v>44280</v>
      </c>
      <c r="C215" s="1" t="n">
        <v>45762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14895-2021</t>
        </is>
      </c>
      <c r="B216" s="1" t="n">
        <v>44281</v>
      </c>
      <c r="C216" s="1" t="n">
        <v>45762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14958-2021</t>
        </is>
      </c>
      <c r="B217" s="1" t="n">
        <v>44281</v>
      </c>
      <c r="C217" s="1" t="n">
        <v>45762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15396-2021</t>
        </is>
      </c>
      <c r="B218" s="1" t="n">
        <v>44285</v>
      </c>
      <c r="C218" s="1" t="n">
        <v>45762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15865-2021</t>
        </is>
      </c>
      <c r="B219" s="1" t="n">
        <v>44286</v>
      </c>
      <c r="C219" s="1" t="n">
        <v>45762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15864-2021</t>
        </is>
      </c>
      <c r="B220" s="1" t="n">
        <v>44286</v>
      </c>
      <c r="C220" s="1" t="n">
        <v>45762</v>
      </c>
      <c r="D220" t="inlineStr">
        <is>
          <t>HALLANDS LÄN</t>
        </is>
      </c>
      <c r="E220" t="inlineStr">
        <is>
          <t>HALMSTAD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17171-2021</t>
        </is>
      </c>
      <c r="B221" s="1" t="n">
        <v>44298</v>
      </c>
      <c r="C221" s="1" t="n">
        <v>45762</v>
      </c>
      <c r="D221" t="inlineStr">
        <is>
          <t>HALLANDS LÄN</t>
        </is>
      </c>
      <c r="E221" t="inlineStr">
        <is>
          <t>HALMSTAD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17237-2021</t>
        </is>
      </c>
      <c r="B222" s="1" t="n">
        <v>44298</v>
      </c>
      <c r="C222" s="1" t="n">
        <v>45762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17353-2021</t>
        </is>
      </c>
      <c r="B223" s="1" t="n">
        <v>44298</v>
      </c>
      <c r="C223" s="1" t="n">
        <v>45762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17352-2021</t>
        </is>
      </c>
      <c r="B224" s="1" t="n">
        <v>44298</v>
      </c>
      <c r="C224" s="1" t="n">
        <v>45762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17354-2021</t>
        </is>
      </c>
      <c r="B225" s="1" t="n">
        <v>44298</v>
      </c>
      <c r="C225" s="1" t="n">
        <v>45762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18967-2021</t>
        </is>
      </c>
      <c r="B226" s="1" t="n">
        <v>44308</v>
      </c>
      <c r="C226" s="1" t="n">
        <v>45762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45762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19653-2021</t>
        </is>
      </c>
      <c r="B228" s="1" t="n">
        <v>44312</v>
      </c>
      <c r="C228" s="1" t="n">
        <v>45762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20043-2021</t>
        </is>
      </c>
      <c r="B229" s="1" t="n">
        <v>44314</v>
      </c>
      <c r="C229" s="1" t="n">
        <v>45762</v>
      </c>
      <c r="D229" t="inlineStr">
        <is>
          <t>HALLANDS LÄN</t>
        </is>
      </c>
      <c r="E229" t="inlineStr">
        <is>
          <t>HALMSTAD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20400-2021</t>
        </is>
      </c>
      <c r="B230" s="1" t="n">
        <v>44315</v>
      </c>
      <c r="C230" s="1" t="n">
        <v>45762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20588-2021</t>
        </is>
      </c>
      <c r="B231" s="1" t="n">
        <v>44316</v>
      </c>
      <c r="C231" s="1" t="n">
        <v>45762</v>
      </c>
      <c r="D231" t="inlineStr">
        <is>
          <t>HALLANDS LÄN</t>
        </is>
      </c>
      <c r="E231" t="inlineStr">
        <is>
          <t>HALMSTAD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20591-2021</t>
        </is>
      </c>
      <c r="B232" s="1" t="n">
        <v>44316</v>
      </c>
      <c r="C232" s="1" t="n">
        <v>45762</v>
      </c>
      <c r="D232" t="inlineStr">
        <is>
          <t>HALLANDS LÄN</t>
        </is>
      </c>
      <c r="E232" t="inlineStr">
        <is>
          <t>HALMSTAD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20826-2021</t>
        </is>
      </c>
      <c r="B233" s="1" t="n">
        <v>44318</v>
      </c>
      <c r="C233" s="1" t="n">
        <v>45762</v>
      </c>
      <c r="D233" t="inlineStr">
        <is>
          <t>HALLANDS LÄN</t>
        </is>
      </c>
      <c r="E233" t="inlineStr">
        <is>
          <t>HALMSTAD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21457-2021</t>
        </is>
      </c>
      <c r="B234" s="1" t="n">
        <v>44321</v>
      </c>
      <c r="C234" s="1" t="n">
        <v>45762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23206-2021</t>
        </is>
      </c>
      <c r="B235" s="1" t="n">
        <v>44333</v>
      </c>
      <c r="C235" s="1" t="n">
        <v>45762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26002-2021</t>
        </is>
      </c>
      <c r="B236" s="1" t="n">
        <v>44344</v>
      </c>
      <c r="C236" s="1" t="n">
        <v>45762</v>
      </c>
      <c r="D236" t="inlineStr">
        <is>
          <t>HALLANDS LÄN</t>
        </is>
      </c>
      <c r="E236" t="inlineStr">
        <is>
          <t>HALMSTAD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26006-2021</t>
        </is>
      </c>
      <c r="B237" s="1" t="n">
        <v>44344</v>
      </c>
      <c r="C237" s="1" t="n">
        <v>45762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27625-2021</t>
        </is>
      </c>
      <c r="B238" s="1" t="n">
        <v>44354</v>
      </c>
      <c r="C238" s="1" t="n">
        <v>45762</v>
      </c>
      <c r="D238" t="inlineStr">
        <is>
          <t>HALLANDS LÄN</t>
        </is>
      </c>
      <c r="E238" t="inlineStr">
        <is>
          <t>HALMSTAD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27669-2021</t>
        </is>
      </c>
      <c r="B239" s="1" t="n">
        <v>44354</v>
      </c>
      <c r="C239" s="1" t="n">
        <v>45762</v>
      </c>
      <c r="D239" t="inlineStr">
        <is>
          <t>HALLANDS LÄN</t>
        </is>
      </c>
      <c r="E239" t="inlineStr">
        <is>
          <t>HALMSTAD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30610-2021</t>
        </is>
      </c>
      <c r="B240" s="1" t="n">
        <v>44365</v>
      </c>
      <c r="C240" s="1" t="n">
        <v>45762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31381-2021</t>
        </is>
      </c>
      <c r="B241" s="1" t="n">
        <v>44369</v>
      </c>
      <c r="C241" s="1" t="n">
        <v>45762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32069-2021</t>
        </is>
      </c>
      <c r="B242" s="1" t="n">
        <v>44370</v>
      </c>
      <c r="C242" s="1" t="n">
        <v>45762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32499-2021</t>
        </is>
      </c>
      <c r="B243" s="1" t="n">
        <v>44373</v>
      </c>
      <c r="C243" s="1" t="n">
        <v>45762</v>
      </c>
      <c r="D243" t="inlineStr">
        <is>
          <t>HALLANDS LÄN</t>
        </is>
      </c>
      <c r="E243" t="inlineStr">
        <is>
          <t>HALMSTAD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32550-2021</t>
        </is>
      </c>
      <c r="B244" s="1" t="n">
        <v>44375</v>
      </c>
      <c r="C244" s="1" t="n">
        <v>45762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36425-2021</t>
        </is>
      </c>
      <c r="B245" s="1" t="n">
        <v>44390</v>
      </c>
      <c r="C245" s="1" t="n">
        <v>45762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37454-2021</t>
        </is>
      </c>
      <c r="B246" s="1" t="n">
        <v>44398</v>
      </c>
      <c r="C246" s="1" t="n">
        <v>45762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38661-2021</t>
        </is>
      </c>
      <c r="B247" s="1" t="n">
        <v>44410</v>
      </c>
      <c r="C247" s="1" t="n">
        <v>45762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41124-2021</t>
        </is>
      </c>
      <c r="B248" s="1" t="n">
        <v>44423</v>
      </c>
      <c r="C248" s="1" t="n">
        <v>45762</v>
      </c>
      <c r="D248" t="inlineStr">
        <is>
          <t>HALLANDS LÄN</t>
        </is>
      </c>
      <c r="E248" t="inlineStr">
        <is>
          <t>HALMSTAD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46013-2021</t>
        </is>
      </c>
      <c r="B249" s="1" t="n">
        <v>44441</v>
      </c>
      <c r="C249" s="1" t="n">
        <v>45762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46008-2021</t>
        </is>
      </c>
      <c r="B250" s="1" t="n">
        <v>44441</v>
      </c>
      <c r="C250" s="1" t="n">
        <v>45762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46465-2021</t>
        </is>
      </c>
      <c r="B251" s="1" t="n">
        <v>44445</v>
      </c>
      <c r="C251" s="1" t="n">
        <v>45762</v>
      </c>
      <c r="D251" t="inlineStr">
        <is>
          <t>HALLANDS LÄN</t>
        </is>
      </c>
      <c r="E251" t="inlineStr">
        <is>
          <t>HALMSTAD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49800-2021</t>
        </is>
      </c>
      <c r="B252" s="1" t="n">
        <v>44455</v>
      </c>
      <c r="C252" s="1" t="n">
        <v>45762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49792-2021</t>
        </is>
      </c>
      <c r="B253" s="1" t="n">
        <v>44455</v>
      </c>
      <c r="C253" s="1" t="n">
        <v>45762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51192-2021</t>
        </is>
      </c>
      <c r="B254" s="1" t="n">
        <v>44461</v>
      </c>
      <c r="C254" s="1" t="n">
        <v>45762</v>
      </c>
      <c r="D254" t="inlineStr">
        <is>
          <t>HALLANDS LÄN</t>
        </is>
      </c>
      <c r="E254" t="inlineStr">
        <is>
          <t>HALMSTAD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51300-2021</t>
        </is>
      </c>
      <c r="B255" s="1" t="n">
        <v>44461</v>
      </c>
      <c r="C255" s="1" t="n">
        <v>45762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52469-2021</t>
        </is>
      </c>
      <c r="B256" s="1" t="n">
        <v>44466</v>
      </c>
      <c r="C256" s="1" t="n">
        <v>45762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53615-2021</t>
        </is>
      </c>
      <c r="B257" s="1" t="n">
        <v>44469</v>
      </c>
      <c r="C257" s="1" t="n">
        <v>45762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</v>
      </c>
      <c r="C258" s="1" t="n">
        <v>45762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54114-2021</t>
        </is>
      </c>
      <c r="B259" s="1" t="n">
        <v>44470</v>
      </c>
      <c r="C259" s="1" t="n">
        <v>45762</v>
      </c>
      <c r="D259" t="inlineStr">
        <is>
          <t>HALLANDS LÄN</t>
        </is>
      </c>
      <c r="E259" t="inlineStr">
        <is>
          <t>HALMSTAD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54111-2021</t>
        </is>
      </c>
      <c r="B260" s="1" t="n">
        <v>44470</v>
      </c>
      <c r="C260" s="1" t="n">
        <v>45762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54118-2021</t>
        </is>
      </c>
      <c r="B261" s="1" t="n">
        <v>44470</v>
      </c>
      <c r="C261" s="1" t="n">
        <v>45762</v>
      </c>
      <c r="D261" t="inlineStr">
        <is>
          <t>HALLANDS LÄN</t>
        </is>
      </c>
      <c r="E261" t="inlineStr">
        <is>
          <t>HALMSTAD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55025-2021</t>
        </is>
      </c>
      <c r="B262" s="1" t="n">
        <v>44474</v>
      </c>
      <c r="C262" s="1" t="n">
        <v>45762</v>
      </c>
      <c r="D262" t="inlineStr">
        <is>
          <t>HALLANDS LÄN</t>
        </is>
      </c>
      <c r="E262" t="inlineStr">
        <is>
          <t>HALMSTAD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54838-2021</t>
        </is>
      </c>
      <c r="B263" s="1" t="n">
        <v>44474</v>
      </c>
      <c r="C263" s="1" t="n">
        <v>45762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55183-2021</t>
        </is>
      </c>
      <c r="B264" s="1" t="n">
        <v>44475</v>
      </c>
      <c r="C264" s="1" t="n">
        <v>45762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57031-2021</t>
        </is>
      </c>
      <c r="B265" s="1" t="n">
        <v>44482</v>
      </c>
      <c r="C265" s="1" t="n">
        <v>45762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57037-2021</t>
        </is>
      </c>
      <c r="B266" s="1" t="n">
        <v>44482</v>
      </c>
      <c r="C266" s="1" t="n">
        <v>45762</v>
      </c>
      <c r="D266" t="inlineStr">
        <is>
          <t>HALLANDS LÄN</t>
        </is>
      </c>
      <c r="E266" t="inlineStr">
        <is>
          <t>HALMSTAD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57013-2021</t>
        </is>
      </c>
      <c r="B267" s="1" t="n">
        <v>44482</v>
      </c>
      <c r="C267" s="1" t="n">
        <v>45762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57021-2021</t>
        </is>
      </c>
      <c r="B268" s="1" t="n">
        <v>44482</v>
      </c>
      <c r="C268" s="1" t="n">
        <v>45762</v>
      </c>
      <c r="D268" t="inlineStr">
        <is>
          <t>HALLANDS LÄN</t>
        </is>
      </c>
      <c r="E268" t="inlineStr">
        <is>
          <t>HALMSTAD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57025-2021</t>
        </is>
      </c>
      <c r="B269" s="1" t="n">
        <v>44482</v>
      </c>
      <c r="C269" s="1" t="n">
        <v>45762</v>
      </c>
      <c r="D269" t="inlineStr">
        <is>
          <t>HALLANDS LÄN</t>
        </is>
      </c>
      <c r="E269" t="inlineStr">
        <is>
          <t>HALMSTAD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59922-2021</t>
        </is>
      </c>
      <c r="B270" s="1" t="n">
        <v>44494</v>
      </c>
      <c r="C270" s="1" t="n">
        <v>45762</v>
      </c>
      <c r="D270" t="inlineStr">
        <is>
          <t>HALLANDS LÄN</t>
        </is>
      </c>
      <c r="E270" t="inlineStr">
        <is>
          <t>HALMSTAD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65528-2021</t>
        </is>
      </c>
      <c r="B271" s="1" t="n">
        <v>44516</v>
      </c>
      <c r="C271" s="1" t="n">
        <v>45762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66311-2021</t>
        </is>
      </c>
      <c r="B272" s="1" t="n">
        <v>44518</v>
      </c>
      <c r="C272" s="1" t="n">
        <v>45762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66373-2021</t>
        </is>
      </c>
      <c r="B273" s="1" t="n">
        <v>44518</v>
      </c>
      <c r="C273" s="1" t="n">
        <v>45762</v>
      </c>
      <c r="D273" t="inlineStr">
        <is>
          <t>HALLANDS LÄN</t>
        </is>
      </c>
      <c r="E273" t="inlineStr">
        <is>
          <t>HALMSTAD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66730-2021</t>
        </is>
      </c>
      <c r="B274" s="1" t="n">
        <v>44520</v>
      </c>
      <c r="C274" s="1" t="n">
        <v>45762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67579-2021</t>
        </is>
      </c>
      <c r="B275" s="1" t="n">
        <v>44524</v>
      </c>
      <c r="C275" s="1" t="n">
        <v>45762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67570-2021</t>
        </is>
      </c>
      <c r="B276" s="1" t="n">
        <v>44524</v>
      </c>
      <c r="C276" s="1" t="n">
        <v>45762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70335-2021</t>
        </is>
      </c>
      <c r="B277" s="1" t="n">
        <v>44536</v>
      </c>
      <c r="C277" s="1" t="n">
        <v>45762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70720-2021</t>
        </is>
      </c>
      <c r="B278" s="1" t="n">
        <v>44537</v>
      </c>
      <c r="C278" s="1" t="n">
        <v>45762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45762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70771-2021</t>
        </is>
      </c>
      <c r="B280" s="1" t="n">
        <v>44537</v>
      </c>
      <c r="C280" s="1" t="n">
        <v>45762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70724-2021</t>
        </is>
      </c>
      <c r="B281" s="1" t="n">
        <v>44537</v>
      </c>
      <c r="C281" s="1" t="n">
        <v>45762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71022-2021</t>
        </is>
      </c>
      <c r="B282" s="1" t="n">
        <v>44537</v>
      </c>
      <c r="C282" s="1" t="n">
        <v>45762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70833-2021</t>
        </is>
      </c>
      <c r="B283" s="1" t="n">
        <v>44538</v>
      </c>
      <c r="C283" s="1" t="n">
        <v>45762</v>
      </c>
      <c r="D283" t="inlineStr">
        <is>
          <t>HALLANDS LÄN</t>
        </is>
      </c>
      <c r="E283" t="inlineStr">
        <is>
          <t>HALMSTAD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70831-2021</t>
        </is>
      </c>
      <c r="B284" s="1" t="n">
        <v>44538</v>
      </c>
      <c r="C284" s="1" t="n">
        <v>45762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70834-2021</t>
        </is>
      </c>
      <c r="B285" s="1" t="n">
        <v>44538</v>
      </c>
      <c r="C285" s="1" t="n">
        <v>45762</v>
      </c>
      <c r="D285" t="inlineStr">
        <is>
          <t>HALLANDS LÄN</t>
        </is>
      </c>
      <c r="E285" t="inlineStr">
        <is>
          <t>HALMSTAD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70897-2021</t>
        </is>
      </c>
      <c r="B286" s="1" t="n">
        <v>44538</v>
      </c>
      <c r="C286" s="1" t="n">
        <v>45762</v>
      </c>
      <c r="D286" t="inlineStr">
        <is>
          <t>HALLANDS LÄN</t>
        </is>
      </c>
      <c r="E286" t="inlineStr">
        <is>
          <t>HALMSTAD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70830-2021</t>
        </is>
      </c>
      <c r="B287" s="1" t="n">
        <v>44538</v>
      </c>
      <c r="C287" s="1" t="n">
        <v>45762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72139-2021</t>
        </is>
      </c>
      <c r="B288" s="1" t="n">
        <v>44544</v>
      </c>
      <c r="C288" s="1" t="n">
        <v>45762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74038-2021</t>
        </is>
      </c>
      <c r="B289" s="1" t="n">
        <v>44557</v>
      </c>
      <c r="C289" s="1" t="n">
        <v>45762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893-2022</t>
        </is>
      </c>
      <c r="B290" s="1" t="n">
        <v>44571</v>
      </c>
      <c r="C290" s="1" t="n">
        <v>45762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1533-2022</t>
        </is>
      </c>
      <c r="B291" s="1" t="n">
        <v>44573</v>
      </c>
      <c r="C291" s="1" t="n">
        <v>45762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1438-2022</t>
        </is>
      </c>
      <c r="B292" s="1" t="n">
        <v>44573</v>
      </c>
      <c r="C292" s="1" t="n">
        <v>45762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2434-2022</t>
        </is>
      </c>
      <c r="B293" s="1" t="n">
        <v>44579</v>
      </c>
      <c r="C293" s="1" t="n">
        <v>45762</v>
      </c>
      <c r="D293" t="inlineStr">
        <is>
          <t>HALLANDS LÄN</t>
        </is>
      </c>
      <c r="E293" t="inlineStr">
        <is>
          <t>HALMSTAD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2552-2022</t>
        </is>
      </c>
      <c r="B294" s="1" t="n">
        <v>44580</v>
      </c>
      <c r="C294" s="1" t="n">
        <v>45762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2647-2022</t>
        </is>
      </c>
      <c r="B295" s="1" t="n">
        <v>44580</v>
      </c>
      <c r="C295" s="1" t="n">
        <v>45762</v>
      </c>
      <c r="D295" t="inlineStr">
        <is>
          <t>HALLANDS LÄN</t>
        </is>
      </c>
      <c r="E295" t="inlineStr">
        <is>
          <t>HALMSTAD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4905-2022</t>
        </is>
      </c>
      <c r="B296" s="1" t="n">
        <v>44593</v>
      </c>
      <c r="C296" s="1" t="n">
        <v>45762</v>
      </c>
      <c r="D296" t="inlineStr">
        <is>
          <t>HALLANDS LÄN</t>
        </is>
      </c>
      <c r="E296" t="inlineStr">
        <is>
          <t>HALMSTAD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4971-2022</t>
        </is>
      </c>
      <c r="B297" s="1" t="n">
        <v>44593</v>
      </c>
      <c r="C297" s="1" t="n">
        <v>45762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5330-2022</t>
        </is>
      </c>
      <c r="B298" s="1" t="n">
        <v>44594</v>
      </c>
      <c r="C298" s="1" t="n">
        <v>45762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5522-2022</t>
        </is>
      </c>
      <c r="B299" s="1" t="n">
        <v>44595</v>
      </c>
      <c r="C299" s="1" t="n">
        <v>45762</v>
      </c>
      <c r="D299" t="inlineStr">
        <is>
          <t>HALLANDS LÄN</t>
        </is>
      </c>
      <c r="E299" t="inlineStr">
        <is>
          <t>HALMSTAD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5738-2022</t>
        </is>
      </c>
      <c r="B300" s="1" t="n">
        <v>44596</v>
      </c>
      <c r="C300" s="1" t="n">
        <v>45762</v>
      </c>
      <c r="D300" t="inlineStr">
        <is>
          <t>HALLANDS LÄN</t>
        </is>
      </c>
      <c r="E300" t="inlineStr">
        <is>
          <t>HALMSTAD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5818-2022</t>
        </is>
      </c>
      <c r="B301" s="1" t="n">
        <v>44596</v>
      </c>
      <c r="C301" s="1" t="n">
        <v>45762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7639-2022</t>
        </is>
      </c>
      <c r="B302" s="1" t="n">
        <v>44607</v>
      </c>
      <c r="C302" s="1" t="n">
        <v>45762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8041-2022</t>
        </is>
      </c>
      <c r="B303" s="1" t="n">
        <v>44609</v>
      </c>
      <c r="C303" s="1" t="n">
        <v>45762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8284-2022</t>
        </is>
      </c>
      <c r="B304" s="1" t="n">
        <v>44610</v>
      </c>
      <c r="C304" s="1" t="n">
        <v>45762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10061-2022</t>
        </is>
      </c>
      <c r="B305" s="1" t="n">
        <v>44621</v>
      </c>
      <c r="C305" s="1" t="n">
        <v>45762</v>
      </c>
      <c r="D305" t="inlineStr">
        <is>
          <t>HALLANDS LÄN</t>
        </is>
      </c>
      <c r="E305" t="inlineStr">
        <is>
          <t>HALMSTAD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10053-2022</t>
        </is>
      </c>
      <c r="B306" s="1" t="n">
        <v>44621</v>
      </c>
      <c r="C306" s="1" t="n">
        <v>45762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10065-2022</t>
        </is>
      </c>
      <c r="B307" s="1" t="n">
        <v>44621</v>
      </c>
      <c r="C307" s="1" t="n">
        <v>45762</v>
      </c>
      <c r="D307" t="inlineStr">
        <is>
          <t>HALLANDS LÄN</t>
        </is>
      </c>
      <c r="E307" t="inlineStr">
        <is>
          <t>HALMSTAD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10063-2022</t>
        </is>
      </c>
      <c r="B308" s="1" t="n">
        <v>44621</v>
      </c>
      <c r="C308" s="1" t="n">
        <v>45762</v>
      </c>
      <c r="D308" t="inlineStr">
        <is>
          <t>HALLANDS LÄN</t>
        </is>
      </c>
      <c r="E308" t="inlineStr">
        <is>
          <t>HALMSTAD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10067-2022</t>
        </is>
      </c>
      <c r="B309" s="1" t="n">
        <v>44621</v>
      </c>
      <c r="C309" s="1" t="n">
        <v>45762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10269-2022</t>
        </is>
      </c>
      <c r="B310" s="1" t="n">
        <v>44622</v>
      </c>
      <c r="C310" s="1" t="n">
        <v>45762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10276-2022</t>
        </is>
      </c>
      <c r="B311" s="1" t="n">
        <v>44622</v>
      </c>
      <c r="C311" s="1" t="n">
        <v>45762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10263-2022</t>
        </is>
      </c>
      <c r="B312" s="1" t="n">
        <v>44622</v>
      </c>
      <c r="C312" s="1" t="n">
        <v>45762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10285-2022</t>
        </is>
      </c>
      <c r="B313" s="1" t="n">
        <v>44622</v>
      </c>
      <c r="C313" s="1" t="n">
        <v>45762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11091-2022</t>
        </is>
      </c>
      <c r="B314" s="1" t="n">
        <v>44628</v>
      </c>
      <c r="C314" s="1" t="n">
        <v>45762</v>
      </c>
      <c r="D314" t="inlineStr">
        <is>
          <t>HALLANDS LÄN</t>
        </is>
      </c>
      <c r="E314" t="inlineStr">
        <is>
          <t>HALMSTAD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11088-2022</t>
        </is>
      </c>
      <c r="B315" s="1" t="n">
        <v>44628</v>
      </c>
      <c r="C315" s="1" t="n">
        <v>45762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11886-2022</t>
        </is>
      </c>
      <c r="B316" s="1" t="n">
        <v>44635</v>
      </c>
      <c r="C316" s="1" t="n">
        <v>45762</v>
      </c>
      <c r="D316" t="inlineStr">
        <is>
          <t>HALLANDS LÄN</t>
        </is>
      </c>
      <c r="E316" t="inlineStr">
        <is>
          <t>HALMSTAD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12415-2022</t>
        </is>
      </c>
      <c r="B317" s="1" t="n">
        <v>44638</v>
      </c>
      <c r="C317" s="1" t="n">
        <v>45762</v>
      </c>
      <c r="D317" t="inlineStr">
        <is>
          <t>HALLANDS LÄN</t>
        </is>
      </c>
      <c r="E317" t="inlineStr">
        <is>
          <t>HALMSTAD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12538-2022</t>
        </is>
      </c>
      <c r="B318" s="1" t="n">
        <v>44638</v>
      </c>
      <c r="C318" s="1" t="n">
        <v>45762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12417-2022</t>
        </is>
      </c>
      <c r="B319" s="1" t="n">
        <v>44638</v>
      </c>
      <c r="C319" s="1" t="n">
        <v>45762</v>
      </c>
      <c r="D319" t="inlineStr">
        <is>
          <t>HALLANDS LÄN</t>
        </is>
      </c>
      <c r="E319" t="inlineStr">
        <is>
          <t>HALMSTAD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12890-2022</t>
        </is>
      </c>
      <c r="B320" s="1" t="n">
        <v>44642</v>
      </c>
      <c r="C320" s="1" t="n">
        <v>45762</v>
      </c>
      <c r="D320" t="inlineStr">
        <is>
          <t>HALLANDS LÄN</t>
        </is>
      </c>
      <c r="E320" t="inlineStr">
        <is>
          <t>HALMSTAD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13725-2022</t>
        </is>
      </c>
      <c r="B321" s="1" t="n">
        <v>44649</v>
      </c>
      <c r="C321" s="1" t="n">
        <v>45762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14707-2022</t>
        </is>
      </c>
      <c r="B322" s="1" t="n">
        <v>44656</v>
      </c>
      <c r="C322" s="1" t="n">
        <v>45762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14779-2022</t>
        </is>
      </c>
      <c r="B323" s="1" t="n">
        <v>44656</v>
      </c>
      <c r="C323" s="1" t="n">
        <v>45762</v>
      </c>
      <c r="D323" t="inlineStr">
        <is>
          <t>HALLANDS LÄN</t>
        </is>
      </c>
      <c r="E323" t="inlineStr">
        <is>
          <t>HALMSTAD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15545-2022</t>
        </is>
      </c>
      <c r="B324" s="1" t="n">
        <v>44662</v>
      </c>
      <c r="C324" s="1" t="n">
        <v>45762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17156-2022</t>
        </is>
      </c>
      <c r="B325" s="1" t="n">
        <v>44677</v>
      </c>
      <c r="C325" s="1" t="n">
        <v>45762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17067-2022</t>
        </is>
      </c>
      <c r="B326" s="1" t="n">
        <v>44677</v>
      </c>
      <c r="C326" s="1" t="n">
        <v>45762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17069-2022</t>
        </is>
      </c>
      <c r="B327" s="1" t="n">
        <v>44677</v>
      </c>
      <c r="C327" s="1" t="n">
        <v>45762</v>
      </c>
      <c r="D327" t="inlineStr">
        <is>
          <t>HALLANDS LÄN</t>
        </is>
      </c>
      <c r="E327" t="inlineStr">
        <is>
          <t>HALMSTAD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18598-2022</t>
        </is>
      </c>
      <c r="B328" s="1" t="n">
        <v>44687</v>
      </c>
      <c r="C328" s="1" t="n">
        <v>45762</v>
      </c>
      <c r="D328" t="inlineStr">
        <is>
          <t>HALLANDS LÄN</t>
        </is>
      </c>
      <c r="E328" t="inlineStr">
        <is>
          <t>HALMSTAD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19087-2022</t>
        </is>
      </c>
      <c r="B329" s="1" t="n">
        <v>44691</v>
      </c>
      <c r="C329" s="1" t="n">
        <v>45762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20419-2022</t>
        </is>
      </c>
      <c r="B330" s="1" t="n">
        <v>44699</v>
      </c>
      <c r="C330" s="1" t="n">
        <v>45762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45762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21320-2022</t>
        </is>
      </c>
      <c r="B332" s="1" t="n">
        <v>44705</v>
      </c>
      <c r="C332" s="1" t="n">
        <v>45762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21350-2022</t>
        </is>
      </c>
      <c r="B333" s="1" t="n">
        <v>44705</v>
      </c>
      <c r="C333" s="1" t="n">
        <v>45762</v>
      </c>
      <c r="D333" t="inlineStr">
        <is>
          <t>HALLANDS LÄN</t>
        </is>
      </c>
      <c r="E333" t="inlineStr">
        <is>
          <t>HALMSTAD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21884-2022</t>
        </is>
      </c>
      <c r="B334" s="1" t="n">
        <v>44711</v>
      </c>
      <c r="C334" s="1" t="n">
        <v>45762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22015-2022</t>
        </is>
      </c>
      <c r="B335" s="1" t="n">
        <v>44711</v>
      </c>
      <c r="C335" s="1" t="n">
        <v>45762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22070-2022</t>
        </is>
      </c>
      <c r="B336" s="1" t="n">
        <v>44711</v>
      </c>
      <c r="C336" s="1" t="n">
        <v>45762</v>
      </c>
      <c r="D336" t="inlineStr">
        <is>
          <t>HALLANDS LÄN</t>
        </is>
      </c>
      <c r="E336" t="inlineStr">
        <is>
          <t>HALMSTAD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22146-2022</t>
        </is>
      </c>
      <c r="B337" s="1" t="n">
        <v>44712</v>
      </c>
      <c r="C337" s="1" t="n">
        <v>45762</v>
      </c>
      <c r="D337" t="inlineStr">
        <is>
          <t>HALLANDS LÄN</t>
        </is>
      </c>
      <c r="E337" t="inlineStr">
        <is>
          <t>HALMSTAD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22149-2022</t>
        </is>
      </c>
      <c r="B338" s="1" t="n">
        <v>44712</v>
      </c>
      <c r="C338" s="1" t="n">
        <v>45762</v>
      </c>
      <c r="D338" t="inlineStr">
        <is>
          <t>HALLANDS LÄN</t>
        </is>
      </c>
      <c r="E338" t="inlineStr">
        <is>
          <t>HALMSTAD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22419-2022</t>
        </is>
      </c>
      <c r="B339" s="1" t="n">
        <v>44713</v>
      </c>
      <c r="C339" s="1" t="n">
        <v>45762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22860-2022</t>
        </is>
      </c>
      <c r="B340" s="1" t="n">
        <v>44715</v>
      </c>
      <c r="C340" s="1" t="n">
        <v>45762</v>
      </c>
      <c r="D340" t="inlineStr">
        <is>
          <t>HALLANDS LÄN</t>
        </is>
      </c>
      <c r="E340" t="inlineStr">
        <is>
          <t>HALMSTAD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22862-2022</t>
        </is>
      </c>
      <c r="B341" s="1" t="n">
        <v>44715</v>
      </c>
      <c r="C341" s="1" t="n">
        <v>45762</v>
      </c>
      <c r="D341" t="inlineStr">
        <is>
          <t>HALLANDS LÄN</t>
        </is>
      </c>
      <c r="E341" t="inlineStr">
        <is>
          <t>HALMSTAD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23483-2022</t>
        </is>
      </c>
      <c r="B342" s="1" t="n">
        <v>44721</v>
      </c>
      <c r="C342" s="1" t="n">
        <v>45762</v>
      </c>
      <c r="D342" t="inlineStr">
        <is>
          <t>HALLANDS LÄN</t>
        </is>
      </c>
      <c r="E342" t="inlineStr">
        <is>
          <t>HALMSTAD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23772-2022</t>
        </is>
      </c>
      <c r="B343" s="1" t="n">
        <v>44722</v>
      </c>
      <c r="C343" s="1" t="n">
        <v>45762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23773-2022</t>
        </is>
      </c>
      <c r="B344" s="1" t="n">
        <v>44722</v>
      </c>
      <c r="C344" s="1" t="n">
        <v>45762</v>
      </c>
      <c r="D344" t="inlineStr">
        <is>
          <t>HALLANDS LÄN</t>
        </is>
      </c>
      <c r="E344" t="inlineStr">
        <is>
          <t>HALMSTAD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24917-2022</t>
        </is>
      </c>
      <c r="B345" s="1" t="n">
        <v>44728</v>
      </c>
      <c r="C345" s="1" t="n">
        <v>45762</v>
      </c>
      <c r="D345" t="inlineStr">
        <is>
          <t>HALLANDS LÄN</t>
        </is>
      </c>
      <c r="E345" t="inlineStr">
        <is>
          <t>HALMSTAD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26108-2022</t>
        </is>
      </c>
      <c r="B346" s="1" t="n">
        <v>44734</v>
      </c>
      <c r="C346" s="1" t="n">
        <v>45762</v>
      </c>
      <c r="D346" t="inlineStr">
        <is>
          <t>HALLANDS LÄN</t>
        </is>
      </c>
      <c r="E346" t="inlineStr">
        <is>
          <t>HALMSTAD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26102-2022</t>
        </is>
      </c>
      <c r="B347" s="1" t="n">
        <v>44734</v>
      </c>
      <c r="C347" s="1" t="n">
        <v>45762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26105-2022</t>
        </is>
      </c>
      <c r="B348" s="1" t="n">
        <v>44734</v>
      </c>
      <c r="C348" s="1" t="n">
        <v>45762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27365-2022</t>
        </is>
      </c>
      <c r="B349" s="1" t="n">
        <v>44742</v>
      </c>
      <c r="C349" s="1" t="n">
        <v>45762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27505-2022</t>
        </is>
      </c>
      <c r="B350" s="1" t="n">
        <v>44742</v>
      </c>
      <c r="C350" s="1" t="n">
        <v>45762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29471-2022</t>
        </is>
      </c>
      <c r="B351" s="1" t="n">
        <v>44753</v>
      </c>
      <c r="C351" s="1" t="n">
        <v>45762</v>
      </c>
      <c r="D351" t="inlineStr">
        <is>
          <t>HALLANDS LÄN</t>
        </is>
      </c>
      <c r="E351" t="inlineStr">
        <is>
          <t>HALMSTAD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29839-2022</t>
        </is>
      </c>
      <c r="B352" s="1" t="n">
        <v>44756</v>
      </c>
      <c r="C352" s="1" t="n">
        <v>45762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30386-2022</t>
        </is>
      </c>
      <c r="B353" s="1" t="n">
        <v>44760</v>
      </c>
      <c r="C353" s="1" t="n">
        <v>45762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30385-2022</t>
        </is>
      </c>
      <c r="B354" s="1" t="n">
        <v>44760</v>
      </c>
      <c r="C354" s="1" t="n">
        <v>45762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30383-2022</t>
        </is>
      </c>
      <c r="B355" s="1" t="n">
        <v>44760</v>
      </c>
      <c r="C355" s="1" t="n">
        <v>45762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31547-2022</t>
        </is>
      </c>
      <c r="B356" s="1" t="n">
        <v>44775</v>
      </c>
      <c r="C356" s="1" t="n">
        <v>45762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31543-2022</t>
        </is>
      </c>
      <c r="B357" s="1" t="n">
        <v>44775</v>
      </c>
      <c r="C357" s="1" t="n">
        <v>45762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34922-2022</t>
        </is>
      </c>
      <c r="B358" s="1" t="n">
        <v>44796</v>
      </c>
      <c r="C358" s="1" t="n">
        <v>45762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38174-2022</t>
        </is>
      </c>
      <c r="B359" s="1" t="n">
        <v>44802</v>
      </c>
      <c r="C359" s="1" t="n">
        <v>45762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37161-2022</t>
        </is>
      </c>
      <c r="B360" s="1" t="n">
        <v>44806</v>
      </c>
      <c r="C360" s="1" t="n">
        <v>45762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38309-2022</t>
        </is>
      </c>
      <c r="B361" s="1" t="n">
        <v>44812</v>
      </c>
      <c r="C361" s="1" t="n">
        <v>45762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39274-2022</t>
        </is>
      </c>
      <c r="B362" s="1" t="n">
        <v>44817</v>
      </c>
      <c r="C362" s="1" t="n">
        <v>45762</v>
      </c>
      <c r="D362" t="inlineStr">
        <is>
          <t>HALLANDS LÄN</t>
        </is>
      </c>
      <c r="E362" t="inlineStr">
        <is>
          <t>HALMSTAD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39505-2022</t>
        </is>
      </c>
      <c r="B363" s="1" t="n">
        <v>44818</v>
      </c>
      <c r="C363" s="1" t="n">
        <v>45762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40396-2022</t>
        </is>
      </c>
      <c r="B364" s="1" t="n">
        <v>44823</v>
      </c>
      <c r="C364" s="1" t="n">
        <v>45762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40398-2022</t>
        </is>
      </c>
      <c r="B365" s="1" t="n">
        <v>44823</v>
      </c>
      <c r="C365" s="1" t="n">
        <v>45762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40408-2022</t>
        </is>
      </c>
      <c r="B366" s="1" t="n">
        <v>44823</v>
      </c>
      <c r="C366" s="1" t="n">
        <v>45762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41633-2022</t>
        </is>
      </c>
      <c r="B367" s="1" t="n">
        <v>44827</v>
      </c>
      <c r="C367" s="1" t="n">
        <v>45762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41612-2022</t>
        </is>
      </c>
      <c r="B368" s="1" t="n">
        <v>44827</v>
      </c>
      <c r="C368" s="1" t="n">
        <v>45762</v>
      </c>
      <c r="D368" t="inlineStr">
        <is>
          <t>HALLANDS LÄN</t>
        </is>
      </c>
      <c r="E368" t="inlineStr">
        <is>
          <t>HALMSTAD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41626-2022</t>
        </is>
      </c>
      <c r="B369" s="1" t="n">
        <v>44827</v>
      </c>
      <c r="C369" s="1" t="n">
        <v>45762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41631-2022</t>
        </is>
      </c>
      <c r="B370" s="1" t="n">
        <v>44827</v>
      </c>
      <c r="C370" s="1" t="n">
        <v>45762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41951-2022</t>
        </is>
      </c>
      <c r="B371" s="1" t="n">
        <v>44830</v>
      </c>
      <c r="C371" s="1" t="n">
        <v>45762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45585-2022</t>
        </is>
      </c>
      <c r="B372" s="1" t="n">
        <v>44845</v>
      </c>
      <c r="C372" s="1" t="n">
        <v>45762</v>
      </c>
      <c r="D372" t="inlineStr">
        <is>
          <t>HALLANDS LÄN</t>
        </is>
      </c>
      <c r="E372" t="inlineStr">
        <is>
          <t>HALMSTAD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46500-2022</t>
        </is>
      </c>
      <c r="B373" s="1" t="n">
        <v>44848</v>
      </c>
      <c r="C373" s="1" t="n">
        <v>45762</v>
      </c>
      <c r="D373" t="inlineStr">
        <is>
          <t>HALLANDS LÄN</t>
        </is>
      </c>
      <c r="E373" t="inlineStr">
        <is>
          <t>HALMSTAD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46508-2022</t>
        </is>
      </c>
      <c r="B374" s="1" t="n">
        <v>44848</v>
      </c>
      <c r="C374" s="1" t="n">
        <v>45762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47198-2022</t>
        </is>
      </c>
      <c r="B375" s="1" t="n">
        <v>44852</v>
      </c>
      <c r="C375" s="1" t="n">
        <v>45762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48708-2022</t>
        </is>
      </c>
      <c r="B376" s="1" t="n">
        <v>44854</v>
      </c>
      <c r="C376" s="1" t="n">
        <v>45762</v>
      </c>
      <c r="D376" t="inlineStr">
        <is>
          <t>HALLANDS LÄN</t>
        </is>
      </c>
      <c r="E376" t="inlineStr">
        <is>
          <t>HALMSTAD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48674-2022</t>
        </is>
      </c>
      <c r="B377" s="1" t="n">
        <v>44854</v>
      </c>
      <c r="C377" s="1" t="n">
        <v>45762</v>
      </c>
      <c r="D377" t="inlineStr">
        <is>
          <t>HALLANDS LÄN</t>
        </is>
      </c>
      <c r="E377" t="inlineStr">
        <is>
          <t>HALMSTAD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47842-2022</t>
        </is>
      </c>
      <c r="B378" s="1" t="n">
        <v>44855</v>
      </c>
      <c r="C378" s="1" t="n">
        <v>45762</v>
      </c>
      <c r="D378" t="inlineStr">
        <is>
          <t>HALLANDS LÄN</t>
        </is>
      </c>
      <c r="E378" t="inlineStr">
        <is>
          <t>HALMSTAD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50439-2022</t>
        </is>
      </c>
      <c r="B379" s="1" t="n">
        <v>44860</v>
      </c>
      <c r="C379" s="1" t="n">
        <v>45762</v>
      </c>
      <c r="D379" t="inlineStr">
        <is>
          <t>HALLANDS LÄN</t>
        </is>
      </c>
      <c r="E379" t="inlineStr">
        <is>
          <t>HALMSTAD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49657-2022</t>
        </is>
      </c>
      <c r="B380" s="1" t="n">
        <v>44862</v>
      </c>
      <c r="C380" s="1" t="n">
        <v>45762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50182-2022</t>
        </is>
      </c>
      <c r="B381" s="1" t="n">
        <v>44865</v>
      </c>
      <c r="C381" s="1" t="n">
        <v>45762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51190-2022</t>
        </is>
      </c>
      <c r="B382" s="1" t="n">
        <v>44868</v>
      </c>
      <c r="C382" s="1" t="n">
        <v>45762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51706-2022</t>
        </is>
      </c>
      <c r="B383" s="1" t="n">
        <v>44872</v>
      </c>
      <c r="C383" s="1" t="n">
        <v>45762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51708-2022</t>
        </is>
      </c>
      <c r="B384" s="1" t="n">
        <v>44872</v>
      </c>
      <c r="C384" s="1" t="n">
        <v>45762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51807-2022</t>
        </is>
      </c>
      <c r="B385" s="1" t="n">
        <v>44872</v>
      </c>
      <c r="C385" s="1" t="n">
        <v>45762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52102-2022</t>
        </is>
      </c>
      <c r="B386" s="1" t="n">
        <v>44873</v>
      </c>
      <c r="C386" s="1" t="n">
        <v>45762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53763-2022</t>
        </is>
      </c>
      <c r="B387" s="1" t="n">
        <v>44875</v>
      </c>
      <c r="C387" s="1" t="n">
        <v>45762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53465-2022</t>
        </is>
      </c>
      <c r="B388" s="1" t="n">
        <v>44879</v>
      </c>
      <c r="C388" s="1" t="n">
        <v>45762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53550-2022</t>
        </is>
      </c>
      <c r="B389" s="1" t="n">
        <v>44879</v>
      </c>
      <c r="C389" s="1" t="n">
        <v>45762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53499-2022</t>
        </is>
      </c>
      <c r="B390" s="1" t="n">
        <v>44879</v>
      </c>
      <c r="C390" s="1" t="n">
        <v>45762</v>
      </c>
      <c r="D390" t="inlineStr">
        <is>
          <t>HALLANDS LÄN</t>
        </is>
      </c>
      <c r="E390" t="inlineStr">
        <is>
          <t>HALMSTAD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53539-2022</t>
        </is>
      </c>
      <c r="B391" s="1" t="n">
        <v>44879</v>
      </c>
      <c r="C391" s="1" t="n">
        <v>45762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53873-2022</t>
        </is>
      </c>
      <c r="B392" s="1" t="n">
        <v>44880</v>
      </c>
      <c r="C392" s="1" t="n">
        <v>45762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54869-2022</t>
        </is>
      </c>
      <c r="B393" s="1" t="n">
        <v>44885</v>
      </c>
      <c r="C393" s="1" t="n">
        <v>45762</v>
      </c>
      <c r="D393" t="inlineStr">
        <is>
          <t>HALLANDS LÄN</t>
        </is>
      </c>
      <c r="E393" t="inlineStr">
        <is>
          <t>HALMSTAD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54870-2022</t>
        </is>
      </c>
      <c r="B394" s="1" t="n">
        <v>44885</v>
      </c>
      <c r="C394" s="1" t="n">
        <v>45762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55006-2022</t>
        </is>
      </c>
      <c r="B395" s="1" t="n">
        <v>44886</v>
      </c>
      <c r="C395" s="1" t="n">
        <v>45762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59260-2022</t>
        </is>
      </c>
      <c r="B396" s="1" t="n">
        <v>44897</v>
      </c>
      <c r="C396" s="1" t="n">
        <v>45762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59254-2022</t>
        </is>
      </c>
      <c r="B397" s="1" t="n">
        <v>44897</v>
      </c>
      <c r="C397" s="1" t="n">
        <v>45762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</v>
      </c>
      <c r="C398" s="1" t="n">
        <v>45762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61775-2022</t>
        </is>
      </c>
      <c r="B399" s="1" t="n">
        <v>44917</v>
      </c>
      <c r="C399" s="1" t="n">
        <v>45762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61779-2022</t>
        </is>
      </c>
      <c r="B400" s="1" t="n">
        <v>44917</v>
      </c>
      <c r="C400" s="1" t="n">
        <v>45762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</v>
      </c>
      <c r="C401" s="1" t="n">
        <v>45762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61776-2022</t>
        </is>
      </c>
      <c r="B402" s="1" t="n">
        <v>44917</v>
      </c>
      <c r="C402" s="1" t="n">
        <v>45762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61757-2022</t>
        </is>
      </c>
      <c r="B403" s="1" t="n">
        <v>44917</v>
      </c>
      <c r="C403" s="1" t="n">
        <v>45762</v>
      </c>
      <c r="D403" t="inlineStr">
        <is>
          <t>HALLANDS LÄN</t>
        </is>
      </c>
      <c r="E403" t="inlineStr">
        <is>
          <t>HALMSTAD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</v>
      </c>
      <c r="C404" s="1" t="n">
        <v>45762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61781-2022</t>
        </is>
      </c>
      <c r="B405" s="1" t="n">
        <v>44917</v>
      </c>
      <c r="C405" s="1" t="n">
        <v>45762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62189-2022</t>
        </is>
      </c>
      <c r="B406" s="1" t="n">
        <v>44922</v>
      </c>
      <c r="C406" s="1" t="n">
        <v>45762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62190-2022</t>
        </is>
      </c>
      <c r="B407" s="1" t="n">
        <v>44922</v>
      </c>
      <c r="C407" s="1" t="n">
        <v>45762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1755-2023</t>
        </is>
      </c>
      <c r="B408" s="1" t="n">
        <v>44938</v>
      </c>
      <c r="C408" s="1" t="n">
        <v>45762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4815-2023</t>
        </is>
      </c>
      <c r="B409" s="1" t="n">
        <v>44952</v>
      </c>
      <c r="C409" s="1" t="n">
        <v>45762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4752-2023</t>
        </is>
      </c>
      <c r="B410" s="1" t="n">
        <v>44957</v>
      </c>
      <c r="C410" s="1" t="n">
        <v>45762</v>
      </c>
      <c r="D410" t="inlineStr">
        <is>
          <t>HALLANDS LÄN</t>
        </is>
      </c>
      <c r="E410" t="inlineStr">
        <is>
          <t>HALMSTAD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5210-2023</t>
        </is>
      </c>
      <c r="B411" s="1" t="n">
        <v>44959</v>
      </c>
      <c r="C411" s="1" t="n">
        <v>45762</v>
      </c>
      <c r="D411" t="inlineStr">
        <is>
          <t>HALLANDS LÄN</t>
        </is>
      </c>
      <c r="E411" t="inlineStr">
        <is>
          <t>HALMSTAD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6942-2023</t>
        </is>
      </c>
      <c r="B412" s="1" t="n">
        <v>44964</v>
      </c>
      <c r="C412" s="1" t="n">
        <v>45762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</v>
      </c>
      <c r="C413" s="1" t="n">
        <v>45762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6947-2023</t>
        </is>
      </c>
      <c r="B414" s="1" t="n">
        <v>44964</v>
      </c>
      <c r="C414" s="1" t="n">
        <v>45762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6951-2023</t>
        </is>
      </c>
      <c r="B415" s="1" t="n">
        <v>44964</v>
      </c>
      <c r="C415" s="1" t="n">
        <v>45762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8062-2023</t>
        </is>
      </c>
      <c r="B416" s="1" t="n">
        <v>44974</v>
      </c>
      <c r="C416" s="1" t="n">
        <v>45762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8123-2023</t>
        </is>
      </c>
      <c r="B417" s="1" t="n">
        <v>44974</v>
      </c>
      <c r="C417" s="1" t="n">
        <v>45762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8142-2023</t>
        </is>
      </c>
      <c r="B418" s="1" t="n">
        <v>44974</v>
      </c>
      <c r="C418" s="1" t="n">
        <v>45762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8210-2023</t>
        </is>
      </c>
      <c r="B419" s="1" t="n">
        <v>44974</v>
      </c>
      <c r="C419" s="1" t="n">
        <v>45762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8114-2023</t>
        </is>
      </c>
      <c r="B420" s="1" t="n">
        <v>44974</v>
      </c>
      <c r="C420" s="1" t="n">
        <v>45762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8230-2023</t>
        </is>
      </c>
      <c r="B421" s="1" t="n">
        <v>44974</v>
      </c>
      <c r="C421" s="1" t="n">
        <v>45762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10400-2023</t>
        </is>
      </c>
      <c r="B422" s="1" t="n">
        <v>44987</v>
      </c>
      <c r="C422" s="1" t="n">
        <v>45762</v>
      </c>
      <c r="D422" t="inlineStr">
        <is>
          <t>HALLANDS LÄN</t>
        </is>
      </c>
      <c r="E422" t="inlineStr">
        <is>
          <t>HALMSTAD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11072-2023</t>
        </is>
      </c>
      <c r="B423" s="1" t="n">
        <v>44992</v>
      </c>
      <c r="C423" s="1" t="n">
        <v>45762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12244-2023</t>
        </is>
      </c>
      <c r="B424" s="1" t="n">
        <v>44998</v>
      </c>
      <c r="C424" s="1" t="n">
        <v>45762</v>
      </c>
      <c r="D424" t="inlineStr">
        <is>
          <t>HALLANDS LÄN</t>
        </is>
      </c>
      <c r="E424" t="inlineStr">
        <is>
          <t>HALMSTAD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12642-2023</t>
        </is>
      </c>
      <c r="B425" s="1" t="n">
        <v>45000</v>
      </c>
      <c r="C425" s="1" t="n">
        <v>45762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12717-2023</t>
        </is>
      </c>
      <c r="B426" s="1" t="n">
        <v>45000</v>
      </c>
      <c r="C426" s="1" t="n">
        <v>45762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12632-2023</t>
        </is>
      </c>
      <c r="B427" s="1" t="n">
        <v>45000</v>
      </c>
      <c r="C427" s="1" t="n">
        <v>45762</v>
      </c>
      <c r="D427" t="inlineStr">
        <is>
          <t>HALLANDS LÄN</t>
        </is>
      </c>
      <c r="E427" t="inlineStr">
        <is>
          <t>HALMSTAD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12762-2023</t>
        </is>
      </c>
      <c r="B428" s="1" t="n">
        <v>45001</v>
      </c>
      <c r="C428" s="1" t="n">
        <v>45762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13218-2023</t>
        </is>
      </c>
      <c r="B429" s="1" t="n">
        <v>45002</v>
      </c>
      <c r="C429" s="1" t="n">
        <v>45762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13222-2023</t>
        </is>
      </c>
      <c r="B430" s="1" t="n">
        <v>45002</v>
      </c>
      <c r="C430" s="1" t="n">
        <v>45762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13532-2023</t>
        </is>
      </c>
      <c r="B431" s="1" t="n">
        <v>45006</v>
      </c>
      <c r="C431" s="1" t="n">
        <v>45762</v>
      </c>
      <c r="D431" t="inlineStr">
        <is>
          <t>HALLANDS LÄN</t>
        </is>
      </c>
      <c r="E431" t="inlineStr">
        <is>
          <t>HALMSTAD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13594-2023</t>
        </is>
      </c>
      <c r="B432" s="1" t="n">
        <v>45006</v>
      </c>
      <c r="C432" s="1" t="n">
        <v>45762</v>
      </c>
      <c r="D432" t="inlineStr">
        <is>
          <t>HALLANDS LÄN</t>
        </is>
      </c>
      <c r="E432" t="inlineStr">
        <is>
          <t>HALMSTAD</t>
        </is>
      </c>
      <c r="F432" t="inlineStr">
        <is>
          <t>Bergvik skog väst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14987-2023</t>
        </is>
      </c>
      <c r="B433" s="1" t="n">
        <v>45015</v>
      </c>
      <c r="C433" s="1" t="n">
        <v>45762</v>
      </c>
      <c r="D433" t="inlineStr">
        <is>
          <t>HALLANDS LÄN</t>
        </is>
      </c>
      <c r="E433" t="inlineStr">
        <is>
          <t>HALMSTAD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14986-2023</t>
        </is>
      </c>
      <c r="B434" s="1" t="n">
        <v>45015</v>
      </c>
      <c r="C434" s="1" t="n">
        <v>45762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15028-2023</t>
        </is>
      </c>
      <c r="B435" s="1" t="n">
        <v>45015</v>
      </c>
      <c r="C435" s="1" t="n">
        <v>45762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15029-2023</t>
        </is>
      </c>
      <c r="B436" s="1" t="n">
        <v>45015</v>
      </c>
      <c r="C436" s="1" t="n">
        <v>45762</v>
      </c>
      <c r="D436" t="inlineStr">
        <is>
          <t>HALLANDS LÄN</t>
        </is>
      </c>
      <c r="E436" t="inlineStr">
        <is>
          <t>HALMSTAD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16387-2023</t>
        </is>
      </c>
      <c r="B437" s="1" t="n">
        <v>45029</v>
      </c>
      <c r="C437" s="1" t="n">
        <v>45762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17266-2023</t>
        </is>
      </c>
      <c r="B438" s="1" t="n">
        <v>45035</v>
      </c>
      <c r="C438" s="1" t="n">
        <v>45762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17261-2023</t>
        </is>
      </c>
      <c r="B439" s="1" t="n">
        <v>45035</v>
      </c>
      <c r="C439" s="1" t="n">
        <v>45762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18427-2023</t>
        </is>
      </c>
      <c r="B440" s="1" t="n">
        <v>45042</v>
      </c>
      <c r="C440" s="1" t="n">
        <v>45762</v>
      </c>
      <c r="D440" t="inlineStr">
        <is>
          <t>HALLANDS LÄN</t>
        </is>
      </c>
      <c r="E440" t="inlineStr">
        <is>
          <t>HALMSTAD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18789-2023</t>
        </is>
      </c>
      <c r="B441" s="1" t="n">
        <v>45043</v>
      </c>
      <c r="C441" s="1" t="n">
        <v>45762</v>
      </c>
      <c r="D441" t="inlineStr">
        <is>
          <t>HALLANDS LÄN</t>
        </is>
      </c>
      <c r="E441" t="inlineStr">
        <is>
          <t>HALMSTAD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19304-2023</t>
        </is>
      </c>
      <c r="B442" s="1" t="n">
        <v>45049</v>
      </c>
      <c r="C442" s="1" t="n">
        <v>45762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19588-2023</t>
        </is>
      </c>
      <c r="B443" s="1" t="n">
        <v>45050</v>
      </c>
      <c r="C443" s="1" t="n">
        <v>45762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19578-2023</t>
        </is>
      </c>
      <c r="B444" s="1" t="n">
        <v>45050</v>
      </c>
      <c r="C444" s="1" t="n">
        <v>45762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19591-2023</t>
        </is>
      </c>
      <c r="B445" s="1" t="n">
        <v>45050</v>
      </c>
      <c r="C445" s="1" t="n">
        <v>45762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19570-2023</t>
        </is>
      </c>
      <c r="B446" s="1" t="n">
        <v>45050</v>
      </c>
      <c r="C446" s="1" t="n">
        <v>45762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19581-2023</t>
        </is>
      </c>
      <c r="B447" s="1" t="n">
        <v>45050</v>
      </c>
      <c r="C447" s="1" t="n">
        <v>45762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19567-2023</t>
        </is>
      </c>
      <c r="B448" s="1" t="n">
        <v>45050</v>
      </c>
      <c r="C448" s="1" t="n">
        <v>45762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19572-2023</t>
        </is>
      </c>
      <c r="B449" s="1" t="n">
        <v>45050</v>
      </c>
      <c r="C449" s="1" t="n">
        <v>45762</v>
      </c>
      <c r="D449" t="inlineStr">
        <is>
          <t>HALLANDS LÄN</t>
        </is>
      </c>
      <c r="E449" t="inlineStr">
        <is>
          <t>HALMSTAD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19589-2023</t>
        </is>
      </c>
      <c r="B450" s="1" t="n">
        <v>45050</v>
      </c>
      <c r="C450" s="1" t="n">
        <v>45762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20404-2023</t>
        </is>
      </c>
      <c r="B451" s="1" t="n">
        <v>45056</v>
      </c>
      <c r="C451" s="1" t="n">
        <v>45762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21372-2023</t>
        </is>
      </c>
      <c r="B452" s="1" t="n">
        <v>45063</v>
      </c>
      <c r="C452" s="1" t="n">
        <v>45762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21723-2023</t>
        </is>
      </c>
      <c r="B453" s="1" t="n">
        <v>45065</v>
      </c>
      <c r="C453" s="1" t="n">
        <v>45762</v>
      </c>
      <c r="D453" t="inlineStr">
        <is>
          <t>HALLANDS LÄN</t>
        </is>
      </c>
      <c r="E453" t="inlineStr">
        <is>
          <t>HALMSTAD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21725-2023</t>
        </is>
      </c>
      <c r="B454" s="1" t="n">
        <v>45065</v>
      </c>
      <c r="C454" s="1" t="n">
        <v>45762</v>
      </c>
      <c r="D454" t="inlineStr">
        <is>
          <t>HALLANDS LÄN</t>
        </is>
      </c>
      <c r="E454" t="inlineStr">
        <is>
          <t>HALMSTAD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21869-2023</t>
        </is>
      </c>
      <c r="B455" s="1" t="n">
        <v>45068</v>
      </c>
      <c r="C455" s="1" t="n">
        <v>45762</v>
      </c>
      <c r="D455" t="inlineStr">
        <is>
          <t>HALLANDS LÄN</t>
        </is>
      </c>
      <c r="E455" t="inlineStr">
        <is>
          <t>HALMSTAD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22712-2023</t>
        </is>
      </c>
      <c r="B456" s="1" t="n">
        <v>45071</v>
      </c>
      <c r="C456" s="1" t="n">
        <v>45762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22711-2023</t>
        </is>
      </c>
      <c r="B457" s="1" t="n">
        <v>45071</v>
      </c>
      <c r="C457" s="1" t="n">
        <v>45762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22710-2023</t>
        </is>
      </c>
      <c r="B458" s="1" t="n">
        <v>45071</v>
      </c>
      <c r="C458" s="1" t="n">
        <v>45762</v>
      </c>
      <c r="D458" t="inlineStr">
        <is>
          <t>HALLANDS LÄN</t>
        </is>
      </c>
      <c r="E458" t="inlineStr">
        <is>
          <t>HALMSTAD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24087-2023</t>
        </is>
      </c>
      <c r="B459" s="1" t="n">
        <v>45079</v>
      </c>
      <c r="C459" s="1" t="n">
        <v>45762</v>
      </c>
      <c r="D459" t="inlineStr">
        <is>
          <t>HALLANDS LÄN</t>
        </is>
      </c>
      <c r="E459" t="inlineStr">
        <is>
          <t>HALMSTAD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24100-2023</t>
        </is>
      </c>
      <c r="B460" s="1" t="n">
        <v>45079</v>
      </c>
      <c r="C460" s="1" t="n">
        <v>45762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24179-2023</t>
        </is>
      </c>
      <c r="B461" s="1" t="n">
        <v>45079</v>
      </c>
      <c r="C461" s="1" t="n">
        <v>45762</v>
      </c>
      <c r="D461" t="inlineStr">
        <is>
          <t>HALLANDS LÄN</t>
        </is>
      </c>
      <c r="E461" t="inlineStr">
        <is>
          <t>HALMSTAD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24103-2023</t>
        </is>
      </c>
      <c r="B462" s="1" t="n">
        <v>45079</v>
      </c>
      <c r="C462" s="1" t="n">
        <v>45762</v>
      </c>
      <c r="D462" t="inlineStr">
        <is>
          <t>HALLANDS LÄN</t>
        </is>
      </c>
      <c r="E462" t="inlineStr">
        <is>
          <t>HALMSTAD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24200-2023</t>
        </is>
      </c>
      <c r="B463" s="1" t="n">
        <v>45079</v>
      </c>
      <c r="C463" s="1" t="n">
        <v>45762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24375-2023</t>
        </is>
      </c>
      <c r="B464" s="1" t="n">
        <v>45082</v>
      </c>
      <c r="C464" s="1" t="n">
        <v>45762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24380-2023</t>
        </is>
      </c>
      <c r="B465" s="1" t="n">
        <v>45082</v>
      </c>
      <c r="C465" s="1" t="n">
        <v>45762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24374-2023</t>
        </is>
      </c>
      <c r="B466" s="1" t="n">
        <v>45082</v>
      </c>
      <c r="C466" s="1" t="n">
        <v>45762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24377-2023</t>
        </is>
      </c>
      <c r="B467" s="1" t="n">
        <v>45082</v>
      </c>
      <c r="C467" s="1" t="n">
        <v>45762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24383-2023</t>
        </is>
      </c>
      <c r="B468" s="1" t="n">
        <v>45082</v>
      </c>
      <c r="C468" s="1" t="n">
        <v>45762</v>
      </c>
      <c r="D468" t="inlineStr">
        <is>
          <t>HALLANDS LÄN</t>
        </is>
      </c>
      <c r="E468" t="inlineStr">
        <is>
          <t>HALMSTAD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24908-2023</t>
        </is>
      </c>
      <c r="B469" s="1" t="n">
        <v>45085</v>
      </c>
      <c r="C469" s="1" t="n">
        <v>45762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25698-2023</t>
        </is>
      </c>
      <c r="B470" s="1" t="n">
        <v>45090</v>
      </c>
      <c r="C470" s="1" t="n">
        <v>45762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26024-2023</t>
        </is>
      </c>
      <c r="B471" s="1" t="n">
        <v>45091</v>
      </c>
      <c r="C471" s="1" t="n">
        <v>45762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26049-2023</t>
        </is>
      </c>
      <c r="B472" s="1" t="n">
        <v>45091</v>
      </c>
      <c r="C472" s="1" t="n">
        <v>45762</v>
      </c>
      <c r="D472" t="inlineStr">
        <is>
          <t>HALLANDS LÄN</t>
        </is>
      </c>
      <c r="E472" t="inlineStr">
        <is>
          <t>HALMSTAD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26122-2023</t>
        </is>
      </c>
      <c r="B473" s="1" t="n">
        <v>45091</v>
      </c>
      <c r="C473" s="1" t="n">
        <v>45762</v>
      </c>
      <c r="D473" t="inlineStr">
        <is>
          <t>HALLANDS LÄN</t>
        </is>
      </c>
      <c r="E473" t="inlineStr">
        <is>
          <t>HALMSTAD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27193-2023</t>
        </is>
      </c>
      <c r="B474" s="1" t="n">
        <v>45096</v>
      </c>
      <c r="C474" s="1" t="n">
        <v>45762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27271-2023</t>
        </is>
      </c>
      <c r="B475" s="1" t="n">
        <v>45096</v>
      </c>
      <c r="C475" s="1" t="n">
        <v>45762</v>
      </c>
      <c r="D475" t="inlineStr">
        <is>
          <t>HALLANDS LÄN</t>
        </is>
      </c>
      <c r="E475" t="inlineStr">
        <is>
          <t>HALMSTAD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27746-2023</t>
        </is>
      </c>
      <c r="B476" s="1" t="n">
        <v>45098</v>
      </c>
      <c r="C476" s="1" t="n">
        <v>45762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28098-2023</t>
        </is>
      </c>
      <c r="B477" s="1" t="n">
        <v>45099</v>
      </c>
      <c r="C477" s="1" t="n">
        <v>45762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28069-2023</t>
        </is>
      </c>
      <c r="B478" s="1" t="n">
        <v>45099</v>
      </c>
      <c r="C478" s="1" t="n">
        <v>45762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28145-2023</t>
        </is>
      </c>
      <c r="B479" s="1" t="n">
        <v>45099</v>
      </c>
      <c r="C479" s="1" t="n">
        <v>45762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28361-2023</t>
        </is>
      </c>
      <c r="B480" s="1" t="n">
        <v>45100</v>
      </c>
      <c r="C480" s="1" t="n">
        <v>45762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30093-2023</t>
        </is>
      </c>
      <c r="B481" s="1" t="n">
        <v>45099</v>
      </c>
      <c r="C481" s="1" t="n">
        <v>45762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30088-2023</t>
        </is>
      </c>
      <c r="B482" s="1" t="n">
        <v>45099</v>
      </c>
      <c r="C482" s="1" t="n">
        <v>45762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29023-2023</t>
        </is>
      </c>
      <c r="B483" s="1" t="n">
        <v>45104</v>
      </c>
      <c r="C483" s="1" t="n">
        <v>45762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29021-2023</t>
        </is>
      </c>
      <c r="B484" s="1" t="n">
        <v>45104</v>
      </c>
      <c r="C484" s="1" t="n">
        <v>45762</v>
      </c>
      <c r="D484" t="inlineStr">
        <is>
          <t>HALLANDS LÄN</t>
        </is>
      </c>
      <c r="E484" t="inlineStr">
        <is>
          <t>HALMSTAD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31656-2023</t>
        </is>
      </c>
      <c r="B485" s="1" t="n">
        <v>45117</v>
      </c>
      <c r="C485" s="1" t="n">
        <v>45762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32753-2023</t>
        </is>
      </c>
      <c r="B486" s="1" t="n">
        <v>45122</v>
      </c>
      <c r="C486" s="1" t="n">
        <v>45762</v>
      </c>
      <c r="D486" t="inlineStr">
        <is>
          <t>HALLANDS LÄN</t>
        </is>
      </c>
      <c r="E486" t="inlineStr">
        <is>
          <t>HALMSTAD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34114-2023</t>
        </is>
      </c>
      <c r="B487" s="1" t="n">
        <v>45126</v>
      </c>
      <c r="C487" s="1" t="n">
        <v>45762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35402-2023</t>
        </is>
      </c>
      <c r="B488" s="1" t="n">
        <v>45146</v>
      </c>
      <c r="C488" s="1" t="n">
        <v>45762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35621-2023</t>
        </is>
      </c>
      <c r="B489" s="1" t="n">
        <v>45147</v>
      </c>
      <c r="C489" s="1" t="n">
        <v>45762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36806-2023</t>
        </is>
      </c>
      <c r="B490" s="1" t="n">
        <v>45154</v>
      </c>
      <c r="C490" s="1" t="n">
        <v>45762</v>
      </c>
      <c r="D490" t="inlineStr">
        <is>
          <t>HALLANDS LÄN</t>
        </is>
      </c>
      <c r="E490" t="inlineStr">
        <is>
          <t>HALMSTAD</t>
        </is>
      </c>
      <c r="G490" t="n">
        <v>14.2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36819-2023</t>
        </is>
      </c>
      <c r="B491" s="1" t="n">
        <v>45154</v>
      </c>
      <c r="C491" s="1" t="n">
        <v>45762</v>
      </c>
      <c r="D491" t="inlineStr">
        <is>
          <t>HALLANDS LÄN</t>
        </is>
      </c>
      <c r="E491" t="inlineStr">
        <is>
          <t>HALMSTAD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36805-2023</t>
        </is>
      </c>
      <c r="B492" s="1" t="n">
        <v>45154</v>
      </c>
      <c r="C492" s="1" t="n">
        <v>45762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37416-2023</t>
        </is>
      </c>
      <c r="B493" s="1" t="n">
        <v>45156</v>
      </c>
      <c r="C493" s="1" t="n">
        <v>45762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37301-2023</t>
        </is>
      </c>
      <c r="B494" s="1" t="n">
        <v>45156</v>
      </c>
      <c r="C494" s="1" t="n">
        <v>45762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37571-2023</t>
        </is>
      </c>
      <c r="B495" s="1" t="n">
        <v>45159</v>
      </c>
      <c r="C495" s="1" t="n">
        <v>45762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37563-2023</t>
        </is>
      </c>
      <c r="B496" s="1" t="n">
        <v>45159</v>
      </c>
      <c r="C496" s="1" t="n">
        <v>45762</v>
      </c>
      <c r="D496" t="inlineStr">
        <is>
          <t>HALLANDS LÄN</t>
        </is>
      </c>
      <c r="E496" t="inlineStr">
        <is>
          <t>HALMSTAD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37751-2023</t>
        </is>
      </c>
      <c r="B497" s="1" t="n">
        <v>45159</v>
      </c>
      <c r="C497" s="1" t="n">
        <v>45762</v>
      </c>
      <c r="D497" t="inlineStr">
        <is>
          <t>HALLANDS LÄN</t>
        </is>
      </c>
      <c r="E497" t="inlineStr">
        <is>
          <t>HALMSTAD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37748-2023</t>
        </is>
      </c>
      <c r="B498" s="1" t="n">
        <v>45159</v>
      </c>
      <c r="C498" s="1" t="n">
        <v>45762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38351-2023</t>
        </is>
      </c>
      <c r="B499" s="1" t="n">
        <v>45162</v>
      </c>
      <c r="C499" s="1" t="n">
        <v>45762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38384-2023</t>
        </is>
      </c>
      <c r="B500" s="1" t="n">
        <v>45162</v>
      </c>
      <c r="C500" s="1" t="n">
        <v>45762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38943-2023</t>
        </is>
      </c>
      <c r="B501" s="1" t="n">
        <v>45163</v>
      </c>
      <c r="C501" s="1" t="n">
        <v>45762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39746-2023</t>
        </is>
      </c>
      <c r="B502" s="1" t="n">
        <v>45167</v>
      </c>
      <c r="C502" s="1" t="n">
        <v>45762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39747-2023</t>
        </is>
      </c>
      <c r="B503" s="1" t="n">
        <v>45167</v>
      </c>
      <c r="C503" s="1" t="n">
        <v>45762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40623-2023</t>
        </is>
      </c>
      <c r="B504" s="1" t="n">
        <v>45168</v>
      </c>
      <c r="C504" s="1" t="n">
        <v>45762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40669-2023</t>
        </is>
      </c>
      <c r="B505" s="1" t="n">
        <v>45168</v>
      </c>
      <c r="C505" s="1" t="n">
        <v>45762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40561-2023</t>
        </is>
      </c>
      <c r="B506" s="1" t="n">
        <v>45168</v>
      </c>
      <c r="C506" s="1" t="n">
        <v>45762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40716-2023</t>
        </is>
      </c>
      <c r="B507" s="1" t="n">
        <v>45168</v>
      </c>
      <c r="C507" s="1" t="n">
        <v>45762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40652-2023</t>
        </is>
      </c>
      <c r="B508" s="1" t="n">
        <v>45168</v>
      </c>
      <c r="C508" s="1" t="n">
        <v>45762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40600-2023</t>
        </is>
      </c>
      <c r="B509" s="1" t="n">
        <v>45168</v>
      </c>
      <c r="C509" s="1" t="n">
        <v>45762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45762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45762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45762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45762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45762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45762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45762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45762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45762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45762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45762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45762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45762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45762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45762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45762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45762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45762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45762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45762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45762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45762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45762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45762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45762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45762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45762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45762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45762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45762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45762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45762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45762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45762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45762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45762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45762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45762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45762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45762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45762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45762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45762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45762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45762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45762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45762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45762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45762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45762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45762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45762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45762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45762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45762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45762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45762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45762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45762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45762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45762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45762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45762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45762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45762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45762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45762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45762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45762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45762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45762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45762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45762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45762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45762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45762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45762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45762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45762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45762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45762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45762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45762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45762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45762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45762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45762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45762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45762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45762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45762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45762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45762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45762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45762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45762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45762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45762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45762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45762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45762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45762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45762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45762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45762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45762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45762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45762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45762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45762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45762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45762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45762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45762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45762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45762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45762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45762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45762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45762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45762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45762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45762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45762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45762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45762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45762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45762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45762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45762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45762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45762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45762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45762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45762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45762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45762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45762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45762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45762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45762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45762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45762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45762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45762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45762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45762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45762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45762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45762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45762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45762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45762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45762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45762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45762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45762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45762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45762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45762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45762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45762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45762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45762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45762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45762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45762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45762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45762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45762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45762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45762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45762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45762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45762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45762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45762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45762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45762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45762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45762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45762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45762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45762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45762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45762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45762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45762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45762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45762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45762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45762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45762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45762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45762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45762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45762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45762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45762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45762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45762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45762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45762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45762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45762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45762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45762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45762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45762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45762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45762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45762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45762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45762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45762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45762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45762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45762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45762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45762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45762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45762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45762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45762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45762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45762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45762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45762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45762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45762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45762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45762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45762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45762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45762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45762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45762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45762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45762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45762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45762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45762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45762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45762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45762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45762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45762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45762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45762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45762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45762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45762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45762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45762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45762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45762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45762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45762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45762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45762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45762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45762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45762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45762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45762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45762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45762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45762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45762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45762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45762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45762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45762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45762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45762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45762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45762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45762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45762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45762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45762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45762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45762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45762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45762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45762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45762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45762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45762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45762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45762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45762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45762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45762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45762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45762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45762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45762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45762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45762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45762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45762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45762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45762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45762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45762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45762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45762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45762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45762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45762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45762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45762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45762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45762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45762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45762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45762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45762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45762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45762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45762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45762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45762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45762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45762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45762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45762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45762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45762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45762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45762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45762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45762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45762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45762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45762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45762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45762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45762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45762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45762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45762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45762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45762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45762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45762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45762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45762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45762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45762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45762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45762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45762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45762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45762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45762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45762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45762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13252-2025</t>
        </is>
      </c>
      <c r="B869" s="1" t="n">
        <v>45735</v>
      </c>
      <c r="C869" s="1" t="n">
        <v>45762</v>
      </c>
      <c r="D869" t="inlineStr">
        <is>
          <t>HALLANDS LÄN</t>
        </is>
      </c>
      <c r="E869" t="inlineStr">
        <is>
          <t>HALMSTAD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45762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45762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45762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14310-2025</t>
        </is>
      </c>
      <c r="B873" s="1" t="n">
        <v>45740</v>
      </c>
      <c r="C873" s="1" t="n">
        <v>45762</v>
      </c>
      <c r="D873" t="inlineStr">
        <is>
          <t>HALLANDS LÄN</t>
        </is>
      </c>
      <c r="E873" t="inlineStr">
        <is>
          <t>HALMSTAD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45762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45762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45762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45762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15713-2025</t>
        </is>
      </c>
      <c r="B878" s="1" t="n">
        <v>45748</v>
      </c>
      <c r="C878" s="1" t="n">
        <v>45762</v>
      </c>
      <c r="D878" t="inlineStr">
        <is>
          <t>HALLANDS LÄN</t>
        </is>
      </c>
      <c r="E878" t="inlineStr">
        <is>
          <t>HALMSTAD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45762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45762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45762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45762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45762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45762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45762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45762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17637-2025</t>
        </is>
      </c>
      <c r="B887" s="1" t="n">
        <v>45758</v>
      </c>
      <c r="C887" s="1" t="n">
        <v>45762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2025-04-15T16:05:07Z</dcterms:created>
  <dcterms:modified xmlns:dcterms="http://purl.org/dc/terms/" xmlns:xsi="http://www.w3.org/2001/XMLSchema-instance" xsi:type="dcterms:W3CDTF">2025-04-15T16:05:07Z</dcterms:modified>
</cp:coreProperties>
</file>
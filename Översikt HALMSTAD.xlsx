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46258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46258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46258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46258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46258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46258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46258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46258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46258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46258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46258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46258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46258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46258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46258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46258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46258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46258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46258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46258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46258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46258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46258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40045-2025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46258</v>
      </c>
      <c r="F33" t="inlineStr">
        <is>
          <t>HALLANDS LÄN</t>
        </is>
      </c>
      <c r="G33" t="inlineStr">
        <is>
          <t>HALMSTAD</t>
        </is>
      </c>
      <c r="I33" t="n">
        <v>1.4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Kambräken
Platt fjädermossa</t>
        </is>
      </c>
      <c r="W33">
        <f>HYPERLINK("https://klasma.github.io/Logging_1380/artfynd/A 40045-2025 artfynd.xlsx", "A 40045-2025")</f>
        <v/>
      </c>
      <c r="X33">
        <f>HYPERLINK("https://klasma.github.io/Logging_1380/kartor/A 40045-2025 karta.png", "A 40045-2025")</f>
        <v/>
      </c>
      <c r="Y33">
        <f>HYPERLINK("https://klasma.github.io/Logging_1380/kartor_geotiff/A 40045-2025 georefererad karta.tif", "A 40045-2025")</f>
        <v/>
      </c>
      <c r="AA33">
        <f>HYPERLINK("https://klasma.github.io/Logging_1380/klagomål/A 40045-2025 FSC-klagomål.docx", "A 40045-2025")</f>
        <v/>
      </c>
      <c r="AB33">
        <f>HYPERLINK("https://klasma.github.io/Logging_1380/klagomålsmail/A 40045-2025 FSC-klagomål mail.docx", "A 40045-2025")</f>
        <v/>
      </c>
      <c r="AC33">
        <f>HYPERLINK("https://klasma.github.io/Logging_1380/tillsyn/A 40045-2025 tillsynsbegäran.docx", "A 40045-2025")</f>
        <v/>
      </c>
      <c r="AD33">
        <f>HYPERLINK("https://klasma.github.io/Logging_1380/tillsynsmail/A 40045-2025 tillsynsbegäran mail.docx", "A 40045-2025")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46258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46258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46258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46258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46258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46258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46258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46258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46258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46258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46258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46258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46258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40659-2023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46258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Kambräken</t>
        </is>
      </c>
      <c r="W47">
        <f>HYPERLINK("https://klasma.github.io/Logging_1380/artfynd/A 40659-2023 artfynd.xlsx", "A 40659-2023")</f>
        <v/>
      </c>
      <c r="X47">
        <f>HYPERLINK("https://klasma.github.io/Logging_1380/kartor/A 40659-2023 karta.png", "A 40659-2023")</f>
        <v/>
      </c>
      <c r="Y47">
        <f>HYPERLINK("https://klasma.github.io/Logging_1380/kartor_geotiff/A 40659-2023 georefererad karta.tif", "A 40659-2023")</f>
        <v/>
      </c>
      <c r="AA47">
        <f>HYPERLINK("https://klasma.github.io/Logging_1380/klagomål/A 40659-2023 FSC-klagomål.docx", "A 40659-2023")</f>
        <v/>
      </c>
      <c r="AB47">
        <f>HYPERLINK("https://klasma.github.io/Logging_1380/klagomålsmail/A 40659-2023 FSC-klagomål mail.docx", "A 40659-2023")</f>
        <v/>
      </c>
      <c r="AC47">
        <f>HYPERLINK("https://klasma.github.io/Logging_1380/tillsyn/A 40659-2023 tillsynsbegäran.docx", "A 40659-2023")</f>
        <v/>
      </c>
      <c r="AD47">
        <f>HYPERLINK("https://klasma.github.io/Logging_1380/tillsynsmail/A 40659-2023 tillsynsbegäran mail.docx", "A 40659-2023")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46258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46258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46258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5530-2025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45692</v>
      </c>
      <c r="E51" s="1" t="n">
        <v>46258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Igelkott</t>
        </is>
      </c>
      <c r="W51">
        <f>HYPERLINK("https://klasma.github.io/Logging_1380/artfynd/A 5530-2025 artfynd.xlsx", "A 5530-2025")</f>
        <v/>
      </c>
      <c r="X51">
        <f>HYPERLINK("https://klasma.github.io/Logging_1380/kartor/A 5530-2025 karta.png", "A 5530-2025")</f>
        <v/>
      </c>
      <c r="Y51">
        <f>HYPERLINK("https://klasma.github.io/Logging_1380/kartor_geotiff/A 5530-2025 georefererad karta.tif", "A 5530-2025")</f>
        <v/>
      </c>
      <c r="AA51">
        <f>HYPERLINK("https://klasma.github.io/Logging_1380/klagomål/A 5530-2025 FSC-klagomål.docx", "A 5530-2025")</f>
        <v/>
      </c>
      <c r="AB51">
        <f>HYPERLINK("https://klasma.github.io/Logging_1380/klagomålsmail/A 5530-2025 FSC-klagomål mail.docx", "A 5530-2025")</f>
        <v/>
      </c>
      <c r="AC51">
        <f>HYPERLINK("https://klasma.github.io/Logging_1380/tillsyn/A 5530-2025 tillsynsbegäran.docx", "A 5530-2025")</f>
        <v/>
      </c>
      <c r="AD51">
        <f>HYPERLINK("https://klasma.github.io/Logging_1380/tillsynsmail/A 5530-2025 tillsynsbegäran mail.docx", "A 5530-2025")</f>
        <v/>
      </c>
    </row>
    <row r="52" ht="15" customHeight="1">
      <c r="A52" t="inlineStr">
        <is>
          <t>A 17266-2023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45035</v>
      </c>
      <c r="E52" s="1" t="n">
        <v>46258</v>
      </c>
      <c r="F52" t="inlineStr">
        <is>
          <t>HALLANDS LÄN</t>
        </is>
      </c>
      <c r="G52" t="inlineStr">
        <is>
          <t>HALMSTAD</t>
        </is>
      </c>
      <c r="I52" t="n">
        <v>1.1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HYPERLINK("https://klasma.github.io/Logging_1380/artfynd/A 17266-2023 artfynd.xlsx", "A 17266-2023")</f>
        <v/>
      </c>
      <c r="X52">
        <f>HYPERLINK("https://klasma.github.io/Logging_1380/kartor/A 17266-2023 karta.png", "A 17266-2023")</f>
        <v/>
      </c>
      <c r="Y52">
        <f>HYPERLINK("https://klasma.github.io/Logging_1380/kartor_geotiff/A 17266-2023 georefererad karta.tif", "A 17266-2023")</f>
        <v/>
      </c>
      <c r="AA52">
        <f>HYPERLINK("https://klasma.github.io/Logging_1380/klagomål/A 17266-2023 FSC-klagomål.docx", "A 17266-2023")</f>
        <v/>
      </c>
      <c r="AB52">
        <f>HYPERLINK("https://klasma.github.io/Logging_1380/klagomålsmail/A 17266-2023 FSC-klagomål mail.docx", "A 17266-2023")</f>
        <v/>
      </c>
      <c r="AC52">
        <f>HYPERLINK("https://klasma.github.io/Logging_1380/tillsyn/A 17266-2023 tillsynsbegäran.docx", "A 17266-2023")</f>
        <v/>
      </c>
      <c r="AD52">
        <f>HYPERLINK("https://klasma.github.io/Logging_1380/tillsynsmail/A 17266-2023 tillsynsbegäran mail.docx", "A 17266-2023")</f>
        <v/>
      </c>
    </row>
    <row r="53" ht="15" customHeight="1">
      <c r="A53" t="inlineStr">
        <is>
          <t>A 1610-2024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46258</v>
      </c>
      <c r="F53" t="inlineStr">
        <is>
          <t>HALLANDS LÄN</t>
        </is>
      </c>
      <c r="G53" t="inlineStr">
        <is>
          <t>HALMSTAD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Månlåsbräken</t>
        </is>
      </c>
      <c r="W53">
        <f>HYPERLINK("https://klasma.github.io/Logging_1380/artfynd/A 1610-2024 artfynd.xlsx", "A 1610-2024")</f>
        <v/>
      </c>
      <c r="X53">
        <f>HYPERLINK("https://klasma.github.io/Logging_1380/kartor/A 1610-2024 karta.png", "A 1610-2024")</f>
        <v/>
      </c>
      <c r="Y53">
        <f>HYPERLINK("https://klasma.github.io/Logging_1380/kartor_geotiff/A 1610-2024 georefererad karta.tif", "A 1610-2024")</f>
        <v/>
      </c>
      <c r="AA53">
        <f>HYPERLINK("https://klasma.github.io/Logging_1380/klagomål/A 1610-2024 FSC-klagomål.docx", "A 1610-2024")</f>
        <v/>
      </c>
      <c r="AB53">
        <f>HYPERLINK("https://klasma.github.io/Logging_1380/klagomålsmail/A 1610-2024 FSC-klagomål mail.docx", "A 1610-2024")</f>
        <v/>
      </c>
      <c r="AC53">
        <f>HYPERLINK("https://klasma.github.io/Logging_1380/tillsyn/A 1610-2024 tillsynsbegäran.docx", "A 1610-2024")</f>
        <v/>
      </c>
      <c r="AD53">
        <f>HYPERLINK("https://klasma.github.io/Logging_1380/tillsynsmail/A 1610-2024 tillsynsbegäran mail.docx", "A 1610-2024")</f>
        <v/>
      </c>
    </row>
    <row r="54" ht="15" customHeight="1">
      <c r="A54" t="inlineStr">
        <is>
          <t>A 22842-2022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46258</v>
      </c>
      <c r="F54" t="inlineStr">
        <is>
          <t>HALLANDS LÄN</t>
        </is>
      </c>
      <c r="G54" t="inlineStr">
        <is>
          <t>HALMSTAD</t>
        </is>
      </c>
      <c r="I54" t="n">
        <v>6.1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Spillkråka</t>
        </is>
      </c>
      <c r="W54">
        <f>HYPERLINK("https://klasma.github.io/Logging_1380/artfynd/A 22842-2022 artfynd.xlsx", "A 22842-2022")</f>
        <v/>
      </c>
      <c r="X54">
        <f>HYPERLINK("https://klasma.github.io/Logging_1380/kartor/A 22842-2022 karta.png", "A 22842-2022")</f>
        <v/>
      </c>
      <c r="Y54">
        <f>HYPERLINK("https://klasma.github.io/Logging_1380/kartor_geotiff/A 22842-2022 georefererad karta.tif", "A 22842-2022")</f>
        <v/>
      </c>
      <c r="AA54">
        <f>HYPERLINK("https://klasma.github.io/Logging_1380/klagomål/A 22842-2022 FSC-klagomål.docx", "A 22842-2022")</f>
        <v/>
      </c>
      <c r="AB54">
        <f>HYPERLINK("https://klasma.github.io/Logging_1380/klagomålsmail/A 22842-2022 FSC-klagomål mail.docx", "A 22842-2022")</f>
        <v/>
      </c>
      <c r="AC54">
        <f>HYPERLINK("https://klasma.github.io/Logging_1380/tillsyn/A 22842-2022 tillsynsbegäran.docx", "A 22842-2022")</f>
        <v/>
      </c>
      <c r="AD54">
        <f>HYPERLINK("https://klasma.github.io/Logging_1380/tillsynsmail/A 22842-2022 tillsynsbegäran mail.docx", "A 22842-2022")</f>
        <v/>
      </c>
      <c r="AE54">
        <f>HYPERLINK("https://klasma.github.io/Logging_1380/fåglar/A 22842-2022 prioriterade fågelarter.docx", "A 22842-2022")</f>
        <v/>
      </c>
    </row>
    <row r="55" ht="15" customHeight="1">
      <c r="A55" t="inlineStr">
        <is>
          <t>A 40623-2023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46258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Hårginst</t>
        </is>
      </c>
      <c r="W55">
        <f>HYPERLINK("https://klasma.github.io/Logging_1380/artfynd/A 40623-2023 artfynd.xlsx", "A 40623-2023")</f>
        <v/>
      </c>
      <c r="X55">
        <f>HYPERLINK("https://klasma.github.io/Logging_1380/kartor/A 40623-2023 karta.png", "A 40623-2023")</f>
        <v/>
      </c>
      <c r="Y55">
        <f>HYPERLINK("https://klasma.github.io/Logging_1380/kartor_geotiff/A 40623-2023 georefererad karta.tif", "A 40623-2023")</f>
        <v/>
      </c>
      <c r="AA55">
        <f>HYPERLINK("https://klasma.github.io/Logging_1380/klagomål/A 40623-2023 FSC-klagomål.docx", "A 40623-2023")</f>
        <v/>
      </c>
      <c r="AB55">
        <f>HYPERLINK("https://klasma.github.io/Logging_1380/klagomålsmail/A 40623-2023 FSC-klagomål mail.docx", "A 40623-2023")</f>
        <v/>
      </c>
      <c r="AC55">
        <f>HYPERLINK("https://klasma.github.io/Logging_1380/tillsyn/A 40623-2023 tillsynsbegäran.docx", "A 40623-2023")</f>
        <v/>
      </c>
      <c r="AD55">
        <f>HYPERLINK("https://klasma.github.io/Logging_1380/tillsynsmail/A 40623-2023 tillsynsbegäran mail.docx", "A 40623-2023")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46258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57025-2021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46258</v>
      </c>
      <c r="F57" t="inlineStr">
        <is>
          <t>HALLANDS LÄN</t>
        </is>
      </c>
      <c r="G57" t="inlineStr">
        <is>
          <t>HALMSTAD</t>
        </is>
      </c>
      <c r="I57" t="n">
        <v>5.6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Gulsparv</t>
        </is>
      </c>
      <c r="W57">
        <f>HYPERLINK("https://klasma.github.io/Logging_1380/artfynd/A 57025-2021 artfynd.xlsx", "A 57025-2021")</f>
        <v/>
      </c>
      <c r="X57">
        <f>HYPERLINK("https://klasma.github.io/Logging_1380/kartor/A 57025-2021 karta.png", "A 57025-2021")</f>
        <v/>
      </c>
      <c r="Y57">
        <f>HYPERLINK("https://klasma.github.io/Logging_1380/kartor_geotiff/A 57025-2021 georefererad karta.tif", "A 57025-2021")</f>
        <v/>
      </c>
      <c r="AA57">
        <f>HYPERLINK("https://klasma.github.io/Logging_1380/klagomål/A 57025-2021 FSC-klagomål.docx", "A 57025-2021")</f>
        <v/>
      </c>
      <c r="AB57">
        <f>HYPERLINK("https://klasma.github.io/Logging_1380/klagomålsmail/A 57025-2021 FSC-klagomål mail.docx", "A 57025-2021")</f>
        <v/>
      </c>
      <c r="AC57">
        <f>HYPERLINK("https://klasma.github.io/Logging_1380/tillsyn/A 57025-2021 tillsynsbegäran.docx", "A 57025-2021")</f>
        <v/>
      </c>
      <c r="AD57">
        <f>HYPERLINK("https://klasma.github.io/Logging_1380/tillsynsmail/A 57025-2021 tillsynsbegäran mail.docx", "A 57025-2021")</f>
        <v/>
      </c>
      <c r="AE57">
        <f>HYPERLINK("https://klasma.github.io/Logging_1380/fåglar/A 57025-2021 prioriterade fågelarter.docx", "A 57025-2021")</f>
        <v/>
      </c>
    </row>
    <row r="58" ht="15" customHeight="1">
      <c r="A58" t="inlineStr">
        <is>
          <t>A 21483-2024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45441</v>
      </c>
      <c r="E58" s="1" t="n">
        <v>46258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21483-2024 artfynd.xlsx", "A 21483-2024")</f>
        <v/>
      </c>
      <c r="X58">
        <f>HYPERLINK("https://klasma.github.io/Logging_1380/kartor/A 21483-2024 karta.png", "A 21483-2024")</f>
        <v/>
      </c>
      <c r="Y58">
        <f>HYPERLINK("https://klasma.github.io/Logging_1380/kartor_geotiff/A 21483-2024 georefererad karta.tif", "A 21483-2024")</f>
        <v/>
      </c>
      <c r="AA58">
        <f>HYPERLINK("https://klasma.github.io/Logging_1380/klagomål/A 21483-2024 FSC-klagomål.docx", "A 21483-2024")</f>
        <v/>
      </c>
      <c r="AB58">
        <f>HYPERLINK("https://klasma.github.io/Logging_1380/klagomålsmail/A 21483-2024 FSC-klagomål mail.docx", "A 21483-2024")</f>
        <v/>
      </c>
      <c r="AC58">
        <f>HYPERLINK("https://klasma.github.io/Logging_1380/tillsyn/A 21483-2024 tillsynsbegäran.docx", "A 21483-2024")</f>
        <v/>
      </c>
      <c r="AD58">
        <f>HYPERLINK("https://klasma.github.io/Logging_1380/tillsynsmail/A 21483-2024 tillsynsbegäran mail.docx", "A 21483-2024")</f>
        <v/>
      </c>
    </row>
    <row r="59" ht="15" customHeight="1">
      <c r="A59" t="inlineStr">
        <is>
          <t>A 36808-2023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46258</v>
      </c>
      <c r="F59" t="inlineStr">
        <is>
          <t>HALLANDS LÄN</t>
        </is>
      </c>
      <c r="G59" t="inlineStr">
        <is>
          <t>HALMSTAD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Ljungögontröst</t>
        </is>
      </c>
      <c r="W59">
        <f>HYPERLINK("https://klasma.github.io/Logging_1380/artfynd/A 36808-2023 artfynd.xlsx", "A 36808-2023")</f>
        <v/>
      </c>
      <c r="X59">
        <f>HYPERLINK("https://klasma.github.io/Logging_1380/kartor/A 36808-2023 karta.png", "A 36808-2023")</f>
        <v/>
      </c>
      <c r="Y59">
        <f>HYPERLINK("https://klasma.github.io/Logging_1380/kartor_geotiff/A 36808-2023 georefererad karta.tif", "A 36808-2023")</f>
        <v/>
      </c>
      <c r="AA59">
        <f>HYPERLINK("https://klasma.github.io/Logging_1380/klagomål/A 36808-2023 FSC-klagomål.docx", "A 36808-2023")</f>
        <v/>
      </c>
      <c r="AB59">
        <f>HYPERLINK("https://klasma.github.io/Logging_1380/klagomålsmail/A 36808-2023 FSC-klagomål mail.docx", "A 36808-2023")</f>
        <v/>
      </c>
      <c r="AC59">
        <f>HYPERLINK("https://klasma.github.io/Logging_1380/tillsyn/A 36808-2023 tillsynsbegäran.docx", "A 36808-2023")</f>
        <v/>
      </c>
      <c r="AD59">
        <f>HYPERLINK("https://klasma.github.io/Logging_1380/tillsynsmail/A 36808-2023 tillsynsbegäran mail.docx", "A 36808-2023")</f>
        <v/>
      </c>
    </row>
    <row r="60" ht="15" customHeight="1">
      <c r="A60" t="inlineStr">
        <is>
          <t>A 10063-2022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46258</v>
      </c>
      <c r="F60" t="inlineStr">
        <is>
          <t>HALLANDS LÄN</t>
        </is>
      </c>
      <c r="G60" t="inlineStr">
        <is>
          <t>HALMSTAD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10063-2022 artfynd.xlsx", "A 10063-2022")</f>
        <v/>
      </c>
      <c r="X60">
        <f>HYPERLINK("https://klasma.github.io/Logging_1380/kartor/A 10063-2022 karta.png", "A 10063-2022")</f>
        <v/>
      </c>
      <c r="Y60">
        <f>HYPERLINK("https://klasma.github.io/Logging_1380/kartor_geotiff/A 10063-2022 georefererad karta.tif", "A 10063-2022")</f>
        <v/>
      </c>
      <c r="AA60">
        <f>HYPERLINK("https://klasma.github.io/Logging_1380/klagomål/A 10063-2022 FSC-klagomål.docx", "A 10063-2022")</f>
        <v/>
      </c>
      <c r="AB60">
        <f>HYPERLINK("https://klasma.github.io/Logging_1380/klagomålsmail/A 10063-2022 FSC-klagomål mail.docx", "A 10063-2022")</f>
        <v/>
      </c>
      <c r="AC60">
        <f>HYPERLINK("https://klasma.github.io/Logging_1380/tillsyn/A 10063-2022 tillsynsbegäran.docx", "A 10063-2022")</f>
        <v/>
      </c>
      <c r="AD60">
        <f>HYPERLINK("https://klasma.github.io/Logging_1380/tillsynsmail/A 10063-2022 tillsynsbegäran mail.docx", "A 10063-2022")</f>
        <v/>
      </c>
    </row>
    <row r="61" ht="15" customHeight="1">
      <c r="A61" t="inlineStr">
        <is>
          <t>A 5240-2025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46258</v>
      </c>
      <c r="F61" t="inlineStr">
        <is>
          <t>HALLANDS LÄN</t>
        </is>
      </c>
      <c r="G61" t="inlineStr">
        <is>
          <t>HALMSTAD</t>
        </is>
      </c>
      <c r="I61" t="n">
        <v>8.300000000000001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Mussellav</t>
        </is>
      </c>
      <c r="W61">
        <f>HYPERLINK("https://klasma.github.io/Logging_1380/artfynd/A 5240-2025 artfynd.xlsx", "A 5240-2025")</f>
        <v/>
      </c>
      <c r="X61">
        <f>HYPERLINK("https://klasma.github.io/Logging_1380/kartor/A 5240-2025 karta.png", "A 5240-2025")</f>
        <v/>
      </c>
      <c r="Y61">
        <f>HYPERLINK("https://klasma.github.io/Logging_1380/kartor_geotiff/A 5240-2025 georefererad karta.tif", "A 5240-2025")</f>
        <v/>
      </c>
      <c r="AA61">
        <f>HYPERLINK("https://klasma.github.io/Logging_1380/klagomål/A 5240-2025 FSC-klagomål.docx", "A 5240-2025")</f>
        <v/>
      </c>
      <c r="AB61">
        <f>HYPERLINK("https://klasma.github.io/Logging_1380/klagomålsmail/A 5240-2025 FSC-klagomål mail.docx", "A 5240-2025")</f>
        <v/>
      </c>
      <c r="AC61">
        <f>HYPERLINK("https://klasma.github.io/Logging_1380/tillsyn/A 5240-2025 tillsynsbegäran.docx", "A 5240-2025")</f>
        <v/>
      </c>
      <c r="AD61">
        <f>HYPERLINK("https://klasma.github.io/Logging_1380/tillsynsmail/A 5240-2025 tillsynsbegäran mail.docx", "A 5240-2025")</f>
        <v/>
      </c>
    </row>
    <row r="62" ht="15" customHeight="1">
      <c r="A62" t="inlineStr">
        <is>
          <t>A 20419-2022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46258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6.5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</t>
        </is>
      </c>
      <c r="W62">
        <f>HYPERLINK("https://klasma.github.io/Logging_1380/artfynd/A 20419-2022 artfynd.xlsx", "A 20419-2022")</f>
        <v/>
      </c>
      <c r="X62">
        <f>HYPERLINK("https://klasma.github.io/Logging_1380/kartor/A 20419-2022 karta.png", "A 20419-2022")</f>
        <v/>
      </c>
      <c r="Y62">
        <f>HYPERLINK("https://klasma.github.io/Logging_1380/kartor_geotiff/A 20419-2022 georefererad karta.tif", "A 20419-2022")</f>
        <v/>
      </c>
      <c r="AA62">
        <f>HYPERLINK("https://klasma.github.io/Logging_1380/klagomål/A 20419-2022 FSC-klagomål.docx", "A 20419-2022")</f>
        <v/>
      </c>
      <c r="AB62">
        <f>HYPERLINK("https://klasma.github.io/Logging_1380/klagomålsmail/A 20419-2022 FSC-klagomål mail.docx", "A 20419-2022")</f>
        <v/>
      </c>
      <c r="AC62">
        <f>HYPERLINK("https://klasma.github.io/Logging_1380/tillsyn/A 20419-2022 tillsynsbegäran.docx", "A 20419-2022")</f>
        <v/>
      </c>
      <c r="AD62">
        <f>HYPERLINK("https://klasma.github.io/Logging_1380/tillsynsmail/A 20419-2022 tillsynsbegäran mail.docx", "A 20419-2022")</f>
        <v/>
      </c>
    </row>
    <row r="63" ht="15" customHeight="1">
      <c r="A63" t="inlineStr">
        <is>
          <t>A 24383-2023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46258</v>
      </c>
      <c r="F63" t="inlineStr">
        <is>
          <t>HALLANDS LÄN</t>
        </is>
      </c>
      <c r="G63" t="inlineStr">
        <is>
          <t>HALMSTAD</t>
        </is>
      </c>
      <c r="I63" t="n">
        <v>3.2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24383-2023 artfynd.xlsx", "A 24383-2023")</f>
        <v/>
      </c>
      <c r="X63">
        <f>HYPERLINK("https://klasma.github.io/Logging_1380/kartor/A 24383-2023 karta.png", "A 24383-2023")</f>
        <v/>
      </c>
      <c r="Y63">
        <f>HYPERLINK("https://klasma.github.io/Logging_1380/kartor_geotiff/A 24383-2023 georefererad karta.tif", "A 24383-2023")</f>
        <v/>
      </c>
      <c r="AA63">
        <f>HYPERLINK("https://klasma.github.io/Logging_1380/klagomål/A 24383-2023 FSC-klagomål.docx", "A 24383-2023")</f>
        <v/>
      </c>
      <c r="AB63">
        <f>HYPERLINK("https://klasma.github.io/Logging_1380/klagomålsmail/A 24383-2023 FSC-klagomål mail.docx", "A 24383-2023")</f>
        <v/>
      </c>
      <c r="AC63">
        <f>HYPERLINK("https://klasma.github.io/Logging_1380/tillsyn/A 24383-2023 tillsynsbegäran.docx", "A 24383-2023")</f>
        <v/>
      </c>
      <c r="AD63">
        <f>HYPERLINK("https://klasma.github.io/Logging_1380/tillsynsmail/A 24383-2023 tillsynsbegäran mail.docx", "A 24383-2023")</f>
        <v/>
      </c>
    </row>
    <row r="64" ht="15" customHeight="1">
      <c r="A64" t="inlineStr">
        <is>
          <t>A 19588-2023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46258</v>
      </c>
      <c r="F64" t="inlineStr">
        <is>
          <t>HALLANDS LÄN</t>
        </is>
      </c>
      <c r="G64" t="inlineStr">
        <is>
          <t>HALMSTAD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Ljungögontröst</t>
        </is>
      </c>
      <c r="W64">
        <f>HYPERLINK("https://klasma.github.io/Logging_1380/artfynd/A 19588-2023 artfynd.xlsx", "A 19588-2023")</f>
        <v/>
      </c>
      <c r="X64">
        <f>HYPERLINK("https://klasma.github.io/Logging_1380/kartor/A 19588-2023 karta.png", "A 19588-2023")</f>
        <v/>
      </c>
      <c r="Y64">
        <f>HYPERLINK("https://klasma.github.io/Logging_1380/kartor_geotiff/A 19588-2023 georefererad karta.tif", "A 19588-2023")</f>
        <v/>
      </c>
      <c r="AA64">
        <f>HYPERLINK("https://klasma.github.io/Logging_1380/klagomål/A 19588-2023 FSC-klagomål.docx", "A 19588-2023")</f>
        <v/>
      </c>
      <c r="AB64">
        <f>HYPERLINK("https://klasma.github.io/Logging_1380/klagomålsmail/A 19588-2023 FSC-klagomål mail.docx", "A 19588-2023")</f>
        <v/>
      </c>
      <c r="AC64">
        <f>HYPERLINK("https://klasma.github.io/Logging_1380/tillsyn/A 19588-2023 tillsynsbegäran.docx", "A 19588-2023")</f>
        <v/>
      </c>
      <c r="AD64">
        <f>HYPERLINK("https://klasma.github.io/Logging_1380/tillsynsmail/A 19588-2023 tillsynsbegäran mail.docx", "A 19588-2023")</f>
        <v/>
      </c>
    </row>
    <row r="65" ht="15" customHeight="1">
      <c r="A65" t="inlineStr">
        <is>
          <t>A 16387-2023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46258</v>
      </c>
      <c r="F65" t="inlineStr">
        <is>
          <t>HALLANDS LÄN</t>
        </is>
      </c>
      <c r="G65" t="inlineStr">
        <is>
          <t>HALMSTAD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HYPERLINK("https://klasma.github.io/Logging_1380/artfynd/A 16387-2023 artfynd.xlsx", "A 16387-2023")</f>
        <v/>
      </c>
      <c r="X65">
        <f>HYPERLINK("https://klasma.github.io/Logging_1380/kartor/A 16387-2023 karta.png", "A 16387-2023")</f>
        <v/>
      </c>
      <c r="Y65">
        <f>HYPERLINK("https://klasma.github.io/Logging_1380/kartor_geotiff/A 16387-2023 georefererad karta.tif", "A 16387-2023")</f>
        <v/>
      </c>
      <c r="AA65">
        <f>HYPERLINK("https://klasma.github.io/Logging_1380/klagomål/A 16387-2023 FSC-klagomål.docx", "A 16387-2023")</f>
        <v/>
      </c>
      <c r="AB65">
        <f>HYPERLINK("https://klasma.github.io/Logging_1380/klagomålsmail/A 16387-2023 FSC-klagomål mail.docx", "A 16387-2023")</f>
        <v/>
      </c>
      <c r="AC65">
        <f>HYPERLINK("https://klasma.github.io/Logging_1380/tillsyn/A 16387-2023 tillsynsbegäran.docx", "A 16387-2023")</f>
        <v/>
      </c>
      <c r="AD65">
        <f>HYPERLINK("https://klasma.github.io/Logging_1380/tillsynsmail/A 16387-2023 tillsynsbegäran mail.docx", "A 16387-2023")</f>
        <v/>
      </c>
      <c r="AE65">
        <f>HYPERLINK("https://klasma.github.io/Logging_1380/fåglar/A 16387-2023 prioriterade fågelarter.docx", "A 16387-2023")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46258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37139-2025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46258</v>
      </c>
      <c r="F67" t="inlineStr">
        <is>
          <t>HALLANDS LÄN</t>
        </is>
      </c>
      <c r="G67" t="inlineStr">
        <is>
          <t>HALMSTAD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Kornknutmossa</t>
        </is>
      </c>
      <c r="W67">
        <f>HYPERLINK("https://klasma.github.io/Logging_1380/artfynd/A 37139-2025 artfynd.xlsx", "A 37139-2025")</f>
        <v/>
      </c>
      <c r="X67">
        <f>HYPERLINK("https://klasma.github.io/Logging_1380/kartor/A 37139-2025 karta.png", "A 37139-2025")</f>
        <v/>
      </c>
      <c r="Y67">
        <f>HYPERLINK("https://klasma.github.io/Logging_1380/kartor_geotiff/A 37139-2025 georefererad karta.tif", "A 37139-2025")</f>
        <v/>
      </c>
      <c r="AA67">
        <f>HYPERLINK("https://klasma.github.io/Logging_1380/klagomål/A 37139-2025 FSC-klagomål.docx", "A 37139-2025")</f>
        <v/>
      </c>
      <c r="AB67">
        <f>HYPERLINK("https://klasma.github.io/Logging_1380/klagomålsmail/A 37139-2025 FSC-klagomål mail.docx", "A 37139-2025")</f>
        <v/>
      </c>
      <c r="AC67">
        <f>HYPERLINK("https://klasma.github.io/Logging_1380/tillsyn/A 37139-2025 tillsynsbegäran.docx", "A 37139-2025")</f>
        <v/>
      </c>
      <c r="AD67">
        <f>HYPERLINK("https://klasma.github.io/Logging_1380/tillsynsmail/A 37139-2025 tillsynsbegäran mail.docx", "A 37139-2025")</f>
        <v/>
      </c>
    </row>
    <row r="68" ht="15" customHeight="1">
      <c r="A68" t="inlineStr">
        <is>
          <t>A 38318-2025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45883</v>
      </c>
      <c r="E68" s="1" t="n">
        <v>46258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HYPERLINK("https://klasma.github.io/Logging_1380/artfynd/A 38318-2025 artfynd.xlsx", "A 38318-2025")</f>
        <v/>
      </c>
      <c r="X68">
        <f>HYPERLINK("https://klasma.github.io/Logging_1380/kartor/A 38318-2025 karta.png", "A 38318-2025")</f>
        <v/>
      </c>
      <c r="Y68">
        <f>HYPERLINK("https://klasma.github.io/Logging_1380/kartor_geotiff/A 38318-2025 georefererad karta.tif", "A 38318-2025")</f>
        <v/>
      </c>
      <c r="AA68">
        <f>HYPERLINK("https://klasma.github.io/Logging_1380/klagomål/A 38318-2025 FSC-klagomål.docx", "A 38318-2025")</f>
        <v/>
      </c>
      <c r="AB68">
        <f>HYPERLINK("https://klasma.github.io/Logging_1380/klagomålsmail/A 38318-2025 FSC-klagomål mail.docx", "A 38318-2025")</f>
        <v/>
      </c>
      <c r="AC68">
        <f>HYPERLINK("https://klasma.github.io/Logging_1380/tillsyn/A 38318-2025 tillsynsbegäran.docx", "A 38318-2025")</f>
        <v/>
      </c>
      <c r="AD68">
        <f>HYPERLINK("https://klasma.github.io/Logging_1380/tillsynsmail/A 38318-2025 tillsynsbegäran mail.docx", "A 38318-2025")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46258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6767-2026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46258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6767-2026 artfynd.xlsx", "A 6767-2026")</f>
        <v/>
      </c>
      <c r="X70">
        <f>HYPERLINK("https://klasma.github.io/Logging_1380/kartor/A 6767-2026 karta.png", "A 6767-2026")</f>
        <v/>
      </c>
      <c r="Y70">
        <f>HYPERLINK("https://klasma.github.io/Logging_1380/kartor_geotiff/A 6767-2026 georefererad karta.tif", "A 6767-2026")</f>
        <v/>
      </c>
      <c r="AA70">
        <f>HYPERLINK("https://klasma.github.io/Logging_1380/klagomål/A 6767-2026 FSC-klagomål.docx", "A 6767-2026")</f>
        <v/>
      </c>
      <c r="AB70">
        <f>HYPERLINK("https://klasma.github.io/Logging_1380/klagomålsmail/A 6767-2026 FSC-klagomål mail.docx", "A 6767-2026")</f>
        <v/>
      </c>
      <c r="AC70">
        <f>HYPERLINK("https://klasma.github.io/Logging_1380/tillsyn/A 6767-2026 tillsynsbegäran.docx", "A 6767-2026")</f>
        <v/>
      </c>
      <c r="AD70">
        <f>HYPERLINK("https://klasma.github.io/Logging_1380/tillsynsmail/A 6767-2026 tillsynsbegäran mail.docx", "A 6767-2026")</f>
        <v/>
      </c>
    </row>
    <row r="71" ht="15" customHeight="1">
      <c r="A71" t="inlineStr">
        <is>
          <t>A 25382-2026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46258</v>
      </c>
      <c r="F71" t="inlineStr">
        <is>
          <t>HALLANDS LÄN</t>
        </is>
      </c>
      <c r="G71" t="inlineStr">
        <is>
          <t>HALMSTAD</t>
        </is>
      </c>
      <c r="I71" t="n">
        <v>10.9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HYPERLINK("https://klasma.github.io/Logging_1380/artfynd/A 25382-2026 artfynd.xlsx", "A 25382-2026")</f>
        <v/>
      </c>
      <c r="X71">
        <f>HYPERLINK("https://klasma.github.io/Logging_1380/kartor/A 25382-2026 karta.png", "A 25382-2026")</f>
        <v/>
      </c>
      <c r="Y71">
        <f>HYPERLINK("https://klasma.github.io/Logging_1380/kartor_geotiff/A 25382-2026 georefererad karta.tif", "A 25382-2026")</f>
        <v/>
      </c>
      <c r="AA71">
        <f>HYPERLINK("https://klasma.github.io/Logging_1380/klagomål/A 25382-2026 FSC-klagomål.docx", "A 25382-2026")</f>
        <v/>
      </c>
      <c r="AB71">
        <f>HYPERLINK("https://klasma.github.io/Logging_1380/klagomålsmail/A 25382-2026 FSC-klagomål mail.docx", "A 25382-2026")</f>
        <v/>
      </c>
      <c r="AC71">
        <f>HYPERLINK("https://klasma.github.io/Logging_1380/tillsyn/A 25382-2026 tillsynsbegäran.docx", "A 25382-2026")</f>
        <v/>
      </c>
      <c r="AD71">
        <f>HYPERLINK("https://klasma.github.io/Logging_1380/tillsynsmail/A 25382-2026 tillsynsbegäran mail.docx", "A 25382-2026")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46258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46258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46258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HYPERLINK("https://klasma.github.io/Logging_1380/artfynd/A 26330-2026 artfynd.xlsx", "A 26330-2026")</f>
        <v/>
      </c>
      <c r="X74">
        <f>HYPERLINK("https://klasma.github.io/Logging_1380/kartor/A 26330-2026 karta.png", "A 26330-2026")</f>
        <v/>
      </c>
      <c r="Y74">
        <f>HYPERLINK("https://klasma.github.io/Logging_1380/kartor_geotiff/A 26330-2026 georefererad karta.tif", "A 26330-2026")</f>
        <v/>
      </c>
      <c r="AA74">
        <f>HYPERLINK("https://klasma.github.io/Logging_1380/klagomål/A 26330-2026 FSC-klagomål.docx", "A 26330-2026")</f>
        <v/>
      </c>
      <c r="AB74">
        <f>HYPERLINK("https://klasma.github.io/Logging_1380/klagomålsmail/A 26330-2026 FSC-klagomål mail.docx", "A 26330-2026")</f>
        <v/>
      </c>
      <c r="AC74">
        <f>HYPERLINK("https://klasma.github.io/Logging_1380/tillsyn/A 26330-2026 tillsynsbegäran.docx", "A 26330-2026")</f>
        <v/>
      </c>
      <c r="AD74">
        <f>HYPERLINK("https://klasma.github.io/Logging_1380/tillsynsmail/A 26330-2026 tillsynsbegäran mail.docx", "A 26330-2026")</f>
        <v/>
      </c>
    </row>
    <row r="75" ht="15" customHeight="1">
      <c r="A75" t="inlineStr">
        <is>
          <t>A 53797-2024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46258</v>
      </c>
      <c r="F75" t="inlineStr">
        <is>
          <t>HALLANDS LÄN</t>
        </is>
      </c>
      <c r="G75" t="inlineStr">
        <is>
          <t>HALMSTAD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Dvärglin</t>
        </is>
      </c>
      <c r="W75">
        <f>HYPERLINK("https://klasma.github.io/Logging_1380/artfynd/A 53797-2024 artfynd.xlsx", "A 53797-2024")</f>
        <v/>
      </c>
      <c r="X75">
        <f>HYPERLINK("https://klasma.github.io/Logging_1380/kartor/A 53797-2024 karta.png", "A 53797-2024")</f>
        <v/>
      </c>
      <c r="Y75">
        <f>HYPERLINK("https://klasma.github.io/Logging_1380/kartor_geotiff/A 53797-2024 georefererad karta.tif", "A 53797-2024")</f>
        <v/>
      </c>
      <c r="AA75">
        <f>HYPERLINK("https://klasma.github.io/Logging_1380/klagomål/A 53797-2024 FSC-klagomål.docx", "A 53797-2024")</f>
        <v/>
      </c>
      <c r="AB75">
        <f>HYPERLINK("https://klasma.github.io/Logging_1380/klagomålsmail/A 53797-2024 FSC-klagomål mail.docx", "A 53797-2024")</f>
        <v/>
      </c>
      <c r="AC75">
        <f>HYPERLINK("https://klasma.github.io/Logging_1380/tillsyn/A 53797-2024 tillsynsbegäran.docx", "A 53797-2024")</f>
        <v/>
      </c>
      <c r="AD75">
        <f>HYPERLINK("https://klasma.github.io/Logging_1380/tillsynsmail/A 53797-2024 tillsynsbegäran mail.docx", "A 53797-2024")</f>
        <v/>
      </c>
    </row>
    <row r="76" ht="15" customHeight="1">
      <c r="A76" t="inlineStr">
        <is>
          <t>A 15579-2026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46258</v>
      </c>
      <c r="F76" t="inlineStr">
        <is>
          <t>HALLANDS LÄN</t>
        </is>
      </c>
      <c r="G76" t="inlineStr">
        <is>
          <t>HALMSTAD</t>
        </is>
      </c>
      <c r="I76" t="n">
        <v>3.7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Åkerrättika</t>
        </is>
      </c>
      <c r="W76">
        <f>HYPERLINK("https://klasma.github.io/Logging_1380/artfynd/A 15579-2026 artfynd.xlsx", "A 15579-2026")</f>
        <v/>
      </c>
      <c r="X76">
        <f>HYPERLINK("https://klasma.github.io/Logging_1380/kartor/A 15579-2026 karta.png", "A 15579-2026")</f>
        <v/>
      </c>
      <c r="Y76">
        <f>HYPERLINK("https://klasma.github.io/Logging_1380/kartor_geotiff/A 15579-2026 georefererad karta.tif", "A 15579-2026")</f>
        <v/>
      </c>
      <c r="AA76">
        <f>HYPERLINK("https://klasma.github.io/Logging_1380/klagomål/A 15579-2026 FSC-klagomål.docx", "A 15579-2026")</f>
        <v/>
      </c>
      <c r="AB76">
        <f>HYPERLINK("https://klasma.github.io/Logging_1380/klagomålsmail/A 15579-2026 FSC-klagomål mail.docx", "A 15579-2026")</f>
        <v/>
      </c>
      <c r="AC76">
        <f>HYPERLINK("https://klasma.github.io/Logging_1380/tillsyn/A 15579-2026 tillsynsbegäran.docx", "A 15579-2026")</f>
        <v/>
      </c>
      <c r="AD76">
        <f>HYPERLINK("https://klasma.github.io/Logging_1380/tillsynsmail/A 15579-2026 tillsynsbegäran mail.docx", "A 15579-2026")</f>
        <v/>
      </c>
    </row>
    <row r="77" ht="15" customHeight="1">
      <c r="A77" t="inlineStr">
        <is>
          <t>A 32753-2023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45122</v>
      </c>
      <c r="E77" s="1" t="n">
        <v>46258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Entita</t>
        </is>
      </c>
      <c r="W77">
        <f>HYPERLINK("https://klasma.github.io/Logging_1380/artfynd/A 32753-2023 artfynd.xlsx", "A 32753-2023")</f>
        <v/>
      </c>
      <c r="X77">
        <f>HYPERLINK("https://klasma.github.io/Logging_1380/kartor/A 32753-2023 karta.png", "A 32753-2023")</f>
        <v/>
      </c>
      <c r="Y77">
        <f>HYPERLINK("https://klasma.github.io/Logging_1380/kartor_geotiff/A 32753-2023 georefererad karta.tif", "A 32753-2023")</f>
        <v/>
      </c>
      <c r="AA77">
        <f>HYPERLINK("https://klasma.github.io/Logging_1380/klagomål/A 32753-2023 FSC-klagomål.docx", "A 32753-2023")</f>
        <v/>
      </c>
      <c r="AB77">
        <f>HYPERLINK("https://klasma.github.io/Logging_1380/klagomålsmail/A 32753-2023 FSC-klagomål mail.docx", "A 32753-2023")</f>
        <v/>
      </c>
      <c r="AC77">
        <f>HYPERLINK("https://klasma.github.io/Logging_1380/tillsyn/A 32753-2023 tillsynsbegäran.docx", "A 32753-2023")</f>
        <v/>
      </c>
      <c r="AD77">
        <f>HYPERLINK("https://klasma.github.io/Logging_1380/tillsynsmail/A 32753-2023 tillsynsbegäran mail.docx", "A 32753-2023")</f>
        <v/>
      </c>
      <c r="AE77">
        <f>HYPERLINK("https://klasma.github.io/Logging_1380/fåglar/A 32753-2023 prioriterade fågelarter.docx", "A 32753-2023")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46258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46258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46258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A 21626-2026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46149</v>
      </c>
      <c r="E81" s="1" t="n">
        <v>46258</v>
      </c>
      <c r="F81" t="inlineStr">
        <is>
          <t>HALLANDS LÄN</t>
        </is>
      </c>
      <c r="G81" t="inlineStr">
        <is>
          <t>HALMSTAD</t>
        </is>
      </c>
      <c r="I81" t="n">
        <v>9.6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21626-2026 artfynd.xlsx", "A 21626-2026")</f>
        <v/>
      </c>
      <c r="X81">
        <f>HYPERLINK("https://klasma.github.io/Logging_1380/kartor/A 21626-2026 karta.png", "A 21626-2026")</f>
        <v/>
      </c>
      <c r="Y81">
        <f>HYPERLINK("https://klasma.github.io/Logging_1380/kartor_geotiff/A 21626-2026 georefererad karta.tif", "A 21626-2026")</f>
        <v/>
      </c>
      <c r="AA81">
        <f>HYPERLINK("https://klasma.github.io/Logging_1380/klagomål/A 21626-2026 FSC-klagomål.docx", "A 21626-2026")</f>
        <v/>
      </c>
      <c r="AB81">
        <f>HYPERLINK("https://klasma.github.io/Logging_1380/klagomålsmail/A 21626-2026 FSC-klagomål mail.docx", "A 21626-2026")</f>
        <v/>
      </c>
      <c r="AC81">
        <f>HYPERLINK("https://klasma.github.io/Logging_1380/tillsyn/A 21626-2026 tillsynsbegäran.docx", "A 21626-2026")</f>
        <v/>
      </c>
      <c r="AD81">
        <f>HYPERLINK("https://klasma.github.io/Logging_1380/tillsynsmail/A 21626-2026 tillsynsbegäran mail.docx", "A 21626-2026")</f>
        <v/>
      </c>
    </row>
    <row r="82" ht="15" customHeight="1">
      <c r="A82" t="inlineStr">
        <is>
          <t>A 9045-2026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46258</v>
      </c>
      <c r="F82" t="inlineStr">
        <is>
          <t>HALLANDS LÄN</t>
        </is>
      </c>
      <c r="G82" t="inlineStr">
        <is>
          <t>HALMSTAD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Grönvit nattviol</t>
        </is>
      </c>
      <c r="W82">
        <f>HYPERLINK("https://klasma.github.io/Logging_1380/artfynd/A 9045-2026 artfynd.xlsx", "A 9045-2026")</f>
        <v/>
      </c>
      <c r="X82">
        <f>HYPERLINK("https://klasma.github.io/Logging_1380/kartor/A 9045-2026 karta.png", "A 9045-2026")</f>
        <v/>
      </c>
      <c r="Y82">
        <f>HYPERLINK("https://klasma.github.io/Logging_1380/kartor_geotiff/A 9045-2026 georefererad karta.tif", "A 9045-2026")</f>
        <v/>
      </c>
      <c r="AA82">
        <f>HYPERLINK("https://klasma.github.io/Logging_1380/klagomål/A 9045-2026 FSC-klagomål.docx", "A 9045-2026")</f>
        <v/>
      </c>
      <c r="AB82">
        <f>HYPERLINK("https://klasma.github.io/Logging_1380/klagomålsmail/A 9045-2026 FSC-klagomål mail.docx", "A 9045-2026")</f>
        <v/>
      </c>
      <c r="AC82">
        <f>HYPERLINK("https://klasma.github.io/Logging_1380/tillsyn/A 9045-2026 tillsynsbegäran.docx", "A 9045-2026")</f>
        <v/>
      </c>
      <c r="AD82">
        <f>HYPERLINK("https://klasma.github.io/Logging_1380/tillsynsmail/A 9045-2026 tillsynsbegäran mail.docx", "A 9045-2026")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46258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46258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46258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46258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46258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46258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46258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46258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46258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46258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46258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46258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46258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46258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46258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46258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46258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46258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46258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46258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46258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46258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46258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46258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46258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46258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46258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46258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46258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46258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46258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46258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46258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46258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46258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46258</v>
      </c>
      <c r="F118" t="inlineStr">
        <is>
          <t>HALLANDS LÄN</t>
        </is>
      </c>
      <c r="G118" t="inlineStr">
        <is>
          <t>HALMSTAD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45660</v>
      </c>
      <c r="E119" s="1" t="n">
        <v>46258</v>
      </c>
      <c r="F119" t="inlineStr">
        <is>
          <t>HALLANDS LÄN</t>
        </is>
      </c>
      <c r="G119" t="inlineStr">
        <is>
          <t>HALMSTAD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46258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46258</v>
      </c>
      <c r="F121" t="inlineStr">
        <is>
          <t>HALLANDS LÄN</t>
        </is>
      </c>
      <c r="G121" t="inlineStr">
        <is>
          <t>HALMSTAD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46258</v>
      </c>
      <c r="F122" t="inlineStr">
        <is>
          <t>HALLANDS LÄN</t>
        </is>
      </c>
      <c r="G122" t="inlineStr">
        <is>
          <t>HALMSTAD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46258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46258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46258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46258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72139-2021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46258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46258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46258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9546-2024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46258</v>
      </c>
      <c r="F130" t="inlineStr">
        <is>
          <t>HALLANDS LÄN</t>
        </is>
      </c>
      <c r="G130" t="inlineStr">
        <is>
          <t>HALMSTAD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46258</v>
      </c>
      <c r="F131" t="inlineStr">
        <is>
          <t>HALLANDS LÄN</t>
        </is>
      </c>
      <c r="G131" t="inlineStr">
        <is>
          <t>HALMSTAD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46258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46258</v>
      </c>
      <c r="F133" t="inlineStr">
        <is>
          <t>HALLANDS LÄN</t>
        </is>
      </c>
      <c r="G133" t="inlineStr">
        <is>
          <t>HALMSTAD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46258</v>
      </c>
      <c r="F134" t="inlineStr">
        <is>
          <t>HALLANDS LÄN</t>
        </is>
      </c>
      <c r="G134" t="inlineStr">
        <is>
          <t>HALMSTAD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46258</v>
      </c>
      <c r="F135" t="inlineStr">
        <is>
          <t>HALLANDS LÄN</t>
        </is>
      </c>
      <c r="G135" t="inlineStr">
        <is>
          <t>HALMSTAD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46258</v>
      </c>
      <c r="F136" t="inlineStr">
        <is>
          <t>HALLANDS LÄN</t>
        </is>
      </c>
      <c r="G136" t="inlineStr">
        <is>
          <t>HALMSTAD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46258</v>
      </c>
      <c r="F137" t="inlineStr">
        <is>
          <t>HALLANDS LÄN</t>
        </is>
      </c>
      <c r="G137" t="inlineStr">
        <is>
          <t>HALMSTAD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8709-2024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46258</v>
      </c>
      <c r="F138" t="inlineStr">
        <is>
          <t>HALLANDS LÄN</t>
        </is>
      </c>
      <c r="G138" t="inlineStr">
        <is>
          <t>HALMSTAD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45316</v>
      </c>
      <c r="E139" s="1" t="n">
        <v>46258</v>
      </c>
      <c r="F139" t="inlineStr">
        <is>
          <t>HALLANDS LÄN</t>
        </is>
      </c>
      <c r="G139" t="inlineStr">
        <is>
          <t>HALMSTAD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46258</v>
      </c>
      <c r="F140" t="inlineStr">
        <is>
          <t>HALLANDS LÄN</t>
        </is>
      </c>
      <c r="G140" t="inlineStr">
        <is>
          <t>HALMSTAD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46258</v>
      </c>
      <c r="F141" t="inlineStr">
        <is>
          <t>HALLANDS LÄN</t>
        </is>
      </c>
      <c r="G141" t="inlineStr">
        <is>
          <t>HALMSTAD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46258</v>
      </c>
      <c r="F142" t="inlineStr">
        <is>
          <t>HALLANDS LÄN</t>
        </is>
      </c>
      <c r="G142" t="inlineStr">
        <is>
          <t>HALMSTAD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46258</v>
      </c>
      <c r="F143" t="inlineStr">
        <is>
          <t>HALLANDS LÄN</t>
        </is>
      </c>
      <c r="G143" t="inlineStr">
        <is>
          <t>HALMSTAD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46258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46258</v>
      </c>
      <c r="F145" t="inlineStr">
        <is>
          <t>HALLANDS LÄN</t>
        </is>
      </c>
      <c r="G145" t="inlineStr">
        <is>
          <t>HALMSTAD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53763-2022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44875</v>
      </c>
      <c r="E146" s="1" t="n">
        <v>46258</v>
      </c>
      <c r="F146" t="inlineStr">
        <is>
          <t>HALLANDS LÄN</t>
        </is>
      </c>
      <c r="G146" t="inlineStr">
        <is>
          <t>HALMSTAD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46258</v>
      </c>
      <c r="F147" t="inlineStr">
        <is>
          <t>HALLANDS LÄN</t>
        </is>
      </c>
      <c r="G147" t="inlineStr">
        <is>
          <t>HALMSTAD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46258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46258</v>
      </c>
      <c r="F149" t="inlineStr">
        <is>
          <t>HALLANDS LÄN</t>
        </is>
      </c>
      <c r="G149" t="inlineStr">
        <is>
          <t>HALMSTAD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44662</v>
      </c>
      <c r="E150" s="1" t="n">
        <v>46258</v>
      </c>
      <c r="F150" t="inlineStr">
        <is>
          <t>HALLANDS LÄN</t>
        </is>
      </c>
      <c r="G150" t="inlineStr">
        <is>
          <t>HALMSTAD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22070-2022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44711</v>
      </c>
      <c r="E151" s="1" t="n">
        <v>46258</v>
      </c>
      <c r="F151" t="inlineStr">
        <is>
          <t>HALLANDS LÄN</t>
        </is>
      </c>
      <c r="G151" t="inlineStr">
        <is>
          <t>HALMSTAD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46258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45488</v>
      </c>
      <c r="E153" s="1" t="n">
        <v>46258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46258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46258</v>
      </c>
      <c r="F155" t="inlineStr">
        <is>
          <t>HALLANDS LÄN</t>
        </is>
      </c>
      <c r="G155" t="inlineStr">
        <is>
          <t>HALMSTAD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46258</v>
      </c>
      <c r="F156" t="inlineStr">
        <is>
          <t>HALLANDS LÄN</t>
        </is>
      </c>
      <c r="G156" t="inlineStr">
        <is>
          <t>HALMSTAD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46258</v>
      </c>
      <c r="F157" t="inlineStr">
        <is>
          <t>HALLANDS LÄN</t>
        </is>
      </c>
      <c r="G157" t="inlineStr">
        <is>
          <t>HALMSTAD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46258</v>
      </c>
      <c r="F158" t="inlineStr">
        <is>
          <t>HALLANDS LÄN</t>
        </is>
      </c>
      <c r="G158" t="inlineStr">
        <is>
          <t>HALMSTAD</t>
        </is>
      </c>
      <c r="H158" t="inlineStr">
        <is>
          <t>Bergvik skog väst AB</t>
        </is>
      </c>
      <c r="I158" t="n">
        <v>11.2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46258</v>
      </c>
      <c r="F159" t="inlineStr">
        <is>
          <t>HALLANDS LÄN</t>
        </is>
      </c>
      <c r="G159" t="inlineStr">
        <is>
          <t>HALMSTAD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46258</v>
      </c>
      <c r="F160" t="inlineStr">
        <is>
          <t>HALLANDS LÄN</t>
        </is>
      </c>
      <c r="G160" t="inlineStr">
        <is>
          <t>HALMSTAD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46258</v>
      </c>
      <c r="F161" t="inlineStr">
        <is>
          <t>HALLANDS LÄN</t>
        </is>
      </c>
      <c r="G161" t="inlineStr">
        <is>
          <t>HALMSTAD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46258</v>
      </c>
      <c r="F162" t="inlineStr">
        <is>
          <t>HALLANDS LÄN</t>
        </is>
      </c>
      <c r="G162" t="inlineStr">
        <is>
          <t>HALMSTAD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46258</v>
      </c>
      <c r="F163" t="inlineStr">
        <is>
          <t>HALLANDS LÄN</t>
        </is>
      </c>
      <c r="G163" t="inlineStr">
        <is>
          <t>HALMSTAD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46258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64231-2023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46258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46258</v>
      </c>
      <c r="F166" t="inlineStr">
        <is>
          <t>HALLANDS LÄN</t>
        </is>
      </c>
      <c r="G166" t="inlineStr">
        <is>
          <t>HALMSTAD</t>
        </is>
      </c>
      <c r="H166" t="inlineStr">
        <is>
          <t>Kyrkan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46258</v>
      </c>
      <c r="F167" t="inlineStr">
        <is>
          <t>HALLANDS LÄN</t>
        </is>
      </c>
      <c r="G167" t="inlineStr">
        <is>
          <t>HALMSTAD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46258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46258</v>
      </c>
      <c r="F169" t="inlineStr">
        <is>
          <t>HALLANDS LÄN</t>
        </is>
      </c>
      <c r="G169" t="inlineStr">
        <is>
          <t>HALMSTAD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46258</v>
      </c>
      <c r="F170" t="inlineStr">
        <is>
          <t>HALLANDS LÄN</t>
        </is>
      </c>
      <c r="G170" t="inlineStr">
        <is>
          <t>HALMSTAD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46258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44467-2025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45916</v>
      </c>
      <c r="E172" s="1" t="n">
        <v>46258</v>
      </c>
      <c r="F172" t="inlineStr">
        <is>
          <t>HALLANDS LÄN</t>
        </is>
      </c>
      <c r="G172" t="inlineStr">
        <is>
          <t>HALMSTAD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46258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46258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46258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46258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46258</v>
      </c>
      <c r="F177" t="inlineStr">
        <is>
          <t>HALLANDS LÄN</t>
        </is>
      </c>
      <c r="G177" t="inlineStr">
        <is>
          <t>HALMSTAD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46258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46258</v>
      </c>
      <c r="F179" t="inlineStr">
        <is>
          <t>HALLANDS LÄN</t>
        </is>
      </c>
      <c r="G179" t="inlineStr">
        <is>
          <t>HALMSTAD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61853-2023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45265</v>
      </c>
      <c r="E180" s="1" t="n">
        <v>46258</v>
      </c>
      <c r="F180" t="inlineStr">
        <is>
          <t>HALLANDS LÄN</t>
        </is>
      </c>
      <c r="G180" t="inlineStr">
        <is>
          <t>HALMSTAD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45091</v>
      </c>
      <c r="E181" s="1" t="n">
        <v>46258</v>
      </c>
      <c r="F181" t="inlineStr">
        <is>
          <t>HALLANDS LÄN</t>
        </is>
      </c>
      <c r="G181" t="inlineStr">
        <is>
          <t>HALMSTAD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46258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46258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63609-2023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45275</v>
      </c>
      <c r="E184" s="1" t="n">
        <v>46258</v>
      </c>
      <c r="F184" t="inlineStr">
        <is>
          <t>HALLANDS LÄN</t>
        </is>
      </c>
      <c r="G184" t="inlineStr">
        <is>
          <t>HALMSTAD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45555</v>
      </c>
      <c r="E185" s="1" t="n">
        <v>46258</v>
      </c>
      <c r="F185" t="inlineStr">
        <is>
          <t>HALLANDS LÄN</t>
        </is>
      </c>
      <c r="G185" t="inlineStr">
        <is>
          <t>HALMSTAD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46258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46258</v>
      </c>
      <c r="F187" t="inlineStr">
        <is>
          <t>HALLANDS LÄN</t>
        </is>
      </c>
      <c r="G187" t="inlineStr">
        <is>
          <t>HALMSTAD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46258</v>
      </c>
      <c r="F188" t="inlineStr">
        <is>
          <t>HALLANDS LÄN</t>
        </is>
      </c>
      <c r="G188" t="inlineStr">
        <is>
          <t>HALMSTAD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64136-2023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45279</v>
      </c>
      <c r="E189" s="1" t="n">
        <v>46258</v>
      </c>
      <c r="F189" t="inlineStr">
        <is>
          <t>HALLANDS LÄN</t>
        </is>
      </c>
      <c r="G189" t="inlineStr">
        <is>
          <t>HALMSTAD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46258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45268</v>
      </c>
      <c r="E191" s="1" t="n">
        <v>46258</v>
      </c>
      <c r="F191" t="inlineStr">
        <is>
          <t>HALLANDS LÄN</t>
        </is>
      </c>
      <c r="G191" t="inlineStr">
        <is>
          <t>HALMSTAD</t>
        </is>
      </c>
      <c r="H191" t="inlineStr">
        <is>
          <t>Sveaskog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46258</v>
      </c>
      <c r="F192" t="inlineStr">
        <is>
          <t>HALLANDS LÄN</t>
        </is>
      </c>
      <c r="G192" t="inlineStr">
        <is>
          <t>HALMSTAD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46258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45209</v>
      </c>
      <c r="E194" s="1" t="n">
        <v>46258</v>
      </c>
      <c r="F194" t="inlineStr">
        <is>
          <t>HALLANDS LÄN</t>
        </is>
      </c>
      <c r="G194" t="inlineStr">
        <is>
          <t>HALMSTAD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46258</v>
      </c>
      <c r="F195" t="inlineStr">
        <is>
          <t>HALLANDS LÄN</t>
        </is>
      </c>
      <c r="G195" t="inlineStr">
        <is>
          <t>HALMSTAD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46258</v>
      </c>
      <c r="F196" t="inlineStr">
        <is>
          <t>HALLANDS LÄN</t>
        </is>
      </c>
      <c r="G196" t="inlineStr">
        <is>
          <t>HALMSTAD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44712</v>
      </c>
      <c r="E197" s="1" t="n">
        <v>46258</v>
      </c>
      <c r="F197" t="inlineStr">
        <is>
          <t>HALLANDS LÄN</t>
        </is>
      </c>
      <c r="G197" t="inlineStr">
        <is>
          <t>HALMSTAD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46258</v>
      </c>
      <c r="F198" t="inlineStr">
        <is>
          <t>HALLANDS LÄN</t>
        </is>
      </c>
      <c r="G198" t="inlineStr">
        <is>
          <t>HALMSTAD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46258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46258</v>
      </c>
      <c r="F200" t="inlineStr">
        <is>
          <t>HALLANDS LÄN</t>
        </is>
      </c>
      <c r="G200" t="inlineStr">
        <is>
          <t>HALMSTAD</t>
        </is>
      </c>
      <c r="H200" t="inlineStr">
        <is>
          <t>Bergvik skog väst AB</t>
        </is>
      </c>
      <c r="I200" t="n">
        <v>19.5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46258</v>
      </c>
      <c r="F201" t="inlineStr">
        <is>
          <t>HALLANDS LÄN</t>
        </is>
      </c>
      <c r="G201" t="inlineStr">
        <is>
          <t>HALMSTAD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46258</v>
      </c>
      <c r="F202" t="inlineStr">
        <is>
          <t>HALLANDS LÄN</t>
        </is>
      </c>
      <c r="G202" t="inlineStr">
        <is>
          <t>HALMSTAD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44461</v>
      </c>
      <c r="E203" s="1" t="n">
        <v>46258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46258</v>
      </c>
      <c r="F204" t="inlineStr">
        <is>
          <t>HALLANDS LÄN</t>
        </is>
      </c>
      <c r="G204" t="inlineStr">
        <is>
          <t>HALMSTAD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46258</v>
      </c>
      <c r="F205" t="inlineStr">
        <is>
          <t>HALLANDS LÄN</t>
        </is>
      </c>
      <c r="G205" t="inlineStr">
        <is>
          <t>HALMSTAD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46258</v>
      </c>
      <c r="F206" t="inlineStr">
        <is>
          <t>HALLANDS LÄN</t>
        </is>
      </c>
      <c r="G206" t="inlineStr">
        <is>
          <t>HALMSTAD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45733</v>
      </c>
      <c r="E207" s="1" t="n">
        <v>46258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46258</v>
      </c>
      <c r="F208" t="inlineStr">
        <is>
          <t>HALLANDS LÄN</t>
        </is>
      </c>
      <c r="G208" t="inlineStr">
        <is>
          <t>HALMSTAD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46258</v>
      </c>
      <c r="F209" t="inlineStr">
        <is>
          <t>HALLANDS LÄN</t>
        </is>
      </c>
      <c r="G209" t="inlineStr">
        <is>
          <t>HALMSTAD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46258</v>
      </c>
      <c r="F210" t="inlineStr">
        <is>
          <t>HALLANDS LÄN</t>
        </is>
      </c>
      <c r="G210" t="inlineStr">
        <is>
          <t>HALMSTAD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44482</v>
      </c>
      <c r="E211" s="1" t="n">
        <v>46258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46258</v>
      </c>
      <c r="F212" t="inlineStr">
        <is>
          <t>HALLANDS LÄN</t>
        </is>
      </c>
      <c r="G212" t="inlineStr">
        <is>
          <t>HALMSTAD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46258</v>
      </c>
      <c r="F213" t="inlineStr">
        <is>
          <t>HALLANDS LÄN</t>
        </is>
      </c>
      <c r="G213" t="inlineStr">
        <is>
          <t>HALMSTAD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46258</v>
      </c>
      <c r="F214" t="inlineStr">
        <is>
          <t>HALLANDS LÄN</t>
        </is>
      </c>
      <c r="G214" t="inlineStr">
        <is>
          <t>HALMSTAD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46258</v>
      </c>
      <c r="F215" t="inlineStr">
        <is>
          <t>HALLANDS LÄN</t>
        </is>
      </c>
      <c r="G215" t="inlineStr">
        <is>
          <t>HALMSTAD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45169</v>
      </c>
      <c r="E216" s="1" t="n">
        <v>46258</v>
      </c>
      <c r="F216" t="inlineStr">
        <is>
          <t>HALLANDS LÄN</t>
        </is>
      </c>
      <c r="G216" t="inlineStr">
        <is>
          <t>HALMSTAD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46258</v>
      </c>
      <c r="F217" t="inlineStr">
        <is>
          <t>HALLANDS LÄN</t>
        </is>
      </c>
      <c r="G217" t="inlineStr">
        <is>
          <t>HALMSTAD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45168</v>
      </c>
      <c r="E218" s="1" t="n">
        <v>46258</v>
      </c>
      <c r="F218" t="inlineStr">
        <is>
          <t>HALLANDS LÄN</t>
        </is>
      </c>
      <c r="G218" t="inlineStr">
        <is>
          <t>HALMSTAD</t>
        </is>
      </c>
      <c r="H218" t="inlineStr">
        <is>
          <t>Kommuner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74038-2021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44557</v>
      </c>
      <c r="E219" s="1" t="n">
        <v>46258</v>
      </c>
      <c r="F219" t="inlineStr">
        <is>
          <t>HALLANDS LÄN</t>
        </is>
      </c>
      <c r="G219" t="inlineStr">
        <is>
          <t>HALMSTAD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45708</v>
      </c>
      <c r="E220" s="1" t="n">
        <v>46258</v>
      </c>
      <c r="F220" t="inlineStr">
        <is>
          <t>HALLANDS LÄN</t>
        </is>
      </c>
      <c r="G220" t="inlineStr">
        <is>
          <t>HALMSTAD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46258</v>
      </c>
      <c r="F221" t="inlineStr">
        <is>
          <t>HALLANDS LÄN</t>
        </is>
      </c>
      <c r="G221" t="inlineStr">
        <is>
          <t>HALMSTAD</t>
        </is>
      </c>
      <c r="H221" t="inlineStr">
        <is>
          <t>Kyrkan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46258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46258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46258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46258</v>
      </c>
      <c r="F225" t="inlineStr">
        <is>
          <t>HALLANDS LÄN</t>
        </is>
      </c>
      <c r="G225" t="inlineStr">
        <is>
          <t>HALMSTAD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45476</v>
      </c>
      <c r="E226" s="1" t="n">
        <v>46258</v>
      </c>
      <c r="F226" t="inlineStr">
        <is>
          <t>HALLANDS LÄN</t>
        </is>
      </c>
      <c r="G226" t="inlineStr">
        <is>
          <t>HALMSTAD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45476</v>
      </c>
      <c r="E227" s="1" t="n">
        <v>46258</v>
      </c>
      <c r="F227" t="inlineStr">
        <is>
          <t>HALLANDS LÄN</t>
        </is>
      </c>
      <c r="G227" t="inlineStr">
        <is>
          <t>HALMSTAD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46258</v>
      </c>
      <c r="F228" t="inlineStr">
        <is>
          <t>HALLANDS LÄN</t>
        </is>
      </c>
      <c r="G228" t="inlineStr">
        <is>
          <t>HALMSTAD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46258</v>
      </c>
      <c r="F229" t="inlineStr">
        <is>
          <t>HALLANDS LÄN</t>
        </is>
      </c>
      <c r="G229" t="inlineStr">
        <is>
          <t>HALMSTAD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44691</v>
      </c>
      <c r="E230" s="1" t="n">
        <v>46258</v>
      </c>
      <c r="F230" t="inlineStr">
        <is>
          <t>HALLANDS LÄN</t>
        </is>
      </c>
      <c r="G230" t="inlineStr">
        <is>
          <t>HALMSTAD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46258</v>
      </c>
      <c r="F231" t="inlineStr">
        <is>
          <t>HALLANDS LÄN</t>
        </is>
      </c>
      <c r="G231" t="inlineStr">
        <is>
          <t>HALMSTAD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46258</v>
      </c>
      <c r="F232" t="inlineStr">
        <is>
          <t>HALLANDS LÄN</t>
        </is>
      </c>
      <c r="G232" t="inlineStr">
        <is>
          <t>HALMSTAD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46258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44594</v>
      </c>
      <c r="E234" s="1" t="n">
        <v>46258</v>
      </c>
      <c r="F234" t="inlineStr">
        <is>
          <t>HALLANDS LÄN</t>
        </is>
      </c>
      <c r="G234" t="inlineStr">
        <is>
          <t>HALMSTAD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50791-2023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45217</v>
      </c>
      <c r="E235" s="1" t="n">
        <v>46258</v>
      </c>
      <c r="F235" t="inlineStr">
        <is>
          <t>HALLANDS LÄN</t>
        </is>
      </c>
      <c r="G235" t="inlineStr">
        <is>
          <t>HALMSTAD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46258</v>
      </c>
      <c r="F236" t="inlineStr">
        <is>
          <t>HALLANDS LÄN</t>
        </is>
      </c>
      <c r="G236" t="inlineStr">
        <is>
          <t>HALMSTAD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46258</v>
      </c>
      <c r="F237" t="inlineStr">
        <is>
          <t>HALLANDS LÄN</t>
        </is>
      </c>
      <c r="G237" t="inlineStr">
        <is>
          <t>HALMSTAD</t>
        </is>
      </c>
      <c r="I237" t="n">
        <v>11.8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46258</v>
      </c>
      <c r="F238" t="inlineStr">
        <is>
          <t>HALLANDS LÄN</t>
        </is>
      </c>
      <c r="G238" t="inlineStr">
        <is>
          <t>HALMSTAD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45323</v>
      </c>
      <c r="E239" s="1" t="n">
        <v>46258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46258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44607</v>
      </c>
      <c r="E241" s="1" t="n">
        <v>46258</v>
      </c>
      <c r="F241" t="inlineStr">
        <is>
          <t>HALLANDS LÄN</t>
        </is>
      </c>
      <c r="G241" t="inlineStr">
        <is>
          <t>HALMSTAD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46258</v>
      </c>
      <c r="F242" t="inlineStr">
        <is>
          <t>HALLANDS LÄN</t>
        </is>
      </c>
      <c r="G242" t="inlineStr">
        <is>
          <t>HALMSTAD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66311-2021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44518</v>
      </c>
      <c r="E243" s="1" t="n">
        <v>46258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66730-2021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44520</v>
      </c>
      <c r="E244" s="1" t="n">
        <v>46258</v>
      </c>
      <c r="F244" t="inlineStr">
        <is>
          <t>HALLANDS LÄN</t>
        </is>
      </c>
      <c r="G244" t="inlineStr">
        <is>
          <t>HALMSTAD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45117</v>
      </c>
      <c r="E245" s="1" t="n">
        <v>46258</v>
      </c>
      <c r="F245" t="inlineStr">
        <is>
          <t>HALLANDS LÄN</t>
        </is>
      </c>
      <c r="G245" t="inlineStr">
        <is>
          <t>HALMSTAD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36714-2024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46258</v>
      </c>
      <c r="F246" t="inlineStr">
        <is>
          <t>HALLANDS LÄN</t>
        </is>
      </c>
      <c r="G246" t="inlineStr">
        <is>
          <t>HALMSTAD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44687</v>
      </c>
      <c r="E247" s="1" t="n">
        <v>46258</v>
      </c>
      <c r="F247" t="inlineStr">
        <is>
          <t>HALLANDS LÄN</t>
        </is>
      </c>
      <c r="G247" t="inlineStr">
        <is>
          <t>HALMSTAD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46258</v>
      </c>
      <c r="F248" t="inlineStr">
        <is>
          <t>HALLANDS LÄN</t>
        </is>
      </c>
      <c r="G248" t="inlineStr">
        <is>
          <t>HALMSTAD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44610</v>
      </c>
      <c r="E249" s="1" t="n">
        <v>46258</v>
      </c>
      <c r="F249" t="inlineStr">
        <is>
          <t>HALLANDS LÄN</t>
        </is>
      </c>
      <c r="G249" t="inlineStr">
        <is>
          <t>HALMSTAD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46258</v>
      </c>
      <c r="F250" t="inlineStr">
        <is>
          <t>HALLANDS LÄN</t>
        </is>
      </c>
      <c r="G250" t="inlineStr">
        <is>
          <t>HALMSTAD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44753</v>
      </c>
      <c r="E251" s="1" t="n">
        <v>46258</v>
      </c>
      <c r="F251" t="inlineStr">
        <is>
          <t>HALLANDS LÄN</t>
        </is>
      </c>
      <c r="G251" t="inlineStr">
        <is>
          <t>HALMSTAD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46258</v>
      </c>
      <c r="F252" t="inlineStr">
        <is>
          <t>HALLANDS LÄN</t>
        </is>
      </c>
      <c r="G252" t="inlineStr">
        <is>
          <t>HALMSTAD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44721</v>
      </c>
      <c r="E253" s="1" t="n">
        <v>46258</v>
      </c>
      <c r="F253" t="inlineStr">
        <is>
          <t>HALLANDS LÄN</t>
        </is>
      </c>
      <c r="G253" t="inlineStr">
        <is>
          <t>HALMSTAD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45854</v>
      </c>
      <c r="E254" s="1" t="n">
        <v>46258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46258</v>
      </c>
      <c r="F255" t="inlineStr">
        <is>
          <t>HALLANDS LÄN</t>
        </is>
      </c>
      <c r="G255" t="inlineStr">
        <is>
          <t>HALMSTAD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44742</v>
      </c>
      <c r="E256" s="1" t="n">
        <v>46258</v>
      </c>
      <c r="F256" t="inlineStr">
        <is>
          <t>HALLANDS LÄN</t>
        </is>
      </c>
      <c r="G256" t="inlineStr">
        <is>
          <t>HALMSTAD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44959</v>
      </c>
      <c r="E257" s="1" t="n">
        <v>46258</v>
      </c>
      <c r="F257" t="inlineStr">
        <is>
          <t>HALLANDS LÄN</t>
        </is>
      </c>
      <c r="G257" t="inlineStr">
        <is>
          <t>HALMSTAD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45856</v>
      </c>
      <c r="E258" s="1" t="n">
        <v>46258</v>
      </c>
      <c r="F258" t="inlineStr">
        <is>
          <t>HALLANDS LÄN</t>
        </is>
      </c>
      <c r="G258" t="inlineStr">
        <is>
          <t>HALMSTAD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46258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13.4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46258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46258</v>
      </c>
      <c r="F261" t="inlineStr">
        <is>
          <t>HALLANDS LÄN</t>
        </is>
      </c>
      <c r="G261" t="inlineStr">
        <is>
          <t>HALMSTAD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46258</v>
      </c>
      <c r="F262" t="inlineStr">
        <is>
          <t>HALLANDS LÄN</t>
        </is>
      </c>
      <c r="G262" t="inlineStr">
        <is>
          <t>HALMSTAD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44802</v>
      </c>
      <c r="E263" s="1" t="n">
        <v>46258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46258</v>
      </c>
      <c r="F264" t="inlineStr">
        <is>
          <t>HALLANDS LÄN</t>
        </is>
      </c>
      <c r="G264" t="inlineStr">
        <is>
          <t>HALMSTAD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41612-2022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44827</v>
      </c>
      <c r="E265" s="1" t="n">
        <v>46258</v>
      </c>
      <c r="F265" t="inlineStr">
        <is>
          <t>HALLANDS LÄN</t>
        </is>
      </c>
      <c r="G265" t="inlineStr">
        <is>
          <t>HALMSTAD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45257</v>
      </c>
      <c r="E266" s="1" t="n">
        <v>46258</v>
      </c>
      <c r="F266" t="inlineStr">
        <is>
          <t>HALLANDS LÄN</t>
        </is>
      </c>
      <c r="G266" t="inlineStr">
        <is>
          <t>HALMSTAD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46258</v>
      </c>
      <c r="F267" t="inlineStr">
        <is>
          <t>HALLANDS LÄN</t>
        </is>
      </c>
      <c r="G267" t="inlineStr">
        <is>
          <t>HALMSTAD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45302</v>
      </c>
      <c r="E268" s="1" t="n">
        <v>46258</v>
      </c>
      <c r="F268" t="inlineStr">
        <is>
          <t>HALLANDS LÄN</t>
        </is>
      </c>
      <c r="G268" t="inlineStr">
        <is>
          <t>HALMSTAD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46258</v>
      </c>
      <c r="F269" t="inlineStr">
        <is>
          <t>HALLANDS LÄN</t>
        </is>
      </c>
      <c r="G269" t="inlineStr">
        <is>
          <t>HALMSTAD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45065</v>
      </c>
      <c r="E270" s="1" t="n">
        <v>46258</v>
      </c>
      <c r="F270" t="inlineStr">
        <is>
          <t>HALLANDS LÄN</t>
        </is>
      </c>
      <c r="G270" t="inlineStr">
        <is>
          <t>HALMSTAD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46258</v>
      </c>
      <c r="F271" t="inlineStr">
        <is>
          <t>HALLANDS LÄN</t>
        </is>
      </c>
      <c r="G271" t="inlineStr">
        <is>
          <t>HALMSTAD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46258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45316</v>
      </c>
      <c r="E273" s="1" t="n">
        <v>46258</v>
      </c>
      <c r="F273" t="inlineStr">
        <is>
          <t>HALLANDS LÄN</t>
        </is>
      </c>
      <c r="G273" t="inlineStr">
        <is>
          <t>HALMSTAD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44595</v>
      </c>
      <c r="E274" s="1" t="n">
        <v>46258</v>
      </c>
      <c r="F274" t="inlineStr">
        <is>
          <t>HALLANDS LÄN</t>
        </is>
      </c>
      <c r="G274" t="inlineStr">
        <is>
          <t>HALMSTAD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46258</v>
      </c>
      <c r="F275" t="inlineStr">
        <is>
          <t>HALLANDS LÄN</t>
        </is>
      </c>
      <c r="G275" t="inlineStr">
        <is>
          <t>HALMSTAD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62812-2025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46258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46258</v>
      </c>
      <c r="F277" t="inlineStr">
        <is>
          <t>HALLANDS LÄN</t>
        </is>
      </c>
      <c r="G277" t="inlineStr">
        <is>
          <t>HALMSTAD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46258</v>
      </c>
      <c r="F278" t="inlineStr">
        <is>
          <t>HALLANDS LÄN</t>
        </is>
      </c>
      <c r="G278" t="inlineStr">
        <is>
          <t>HALMSTAD</t>
        </is>
      </c>
      <c r="H278" t="inlineStr">
        <is>
          <t>Kommuner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46258</v>
      </c>
      <c r="F279" t="inlineStr">
        <is>
          <t>HALLANDS LÄN</t>
        </is>
      </c>
      <c r="G279" t="inlineStr">
        <is>
          <t>HALMSTAD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46258</v>
      </c>
      <c r="F280" t="inlineStr">
        <is>
          <t>HALLANDS LÄN</t>
        </is>
      </c>
      <c r="G280" t="inlineStr">
        <is>
          <t>HALMSTAD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45126</v>
      </c>
      <c r="E281" s="1" t="n">
        <v>46258</v>
      </c>
      <c r="F281" t="inlineStr">
        <is>
          <t>HALLANDS LÄN</t>
        </is>
      </c>
      <c r="G281" t="inlineStr">
        <is>
          <t>HALMSTAD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46258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45559</v>
      </c>
      <c r="E283" s="1" t="n">
        <v>46258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45015</v>
      </c>
      <c r="E284" s="1" t="n">
        <v>46258</v>
      </c>
      <c r="F284" t="inlineStr">
        <is>
          <t>HALLANDS LÄN</t>
        </is>
      </c>
      <c r="G284" t="inlineStr">
        <is>
          <t>HALMSTAD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45015</v>
      </c>
      <c r="E285" s="1" t="n">
        <v>46258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45015</v>
      </c>
      <c r="E286" s="1" t="n">
        <v>46258</v>
      </c>
      <c r="F286" t="inlineStr">
        <is>
          <t>HALLANDS LÄN</t>
        </is>
      </c>
      <c r="G286" t="inlineStr">
        <is>
          <t>HALMSTAD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46258</v>
      </c>
      <c r="F287" t="inlineStr">
        <is>
          <t>HALLANDS LÄN</t>
        </is>
      </c>
      <c r="G287" t="inlineStr">
        <is>
          <t>HALMSTAD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46258</v>
      </c>
      <c r="F288" t="inlineStr">
        <is>
          <t>HALLANDS LÄN</t>
        </is>
      </c>
      <c r="G288" t="inlineStr">
        <is>
          <t>HALMSTAD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45259</v>
      </c>
      <c r="E289" s="1" t="n">
        <v>46258</v>
      </c>
      <c r="F289" t="inlineStr">
        <is>
          <t>HALLANDS LÄN</t>
        </is>
      </c>
      <c r="G289" t="inlineStr">
        <is>
          <t>HALMSTAD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45493</v>
      </c>
      <c r="E290" s="1" t="n">
        <v>46258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46258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44885</v>
      </c>
      <c r="E292" s="1" t="n">
        <v>46258</v>
      </c>
      <c r="F292" t="inlineStr">
        <is>
          <t>HALLANDS LÄN</t>
        </is>
      </c>
      <c r="G292" t="inlineStr">
        <is>
          <t>HALMSTAD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44885</v>
      </c>
      <c r="E293" s="1" t="n">
        <v>46258</v>
      </c>
      <c r="F293" t="inlineStr">
        <is>
          <t>HALLANDS LÄN</t>
        </is>
      </c>
      <c r="G293" t="inlineStr">
        <is>
          <t>HALMSTAD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45589</v>
      </c>
      <c r="E294" s="1" t="n">
        <v>46258</v>
      </c>
      <c r="F294" t="inlineStr">
        <is>
          <t>HALLANDS LÄN</t>
        </is>
      </c>
      <c r="G294" t="inlineStr">
        <is>
          <t>HALMSTAD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46258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44952</v>
      </c>
      <c r="E296" s="1" t="n">
        <v>46258</v>
      </c>
      <c r="F296" t="inlineStr">
        <is>
          <t>HALLANDS LÄN</t>
        </is>
      </c>
      <c r="G296" t="inlineStr">
        <is>
          <t>HALMSTAD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27365-2022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46258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46258</v>
      </c>
      <c r="F298" t="inlineStr">
        <is>
          <t>HALLANDS LÄN</t>
        </is>
      </c>
      <c r="G298" t="inlineStr">
        <is>
          <t>HALMSTAD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44852</v>
      </c>
      <c r="E299" s="1" t="n">
        <v>46258</v>
      </c>
      <c r="F299" t="inlineStr">
        <is>
          <t>HALLANDS LÄN</t>
        </is>
      </c>
      <c r="G299" t="inlineStr">
        <is>
          <t>HALMSTAD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45240</v>
      </c>
      <c r="E300" s="1" t="n">
        <v>46258</v>
      </c>
      <c r="F300" t="inlineStr">
        <is>
          <t>HALLANDS LÄN</t>
        </is>
      </c>
      <c r="G300" t="inlineStr">
        <is>
          <t>HALMSTAD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46258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10263-2022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44622</v>
      </c>
      <c r="E302" s="1" t="n">
        <v>46258</v>
      </c>
      <c r="F302" t="inlineStr">
        <is>
          <t>HALLANDS LÄN</t>
        </is>
      </c>
      <c r="G302" t="inlineStr">
        <is>
          <t>HALMSTAD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46258</v>
      </c>
      <c r="F303" t="inlineStr">
        <is>
          <t>HALLANDS LÄN</t>
        </is>
      </c>
      <c r="G303" t="inlineStr">
        <is>
          <t>HALMSTAD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45172</v>
      </c>
      <c r="E304" s="1" t="n">
        <v>46258</v>
      </c>
      <c r="F304" t="inlineStr">
        <is>
          <t>HALLANDS LÄN</t>
        </is>
      </c>
      <c r="G304" t="inlineStr">
        <is>
          <t>HALMSTAD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61775-2022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46258</v>
      </c>
      <c r="F305" t="inlineStr">
        <is>
          <t>HALLANDS LÄN</t>
        </is>
      </c>
      <c r="G305" t="inlineStr">
        <is>
          <t>HALMSTAD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46258</v>
      </c>
      <c r="F306" t="inlineStr">
        <is>
          <t>HALLANDS LÄN</t>
        </is>
      </c>
      <c r="G306" t="inlineStr">
        <is>
          <t>HALMSTAD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46258</v>
      </c>
      <c r="F307" t="inlineStr">
        <is>
          <t>HALLANDS LÄN</t>
        </is>
      </c>
      <c r="G307" t="inlineStr">
        <is>
          <t>HALMSTAD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45000</v>
      </c>
      <c r="E308" s="1" t="n">
        <v>46258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46258</v>
      </c>
      <c r="F309" t="inlineStr">
        <is>
          <t>HALLANDS LÄN</t>
        </is>
      </c>
      <c r="G309" t="inlineStr">
        <is>
          <t>HALMSTAD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46258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46258</v>
      </c>
      <c r="F311" t="inlineStr">
        <is>
          <t>HALLANDS LÄN</t>
        </is>
      </c>
      <c r="G311" t="inlineStr">
        <is>
          <t>HALMSTAD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46258</v>
      </c>
      <c r="F312" t="inlineStr">
        <is>
          <t>HALLANDS LÄN</t>
        </is>
      </c>
      <c r="G312" t="inlineStr">
        <is>
          <t>HALMSTAD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53550-2022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44879</v>
      </c>
      <c r="E313" s="1" t="n">
        <v>46258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46258</v>
      </c>
      <c r="F314" t="inlineStr">
        <is>
          <t>HALLANDS LÄN</t>
        </is>
      </c>
      <c r="G314" t="inlineStr">
        <is>
          <t>HALMSTAD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46258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46258</v>
      </c>
      <c r="F316" t="inlineStr">
        <is>
          <t>HALLANDS LÄN</t>
        </is>
      </c>
      <c r="G316" t="inlineStr">
        <is>
          <t>HALMSTAD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46258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45082</v>
      </c>
      <c r="E318" s="1" t="n">
        <v>46258</v>
      </c>
      <c r="F318" t="inlineStr">
        <is>
          <t>HALLANDS LÄN</t>
        </is>
      </c>
      <c r="G318" t="inlineStr">
        <is>
          <t>HALMSTAD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46258</v>
      </c>
      <c r="F319" t="inlineStr">
        <is>
          <t>HALLANDS LÄN</t>
        </is>
      </c>
      <c r="G319" t="inlineStr">
        <is>
          <t>HALMSTAD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45485</v>
      </c>
      <c r="E320" s="1" t="n">
        <v>46258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46258</v>
      </c>
      <c r="F321" t="inlineStr">
        <is>
          <t>HALLANDS LÄN</t>
        </is>
      </c>
      <c r="G321" t="inlineStr">
        <is>
          <t>HALMSTAD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44580</v>
      </c>
      <c r="E322" s="1" t="n">
        <v>46258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39274-2022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46258</v>
      </c>
      <c r="F323" t="inlineStr">
        <is>
          <t>HALLANDS LÄN</t>
        </is>
      </c>
      <c r="G323" t="inlineStr">
        <is>
          <t>HALMSTAD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45311</v>
      </c>
      <c r="E324" s="1" t="n">
        <v>46258</v>
      </c>
      <c r="F324" t="inlineStr">
        <is>
          <t>HALLANDS LÄN</t>
        </is>
      </c>
      <c r="G324" t="inlineStr">
        <is>
          <t>HALMSTAD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46258</v>
      </c>
      <c r="F325" t="inlineStr">
        <is>
          <t>HALLANDS LÄN</t>
        </is>
      </c>
      <c r="G325" t="inlineStr">
        <is>
          <t>HALMSTAD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45642</v>
      </c>
      <c r="E326" s="1" t="n">
        <v>46258</v>
      </c>
      <c r="F326" t="inlineStr">
        <is>
          <t>HALLANDS LÄN</t>
        </is>
      </c>
      <c r="G326" t="inlineStr">
        <is>
          <t>HALMSTAD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46258</v>
      </c>
      <c r="F327" t="inlineStr">
        <is>
          <t>HALLANDS LÄN</t>
        </is>
      </c>
      <c r="G327" t="inlineStr">
        <is>
          <t>HALMSTAD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46258</v>
      </c>
      <c r="F328" t="inlineStr">
        <is>
          <t>HALLANDS LÄN</t>
        </is>
      </c>
      <c r="G328" t="inlineStr">
        <is>
          <t>HALMSTAD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46258</v>
      </c>
      <c r="F329" t="inlineStr">
        <is>
          <t>HALLANDS LÄN</t>
        </is>
      </c>
      <c r="G329" t="inlineStr">
        <is>
          <t>HALMSTAD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46258</v>
      </c>
      <c r="F330" t="inlineStr">
        <is>
          <t>HALLANDS LÄN</t>
        </is>
      </c>
      <c r="G330" t="inlineStr">
        <is>
          <t>HALMSTAD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44775</v>
      </c>
      <c r="E331" s="1" t="n">
        <v>46258</v>
      </c>
      <c r="F331" t="inlineStr">
        <is>
          <t>HALLANDS LÄN</t>
        </is>
      </c>
      <c r="G331" t="inlineStr">
        <is>
          <t>HALMSTAD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45488</v>
      </c>
      <c r="E332" s="1" t="n">
        <v>46258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46258</v>
      </c>
      <c r="F333" t="inlineStr">
        <is>
          <t>HALLANDS LÄN</t>
        </is>
      </c>
      <c r="G333" t="inlineStr">
        <is>
          <t>HALMSTAD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45415</v>
      </c>
      <c r="E334" s="1" t="n">
        <v>46258</v>
      </c>
      <c r="F334" t="inlineStr">
        <is>
          <t>HALLANDS LÄN</t>
        </is>
      </c>
      <c r="G334" t="inlineStr">
        <is>
          <t>HALMSTAD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60323-2022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44910</v>
      </c>
      <c r="E335" s="1" t="n">
        <v>46258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46258</v>
      </c>
      <c r="F336" t="inlineStr">
        <is>
          <t>HALLANDS LÄN</t>
        </is>
      </c>
      <c r="G336" t="inlineStr">
        <is>
          <t>HALMSTAD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44571</v>
      </c>
      <c r="E337" s="1" t="n">
        <v>46258</v>
      </c>
      <c r="F337" t="inlineStr">
        <is>
          <t>HALLANDS LÄN</t>
        </is>
      </c>
      <c r="G337" t="inlineStr">
        <is>
          <t>HALMSTAD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44621</v>
      </c>
      <c r="E338" s="1" t="n">
        <v>46258</v>
      </c>
      <c r="F338" t="inlineStr">
        <is>
          <t>HALLANDS LÄN</t>
        </is>
      </c>
      <c r="G338" t="inlineStr">
        <is>
          <t>HALMSTAD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46258</v>
      </c>
      <c r="F339" t="inlineStr">
        <is>
          <t>HALLANDS LÄN</t>
        </is>
      </c>
      <c r="G339" t="inlineStr">
        <is>
          <t>HALMSTAD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45750</v>
      </c>
      <c r="E340" s="1" t="n">
        <v>46258</v>
      </c>
      <c r="F340" t="inlineStr">
        <is>
          <t>HALLANDS LÄN</t>
        </is>
      </c>
      <c r="G340" t="inlineStr">
        <is>
          <t>HALMSTAD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46258</v>
      </c>
      <c r="F341" t="inlineStr">
        <is>
          <t>HALLANDS LÄN</t>
        </is>
      </c>
      <c r="G341" t="inlineStr">
        <is>
          <t>HALMSTAD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46258</v>
      </c>
      <c r="F342" t="inlineStr">
        <is>
          <t>HALLANDS LÄN</t>
        </is>
      </c>
      <c r="G342" t="inlineStr">
        <is>
          <t>HALMSTAD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20414-2022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44699</v>
      </c>
      <c r="E343" s="1" t="n">
        <v>46258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46258</v>
      </c>
      <c r="F344" t="inlineStr">
        <is>
          <t>HALLANDS LÄN</t>
        </is>
      </c>
      <c r="G344" t="inlineStr">
        <is>
          <t>HALMSTAD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45581</v>
      </c>
      <c r="E345" s="1" t="n">
        <v>46258</v>
      </c>
      <c r="F345" t="inlineStr">
        <is>
          <t>HALLANDS LÄN</t>
        </is>
      </c>
      <c r="G345" t="inlineStr">
        <is>
          <t>HALMSTAD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46258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45299</v>
      </c>
      <c r="E347" s="1" t="n">
        <v>46258</v>
      </c>
      <c r="F347" t="inlineStr">
        <is>
          <t>HALLANDS LÄN</t>
        </is>
      </c>
      <c r="G347" t="inlineStr">
        <is>
          <t>HALMSTAD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46258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46258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36980-2025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46258</v>
      </c>
      <c r="F350" t="inlineStr">
        <is>
          <t>HALLANDS LÄN</t>
        </is>
      </c>
      <c r="G350" t="inlineStr">
        <is>
          <t>HALMSTAD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46258</v>
      </c>
      <c r="F351" t="inlineStr">
        <is>
          <t>HALLANDS LÄN</t>
        </is>
      </c>
      <c r="G351" t="inlineStr">
        <is>
          <t>HALMSTAD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46258</v>
      </c>
      <c r="F352" t="inlineStr">
        <is>
          <t>HALLANDS LÄN</t>
        </is>
      </c>
      <c r="G352" t="inlineStr">
        <is>
          <t>HALMSTAD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46258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46258</v>
      </c>
      <c r="F354" t="inlineStr">
        <is>
          <t>HALLANDS LÄN</t>
        </is>
      </c>
      <c r="G354" t="inlineStr">
        <is>
          <t>HALMSTAD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46258</v>
      </c>
      <c r="F355" t="inlineStr">
        <is>
          <t>HALLANDS LÄN</t>
        </is>
      </c>
      <c r="G355" t="inlineStr">
        <is>
          <t>HALMSTAD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46258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46258</v>
      </c>
      <c r="F357" t="inlineStr">
        <is>
          <t>HALLANDS LÄN</t>
        </is>
      </c>
      <c r="G357" t="inlineStr">
        <is>
          <t>HALMSTAD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46258</v>
      </c>
      <c r="F358" t="inlineStr">
        <is>
          <t>HALLANDS LÄN</t>
        </is>
      </c>
      <c r="G358" t="inlineStr">
        <is>
          <t>HALMSTAD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45876</v>
      </c>
      <c r="E359" s="1" t="n">
        <v>46258</v>
      </c>
      <c r="F359" t="inlineStr">
        <is>
          <t>HALLANDS LÄN</t>
        </is>
      </c>
      <c r="G359" t="inlineStr">
        <is>
          <t>HALMSTAD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46258</v>
      </c>
      <c r="F360" t="inlineStr">
        <is>
          <t>HALLANDS LÄN</t>
        </is>
      </c>
      <c r="G360" t="inlineStr">
        <is>
          <t>HALMSTAD</t>
        </is>
      </c>
      <c r="H360" t="inlineStr">
        <is>
          <t>Kommuner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46258</v>
      </c>
      <c r="F361" t="inlineStr">
        <is>
          <t>HALLANDS LÄN</t>
        </is>
      </c>
      <c r="G361" t="inlineStr">
        <is>
          <t>HALMSTAD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46258</v>
      </c>
      <c r="F362" t="inlineStr">
        <is>
          <t>HALLANDS LÄN</t>
        </is>
      </c>
      <c r="G362" t="inlineStr">
        <is>
          <t>HALMSTAD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46173</v>
      </c>
      <c r="E363" s="1" t="n">
        <v>46258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46258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46258</v>
      </c>
      <c r="F365" t="inlineStr">
        <is>
          <t>HALLANDS LÄN</t>
        </is>
      </c>
      <c r="G365" t="inlineStr">
        <is>
          <t>HALMSTAD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46258</v>
      </c>
      <c r="F366" t="inlineStr">
        <is>
          <t>HALLANDS LÄN</t>
        </is>
      </c>
      <c r="G366" t="inlineStr">
        <is>
          <t>HALMSTAD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46258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51190-2022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44868</v>
      </c>
      <c r="E368" s="1" t="n">
        <v>46258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46258</v>
      </c>
      <c r="F369" t="inlineStr">
        <is>
          <t>HALLANDS LÄN</t>
        </is>
      </c>
      <c r="G369" t="inlineStr">
        <is>
          <t>HALMSTAD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46057</v>
      </c>
      <c r="E370" s="1" t="n">
        <v>46258</v>
      </c>
      <c r="F370" t="inlineStr">
        <is>
          <t>HALLANDS LÄN</t>
        </is>
      </c>
      <c r="G370" t="inlineStr">
        <is>
          <t>HALMSTAD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46258</v>
      </c>
      <c r="F371" t="inlineStr">
        <is>
          <t>HALLANDS LÄN</t>
        </is>
      </c>
      <c r="G371" t="inlineStr">
        <is>
          <t>HALMSTAD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46173</v>
      </c>
      <c r="E372" s="1" t="n">
        <v>46258</v>
      </c>
      <c r="F372" t="inlineStr">
        <is>
          <t>HALLANDS LÄN</t>
        </is>
      </c>
      <c r="G372" t="inlineStr">
        <is>
          <t>HALMSTAD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46258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13594-2023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45006</v>
      </c>
      <c r="E374" s="1" t="n">
        <v>46258</v>
      </c>
      <c r="F374" t="inlineStr">
        <is>
          <t>HALLANDS LÄN</t>
        </is>
      </c>
      <c r="G374" t="inlineStr">
        <is>
          <t>HALMSTAD</t>
        </is>
      </c>
      <c r="H374" t="inlineStr">
        <is>
          <t>Bergvik skog väst AB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46258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46258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45660</v>
      </c>
      <c r="E377" s="1" t="n">
        <v>46258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45217</v>
      </c>
      <c r="E378" s="1" t="n">
        <v>46258</v>
      </c>
      <c r="F378" t="inlineStr">
        <is>
          <t>HALLANDS LÄN</t>
        </is>
      </c>
      <c r="G378" t="inlineStr">
        <is>
          <t>HALMSTAD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46258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45769</v>
      </c>
      <c r="E380" s="1" t="n">
        <v>46258</v>
      </c>
      <c r="F380" t="inlineStr">
        <is>
          <t>HALLANDS LÄN</t>
        </is>
      </c>
      <c r="G380" t="inlineStr">
        <is>
          <t>HALMSTAD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46258</v>
      </c>
      <c r="F381" t="inlineStr">
        <is>
          <t>HALLANDS LÄN</t>
        </is>
      </c>
      <c r="G381" t="inlineStr">
        <is>
          <t>HALMSTAD</t>
        </is>
      </c>
      <c r="I381" t="n">
        <v>17.8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46258</v>
      </c>
      <c r="F382" t="inlineStr">
        <is>
          <t>HALLANDS LÄN</t>
        </is>
      </c>
      <c r="G382" t="inlineStr">
        <is>
          <t>HALMSTAD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46258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46258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46258</v>
      </c>
      <c r="F385" t="inlineStr">
        <is>
          <t>HALLANDS LÄN</t>
        </is>
      </c>
      <c r="G385" t="inlineStr">
        <is>
          <t>HALMSTAD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46258</v>
      </c>
      <c r="F386" t="inlineStr">
        <is>
          <t>HALLANDS LÄN</t>
        </is>
      </c>
      <c r="G386" t="inlineStr">
        <is>
          <t>HALMSTAD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45562</v>
      </c>
      <c r="E387" s="1" t="n">
        <v>46258</v>
      </c>
      <c r="F387" t="inlineStr">
        <is>
          <t>HALLANDS LÄN</t>
        </is>
      </c>
      <c r="G387" t="inlineStr">
        <is>
          <t>HALMSTAD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46258</v>
      </c>
      <c r="F388" t="inlineStr">
        <is>
          <t>HALLANDS LÄN</t>
        </is>
      </c>
      <c r="G388" t="inlineStr">
        <is>
          <t>HALMSTAD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46258</v>
      </c>
      <c r="F389" t="inlineStr">
        <is>
          <t>HALLANDS LÄN</t>
        </is>
      </c>
      <c r="G389" t="inlineStr">
        <is>
          <t>HALMSTAD</t>
        </is>
      </c>
      <c r="I389" t="n">
        <v>12.6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45627</v>
      </c>
      <c r="E390" s="1" t="n">
        <v>46258</v>
      </c>
      <c r="F390" t="inlineStr">
        <is>
          <t>HALLANDS LÄN</t>
        </is>
      </c>
      <c r="G390" t="inlineStr">
        <is>
          <t>HALMSTAD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46258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46258</v>
      </c>
      <c r="F392" t="inlineStr">
        <is>
          <t>HALLANDS LÄN</t>
        </is>
      </c>
      <c r="G392" t="inlineStr">
        <is>
          <t>HALMSTAD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46258</v>
      </c>
      <c r="F393" t="inlineStr">
        <is>
          <t>HALLANDS LÄN</t>
        </is>
      </c>
      <c r="G393" t="inlineStr">
        <is>
          <t>HALMSTAD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45386</v>
      </c>
      <c r="E394" s="1" t="n">
        <v>46258</v>
      </c>
      <c r="F394" t="inlineStr">
        <is>
          <t>HALLANDS LÄN</t>
        </is>
      </c>
      <c r="G394" t="inlineStr">
        <is>
          <t>HALMSTAD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57013-2021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44482</v>
      </c>
      <c r="E395" s="1" t="n">
        <v>46258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57021-2021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44482</v>
      </c>
      <c r="E396" s="1" t="n">
        <v>46258</v>
      </c>
      <c r="F396" t="inlineStr">
        <is>
          <t>HALLANDS LÄN</t>
        </is>
      </c>
      <c r="G396" t="inlineStr">
        <is>
          <t>HALMSTAD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12890-2022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46258</v>
      </c>
      <c r="F397" t="inlineStr">
        <is>
          <t>HALLANDS LÄN</t>
        </is>
      </c>
      <c r="G397" t="inlineStr">
        <is>
          <t>HALMSTAD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44722</v>
      </c>
      <c r="E398" s="1" t="n">
        <v>46258</v>
      </c>
      <c r="F398" t="inlineStr">
        <is>
          <t>HALLANDS LÄN</t>
        </is>
      </c>
      <c r="G398" t="inlineStr">
        <is>
          <t>HALMSTAD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70720-2021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44537</v>
      </c>
      <c r="E399" s="1" t="n">
        <v>46258</v>
      </c>
      <c r="F399" t="inlineStr">
        <is>
          <t>HALLANDS LÄN</t>
        </is>
      </c>
      <c r="G399" t="inlineStr">
        <is>
          <t>HALMSTAD</t>
        </is>
      </c>
      <c r="H399" t="inlineStr">
        <is>
          <t>Kyrkan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46258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44712</v>
      </c>
      <c r="E401" s="1" t="n">
        <v>46258</v>
      </c>
      <c r="F401" t="inlineStr">
        <is>
          <t>HALLANDS LÄN</t>
        </is>
      </c>
      <c r="G401" t="inlineStr">
        <is>
          <t>HALMSTAD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46258</v>
      </c>
      <c r="F402" t="inlineStr">
        <is>
          <t>HALLANDS LÄN</t>
        </is>
      </c>
      <c r="G402" t="inlineStr">
        <is>
          <t>HALMSTAD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45230</v>
      </c>
      <c r="E403" s="1" t="n">
        <v>46258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46258</v>
      </c>
      <c r="F404" t="inlineStr">
        <is>
          <t>HALLANDS LÄN</t>
        </is>
      </c>
      <c r="G404" t="inlineStr">
        <is>
          <t>HALMSTAD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46258</v>
      </c>
      <c r="F405" t="inlineStr">
        <is>
          <t>HALLANDS LÄN</t>
        </is>
      </c>
      <c r="G405" t="inlineStr">
        <is>
          <t>HALMSTAD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46258</v>
      </c>
      <c r="F406" t="inlineStr">
        <is>
          <t>HALLANDS LÄN</t>
        </is>
      </c>
      <c r="G406" t="inlineStr">
        <is>
          <t>HALMSTAD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46258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46258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44461</v>
      </c>
      <c r="E409" s="1" t="n">
        <v>46258</v>
      </c>
      <c r="F409" t="inlineStr">
        <is>
          <t>HALLANDS LÄN</t>
        </is>
      </c>
      <c r="G409" t="inlineStr">
        <is>
          <t>HALMSTAD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46258</v>
      </c>
      <c r="F410" t="inlineStr">
        <is>
          <t>HALLANDS LÄN</t>
        </is>
      </c>
      <c r="G410" t="inlineStr">
        <is>
          <t>HALMSTAD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46258</v>
      </c>
      <c r="F411" t="inlineStr">
        <is>
          <t>HALLANDS LÄN</t>
        </is>
      </c>
      <c r="G411" t="inlineStr">
        <is>
          <t>HALMSTAD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46258</v>
      </c>
      <c r="F412" t="inlineStr">
        <is>
          <t>HALLANDS LÄN</t>
        </is>
      </c>
      <c r="G412" t="inlineStr">
        <is>
          <t>HALMSTAD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46258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46258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47904-2024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45589</v>
      </c>
      <c r="E415" s="1" t="n">
        <v>46258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37161-2022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44806</v>
      </c>
      <c r="E416" s="1" t="n">
        <v>46258</v>
      </c>
      <c r="F416" t="inlineStr">
        <is>
          <t>HALLANDS LÄN</t>
        </is>
      </c>
      <c r="G416" t="inlineStr">
        <is>
          <t>HALMSTAD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46258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46258</v>
      </c>
      <c r="F418" t="inlineStr">
        <is>
          <t>HALLANDS LÄN</t>
        </is>
      </c>
      <c r="G418" t="inlineStr">
        <is>
          <t>HALMSTAD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46258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46258</v>
      </c>
      <c r="F420" t="inlineStr">
        <is>
          <t>HALLANDS LÄN</t>
        </is>
      </c>
      <c r="G420" t="inlineStr">
        <is>
          <t>HALMSTAD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46258</v>
      </c>
      <c r="F421" t="inlineStr">
        <is>
          <t>HALLANDS LÄN</t>
        </is>
      </c>
      <c r="G421" t="inlineStr">
        <is>
          <t>HALMSTAD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46258</v>
      </c>
      <c r="F422" t="inlineStr">
        <is>
          <t>HALLANDS LÄN</t>
        </is>
      </c>
      <c r="G422" t="inlineStr">
        <is>
          <t>HALMSTAD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46258</v>
      </c>
      <c r="F423" t="inlineStr">
        <is>
          <t>HALLANDS LÄN</t>
        </is>
      </c>
      <c r="G423" t="inlineStr">
        <is>
          <t>HALMSTAD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46258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46258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46258</v>
      </c>
      <c r="F426" t="inlineStr">
        <is>
          <t>HALLANDS LÄN</t>
        </is>
      </c>
      <c r="G426" t="inlineStr">
        <is>
          <t>HALMSTAD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57031-2021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46258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46059</v>
      </c>
      <c r="E428" s="1" t="n">
        <v>46258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44922</v>
      </c>
      <c r="E429" s="1" t="n">
        <v>46258</v>
      </c>
      <c r="F429" t="inlineStr">
        <is>
          <t>HALLANDS LÄN</t>
        </is>
      </c>
      <c r="G429" t="inlineStr">
        <is>
          <t>HALMSTAD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46258</v>
      </c>
      <c r="F430" t="inlineStr">
        <is>
          <t>HALLANDS LÄN</t>
        </is>
      </c>
      <c r="G430" t="inlineStr">
        <is>
          <t>HALMSTAD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46258</v>
      </c>
      <c r="F431" t="inlineStr">
        <is>
          <t>HALLANDS LÄN</t>
        </is>
      </c>
      <c r="G431" t="inlineStr">
        <is>
          <t>HALMSTAD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46258</v>
      </c>
      <c r="F432" t="inlineStr">
        <is>
          <t>HALLANDS LÄN</t>
        </is>
      </c>
      <c r="G432" t="inlineStr">
        <is>
          <t>HALMSTAD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46258</v>
      </c>
      <c r="F433" t="inlineStr">
        <is>
          <t>HALLANDS LÄN</t>
        </is>
      </c>
      <c r="G433" t="inlineStr">
        <is>
          <t>HALMSTAD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46258</v>
      </c>
      <c r="F434" t="inlineStr">
        <is>
          <t>HALLANDS LÄN</t>
        </is>
      </c>
      <c r="G434" t="inlineStr">
        <is>
          <t>HALMSTAD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46258</v>
      </c>
      <c r="F435" t="inlineStr">
        <is>
          <t>HALLANDS LÄN</t>
        </is>
      </c>
      <c r="G435" t="inlineStr">
        <is>
          <t>HALMSTAD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46258</v>
      </c>
      <c r="F436" t="inlineStr">
        <is>
          <t>HALLANDS LÄN</t>
        </is>
      </c>
      <c r="G436" t="inlineStr">
        <is>
          <t>HALMSTAD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15833-2026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46258</v>
      </c>
      <c r="F437" t="inlineStr">
        <is>
          <t>HALLANDS LÄN</t>
        </is>
      </c>
      <c r="G437" t="inlineStr">
        <is>
          <t>HALMSTAD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40702-2023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46258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35384-2024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46258</v>
      </c>
      <c r="F439" t="inlineStr">
        <is>
          <t>HALLANDS LÄN</t>
        </is>
      </c>
      <c r="G439" t="inlineStr">
        <is>
          <t>HALMSTAD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46258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46258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46258</v>
      </c>
      <c r="F442" t="inlineStr">
        <is>
          <t>HALLANDS LÄN</t>
        </is>
      </c>
      <c r="G442" t="inlineStr">
        <is>
          <t>HALMSTAD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46258</v>
      </c>
      <c r="F443" t="inlineStr">
        <is>
          <t>HALLANDS LÄN</t>
        </is>
      </c>
      <c r="G443" t="inlineStr">
        <is>
          <t>HALMSTAD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46258</v>
      </c>
      <c r="F444" t="inlineStr">
        <is>
          <t>HALLANDS LÄN</t>
        </is>
      </c>
      <c r="G444" t="inlineStr">
        <is>
          <t>HALMSTAD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46258</v>
      </c>
      <c r="F445" t="inlineStr">
        <is>
          <t>HALLANDS LÄN</t>
        </is>
      </c>
      <c r="G445" t="inlineStr">
        <is>
          <t>HALMSTAD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18686-2026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46258</v>
      </c>
      <c r="F446" t="inlineStr">
        <is>
          <t>HALLANDS LÄN</t>
        </is>
      </c>
      <c r="G446" t="inlineStr">
        <is>
          <t>HALMSTAD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45404</v>
      </c>
      <c r="E447" s="1" t="n">
        <v>46258</v>
      </c>
      <c r="F447" t="inlineStr">
        <is>
          <t>HALLANDS LÄN</t>
        </is>
      </c>
      <c r="G447" t="inlineStr">
        <is>
          <t>HALMSTAD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46258</v>
      </c>
      <c r="F448" t="inlineStr">
        <is>
          <t>HALLANDS LÄN</t>
        </is>
      </c>
      <c r="G448" t="inlineStr">
        <is>
          <t>HALMSTAD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52469-2021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44466</v>
      </c>
      <c r="E449" s="1" t="n">
        <v>46258</v>
      </c>
      <c r="F449" t="inlineStr">
        <is>
          <t>HALLANDS LÄN</t>
        </is>
      </c>
      <c r="G449" t="inlineStr">
        <is>
          <t>HALMSTAD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46258</v>
      </c>
      <c r="F450" t="inlineStr">
        <is>
          <t>HALLANDS LÄN</t>
        </is>
      </c>
      <c r="G450" t="inlineStr">
        <is>
          <t>HALMSTAD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46258</v>
      </c>
      <c r="F451" t="inlineStr">
        <is>
          <t>HALLANDS LÄN</t>
        </is>
      </c>
      <c r="G451" t="inlineStr">
        <is>
          <t>HALMSTAD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46258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46258</v>
      </c>
      <c r="F453" t="inlineStr">
        <is>
          <t>HALLANDS LÄN</t>
        </is>
      </c>
      <c r="G453" t="inlineStr">
        <is>
          <t>HALMSTAD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46258</v>
      </c>
      <c r="F454" t="inlineStr">
        <is>
          <t>HALLANDS LÄN</t>
        </is>
      </c>
      <c r="G454" t="inlineStr">
        <is>
          <t>HALMSTAD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45203</v>
      </c>
      <c r="E455" s="1" t="n">
        <v>46258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45826</v>
      </c>
      <c r="E456" s="1" t="n">
        <v>46258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46258</v>
      </c>
      <c r="F457" t="inlineStr">
        <is>
          <t>HALLANDS LÄN</t>
        </is>
      </c>
      <c r="G457" t="inlineStr">
        <is>
          <t>HALMSTAD</t>
        </is>
      </c>
      <c r="H457" t="inlineStr">
        <is>
          <t>Kommuner</t>
        </is>
      </c>
      <c r="I457" t="n">
        <v>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4073-2024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46258</v>
      </c>
      <c r="F458" t="inlineStr">
        <is>
          <t>HALLANDS LÄN</t>
        </is>
      </c>
      <c r="G458" t="inlineStr">
        <is>
          <t>HALMSTAD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46258</v>
      </c>
      <c r="F459" t="inlineStr">
        <is>
          <t>HALLANDS LÄN</t>
        </is>
      </c>
      <c r="G459" t="inlineStr">
        <is>
          <t>HALMSTAD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46258</v>
      </c>
      <c r="F460" t="inlineStr">
        <is>
          <t>HALLANDS LÄN</t>
        </is>
      </c>
      <c r="G460" t="inlineStr">
        <is>
          <t>HALMSTAD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46258</v>
      </c>
      <c r="F461" t="inlineStr">
        <is>
          <t>HALLANDS LÄN</t>
        </is>
      </c>
      <c r="G461" t="inlineStr">
        <is>
          <t>HALMSTAD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46258</v>
      </c>
      <c r="F462" t="inlineStr">
        <is>
          <t>HALLANDS LÄN</t>
        </is>
      </c>
      <c r="G462" t="inlineStr">
        <is>
          <t>HALMSTAD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46258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46258</v>
      </c>
      <c r="F464" t="inlineStr">
        <is>
          <t>HALLANDS LÄN</t>
        </is>
      </c>
      <c r="G464" t="inlineStr">
        <is>
          <t>HALMSTAD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46258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58080-2024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45632</v>
      </c>
      <c r="E466" s="1" t="n">
        <v>46258</v>
      </c>
      <c r="F466" t="inlineStr">
        <is>
          <t>HALLANDS LÄN</t>
        </is>
      </c>
      <c r="G466" t="inlineStr">
        <is>
          <t>HALMSTAD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46258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30093-2023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46258</v>
      </c>
      <c r="F468" t="inlineStr">
        <is>
          <t>HALLANDS LÄN</t>
        </is>
      </c>
      <c r="G468" t="inlineStr">
        <is>
          <t>HALMSTAD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46258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46258</v>
      </c>
      <c r="F470" t="inlineStr">
        <is>
          <t>HALLANDS LÄN</t>
        </is>
      </c>
      <c r="G470" t="inlineStr">
        <is>
          <t>HALMSTAD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46210</v>
      </c>
      <c r="E471" s="1" t="n">
        <v>46258</v>
      </c>
      <c r="F471" t="inlineStr">
        <is>
          <t>HALLANDS LÄN</t>
        </is>
      </c>
      <c r="G471" t="inlineStr">
        <is>
          <t>HALMSTAD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41626-2022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44827</v>
      </c>
      <c r="E472" s="1" t="n">
        <v>46258</v>
      </c>
      <c r="F472" t="inlineStr">
        <is>
          <t>HALLANDS LÄN</t>
        </is>
      </c>
      <c r="G472" t="inlineStr">
        <is>
          <t>HALMSTAD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46258</v>
      </c>
      <c r="F473" t="inlineStr">
        <is>
          <t>HALLANDS LÄN</t>
        </is>
      </c>
      <c r="G473" t="inlineStr">
        <is>
          <t>HALMSTAD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46258</v>
      </c>
      <c r="F474" t="inlineStr">
        <is>
          <t>HALLANDS LÄN</t>
        </is>
      </c>
      <c r="G474" t="inlineStr">
        <is>
          <t>HALMSTAD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45729</v>
      </c>
      <c r="E475" s="1" t="n">
        <v>46258</v>
      </c>
      <c r="F475" t="inlineStr">
        <is>
          <t>HALLANDS LÄN</t>
        </is>
      </c>
      <c r="G475" t="inlineStr">
        <is>
          <t>HALMSTAD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46258</v>
      </c>
      <c r="F476" t="inlineStr">
        <is>
          <t>HALLANDS LÄN</t>
        </is>
      </c>
      <c r="G476" t="inlineStr">
        <is>
          <t>HALMSTAD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46258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46210</v>
      </c>
      <c r="E478" s="1" t="n">
        <v>46258</v>
      </c>
      <c r="F478" t="inlineStr">
        <is>
          <t>HALLANDS LÄN</t>
        </is>
      </c>
      <c r="G478" t="inlineStr">
        <is>
          <t>HALMSTAD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46258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46258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45712</v>
      </c>
      <c r="E481" s="1" t="n">
        <v>46258</v>
      </c>
      <c r="F481" t="inlineStr">
        <is>
          <t>HALLANDS LÄN</t>
        </is>
      </c>
      <c r="G481" t="inlineStr">
        <is>
          <t>HALMSTAD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46258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46254</v>
      </c>
      <c r="E483" s="1" t="n">
        <v>46258</v>
      </c>
      <c r="F483" t="inlineStr">
        <is>
          <t>HALLANDS LÄN</t>
        </is>
      </c>
      <c r="G483" t="inlineStr">
        <is>
          <t>HALMSTAD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46258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45450</v>
      </c>
      <c r="E485" s="1" t="n">
        <v>46258</v>
      </c>
      <c r="F485" t="inlineStr">
        <is>
          <t>HALLANDS LÄN</t>
        </is>
      </c>
      <c r="G485" t="inlineStr">
        <is>
          <t>HALMSTAD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46258</v>
      </c>
      <c r="F486" t="inlineStr">
        <is>
          <t>HALLANDS LÄN</t>
        </is>
      </c>
      <c r="G486" t="inlineStr">
        <is>
          <t>HALMSTAD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46258</v>
      </c>
      <c r="F487" t="inlineStr">
        <is>
          <t>HALLANDS LÄN</t>
        </is>
      </c>
      <c r="G487" t="inlineStr">
        <is>
          <t>HALMSTAD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54114-2021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44470</v>
      </c>
      <c r="E488" s="1" t="n">
        <v>46258</v>
      </c>
      <c r="F488" t="inlineStr">
        <is>
          <t>HALLANDS LÄN</t>
        </is>
      </c>
      <c r="G488" t="inlineStr">
        <is>
          <t>HALMSTAD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41836-2024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45561</v>
      </c>
      <c r="E489" s="1" t="n">
        <v>46258</v>
      </c>
      <c r="F489" t="inlineStr">
        <is>
          <t>HALLANDS LÄN</t>
        </is>
      </c>
      <c r="G489" t="inlineStr">
        <is>
          <t>HALMSTAD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50387-2023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45216</v>
      </c>
      <c r="E490" s="1" t="n">
        <v>46258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46258</v>
      </c>
      <c r="F491" t="inlineStr">
        <is>
          <t>HALLANDS LÄN</t>
        </is>
      </c>
      <c r="G491" t="inlineStr">
        <is>
          <t>HALMSTAD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45733</v>
      </c>
      <c r="E492" s="1" t="n">
        <v>46258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44775</v>
      </c>
      <c r="E493" s="1" t="n">
        <v>46258</v>
      </c>
      <c r="F493" t="inlineStr">
        <is>
          <t>HALLANDS LÄN</t>
        </is>
      </c>
      <c r="G493" t="inlineStr">
        <is>
          <t>HALMSTAD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46258</v>
      </c>
      <c r="F494" t="inlineStr">
        <is>
          <t>HALLANDS LÄN</t>
        </is>
      </c>
      <c r="G494" t="inlineStr">
        <is>
          <t>HALMSTAD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46258</v>
      </c>
      <c r="F495" t="inlineStr">
        <is>
          <t>HALLANDS LÄN</t>
        </is>
      </c>
      <c r="G495" t="inlineStr">
        <is>
          <t>HALMSTAD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46258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45194</v>
      </c>
      <c r="E497" s="1" t="n">
        <v>46258</v>
      </c>
      <c r="F497" t="inlineStr">
        <is>
          <t>HALLANDS LÄN</t>
        </is>
      </c>
      <c r="G497" t="inlineStr">
        <is>
          <t>HALMSTAD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45229</v>
      </c>
      <c r="E498" s="1" t="n">
        <v>46258</v>
      </c>
      <c r="F498" t="inlineStr">
        <is>
          <t>HALLANDS LÄN</t>
        </is>
      </c>
      <c r="G498" t="inlineStr">
        <is>
          <t>HALMSTAD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46258</v>
      </c>
      <c r="F499" t="inlineStr">
        <is>
          <t>HALLANDS LÄN</t>
        </is>
      </c>
      <c r="G499" t="inlineStr">
        <is>
          <t>HALMSTAD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55006-2022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44886</v>
      </c>
      <c r="E500" s="1" t="n">
        <v>46258</v>
      </c>
      <c r="F500" t="inlineStr">
        <is>
          <t>HALLANDS LÄN</t>
        </is>
      </c>
      <c r="G500" t="inlineStr">
        <is>
          <t>HALMSTAD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8676-2025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45712</v>
      </c>
      <c r="E501" s="1" t="n">
        <v>46258</v>
      </c>
      <c r="F501" t="inlineStr">
        <is>
          <t>HALLANDS LÄN</t>
        </is>
      </c>
      <c r="G501" t="inlineStr">
        <is>
          <t>HALMSTAD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45071</v>
      </c>
      <c r="E502" s="1" t="n">
        <v>46258</v>
      </c>
      <c r="F502" t="inlineStr">
        <is>
          <t>HALLANDS LÄN</t>
        </is>
      </c>
      <c r="G502" t="inlineStr">
        <is>
          <t>HALMSTAD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45897</v>
      </c>
      <c r="E503" s="1" t="n">
        <v>46258</v>
      </c>
      <c r="F503" t="inlineStr">
        <is>
          <t>HALLANDS LÄN</t>
        </is>
      </c>
      <c r="G503" t="inlineStr">
        <is>
          <t>HALMSTAD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46258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46258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46258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46258</v>
      </c>
      <c r="F507" t="inlineStr">
        <is>
          <t>HALLANDS LÄN</t>
        </is>
      </c>
      <c r="G507" t="inlineStr">
        <is>
          <t>HALMSTAD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23315-2026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46258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45747</v>
      </c>
      <c r="E509" s="1" t="n">
        <v>46258</v>
      </c>
      <c r="F509" t="inlineStr">
        <is>
          <t>HALLANDS LÄN</t>
        </is>
      </c>
      <c r="G509" t="inlineStr">
        <is>
          <t>HALMSTAD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46258</v>
      </c>
      <c r="F510" t="inlineStr">
        <is>
          <t>HALLANDS LÄN</t>
        </is>
      </c>
      <c r="G510" t="inlineStr">
        <is>
          <t>HALMSTAD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45694</v>
      </c>
      <c r="E511" s="1" t="n">
        <v>46258</v>
      </c>
      <c r="F511" t="inlineStr">
        <is>
          <t>HALLANDS LÄN</t>
        </is>
      </c>
      <c r="G511" t="inlineStr">
        <is>
          <t>HALMSTAD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17156-2022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44677</v>
      </c>
      <c r="E512" s="1" t="n">
        <v>46258</v>
      </c>
      <c r="F512" t="inlineStr">
        <is>
          <t>HALLANDS LÄN</t>
        </is>
      </c>
      <c r="G512" t="inlineStr">
        <is>
          <t>HALMSTAD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46258</v>
      </c>
      <c r="F513" t="inlineStr">
        <is>
          <t>HALLANDS LÄN</t>
        </is>
      </c>
      <c r="G513" t="inlineStr">
        <is>
          <t>HALMSTAD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45562</v>
      </c>
      <c r="E514" s="1" t="n">
        <v>46258</v>
      </c>
      <c r="F514" t="inlineStr">
        <is>
          <t>HALLANDS LÄN</t>
        </is>
      </c>
      <c r="G514" t="inlineStr">
        <is>
          <t>HALMSTAD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46258</v>
      </c>
      <c r="F515" t="inlineStr">
        <is>
          <t>HALLANDS LÄN</t>
        </is>
      </c>
      <c r="G515" t="inlineStr">
        <is>
          <t>HALMSTAD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45716</v>
      </c>
      <c r="E516" s="1" t="n">
        <v>46258</v>
      </c>
      <c r="F516" t="inlineStr">
        <is>
          <t>HALLANDS LÄN</t>
        </is>
      </c>
      <c r="G516" t="inlineStr">
        <is>
          <t>HALMSTAD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46258</v>
      </c>
      <c r="F517" t="inlineStr">
        <is>
          <t>HALLANDS LÄN</t>
        </is>
      </c>
      <c r="G517" t="inlineStr">
        <is>
          <t>HALMSTAD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45627</v>
      </c>
      <c r="E518" s="1" t="n">
        <v>46258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46258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46258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46258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46258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7296-2021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44469</v>
      </c>
      <c r="E523" s="1" t="n">
        <v>46258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46258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46258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46258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46258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46258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46258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46258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46258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46258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46258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2026-08-24T01:47:35Z</dcterms:created>
  <dcterms:modified xmlns:dcterms="http://purl.org/dc/terms/" xmlns:xsi="http://www.w3.org/2001/XMLSchema-instance" xsi:type="dcterms:W3CDTF">2026-08-24T01:47:35Z</dcterms:modified>
</cp:coreProperties>
</file>
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46297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46297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46297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46297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46297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46297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46297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46297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46297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46297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46297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46297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46297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46297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39252-2026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46297</v>
      </c>
      <c r="F25" t="inlineStr">
        <is>
          <t>HALLANDS LÄN</t>
        </is>
      </c>
      <c r="G25" t="inlineStr">
        <is>
          <t>HALMSTAD</t>
        </is>
      </c>
      <c r="I25" t="n">
        <v>0.8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Flikbålmossa
Loppstarr
Mörk dunört</t>
        </is>
      </c>
      <c r="W25">
        <f>HYPERLINK("https://klasma.github.io/Logging_1380/artfynd/A 39252-2026 artfynd.xlsx", "A 39252-2026")</f>
        <v/>
      </c>
      <c r="X25">
        <f>HYPERLINK("https://klasma.github.io/Logging_1380/kartor/A 39252-2026 karta.png", "A 39252-2026")</f>
        <v/>
      </c>
      <c r="Y25">
        <f>HYPERLINK("https://klasma.github.io/Logging_1380/kartor_geotiff/A 39252-2026 georefererad karta.tif", "A 39252-2026")</f>
        <v/>
      </c>
      <c r="AA25">
        <f>HYPERLINK("https://klasma.github.io/Logging_1380/klagomål/A 39252-2026 FSC-klagomål.docx", "A 39252-2026")</f>
        <v/>
      </c>
      <c r="AB25">
        <f>HYPERLINK("https://klasma.github.io/Logging_1380/klagomålsmail/A 39252-2026 FSC-klagomål mail.docx", "A 39252-2026")</f>
        <v/>
      </c>
      <c r="AC25">
        <f>HYPERLINK("https://klasma.github.io/Logging_1380/tillsyn/A 39252-2026 tillsynsbegäran.docx", "A 39252-2026")</f>
        <v/>
      </c>
      <c r="AD25">
        <f>HYPERLINK("https://klasma.github.io/Logging_1380/tillsynsmail/A 39252-2026 tillsynsbegäran mail.docx", "A 39252-2026")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46297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46297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46297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46297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46297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46297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46297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46297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46297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46297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46297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46297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3</v>
      </c>
      <c r="V37" s="2" t="inlineStr">
        <is>
          <t>Dvärglin
Kambräken</t>
        </is>
      </c>
      <c r="W37">
        <f>HYPERLINK("https://klasma.github.io/Logging_1380/artfynd/A 37137-2025 artfynd.xlsx", "A 37137-2025")</f>
        <v/>
      </c>
      <c r="X37">
        <f>HYPERLINK("https://klasma.github.io/Logging_1380/kartor/A 37137-2025 karta.png", "A 37137-2025")</f>
        <v/>
      </c>
      <c r="Y37">
        <f>HYPERLINK("https://klasma.github.io/Logging_1380/kartor_geotiff/A 37137-2025 georefererad karta.tif", "A 37137-2025")</f>
        <v/>
      </c>
      <c r="AA37">
        <f>HYPERLINK("https://klasma.github.io/Logging_1380/klagomål/A 37137-2025 FSC-klagomål.docx", "A 37137-2025")</f>
        <v/>
      </c>
      <c r="AB37">
        <f>HYPERLINK("https://klasma.github.io/Logging_1380/klagomålsmail/A 37137-2025 FSC-klagomål mail.docx", "A 37137-2025")</f>
        <v/>
      </c>
      <c r="AC37">
        <f>HYPERLINK("https://klasma.github.io/Logging_1380/tillsyn/A 37137-2025 tillsynsbegäran.docx", "A 37137-2025")</f>
        <v/>
      </c>
      <c r="AD37">
        <f>HYPERLINK("https://klasma.github.io/Logging_1380/tillsynsmail/A 37137-2025 tillsynsbegäran mail.docx", "A 37137-2025")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46297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46297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46297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46297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46297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46297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46297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46297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46297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46297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6987-2026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46057</v>
      </c>
      <c r="E48" s="1" t="n">
        <v>46297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Dvärgpipistrell</t>
        </is>
      </c>
      <c r="W48">
        <f>HYPERLINK("https://klasma.github.io/Logging_1380/artfynd/A 6987-2026 artfynd.xlsx", "A 6987-2026")</f>
        <v/>
      </c>
      <c r="X48">
        <f>HYPERLINK("https://klasma.github.io/Logging_1380/kartor/A 6987-2026 karta.png", "A 6987-2026")</f>
        <v/>
      </c>
      <c r="Y48">
        <f>HYPERLINK("https://klasma.github.io/Logging_1380/kartor_geotiff/A 6987-2026 georefererad karta.tif", "A 6987-2026")</f>
        <v/>
      </c>
      <c r="AA48">
        <f>HYPERLINK("https://klasma.github.io/Logging_1380/klagomål/A 6987-2026 FSC-klagomål.docx", "A 6987-2026")</f>
        <v/>
      </c>
      <c r="AB48">
        <f>HYPERLINK("https://klasma.github.io/Logging_1380/klagomålsmail/A 6987-2026 FSC-klagomål mail.docx", "A 6987-2026")</f>
        <v/>
      </c>
      <c r="AC48">
        <f>HYPERLINK("https://klasma.github.io/Logging_1380/tillsyn/A 6987-2026 tillsynsbegäran.docx", "A 6987-2026")</f>
        <v/>
      </c>
      <c r="AD48">
        <f>HYPERLINK("https://klasma.github.io/Logging_1380/tillsynsmail/A 6987-2026 tillsynsbegäran mail.docx", "A 6987-2026")</f>
        <v/>
      </c>
    </row>
    <row r="49" ht="15" customHeight="1">
      <c r="A49" t="inlineStr">
        <is>
          <t>A 6767-2026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46057</v>
      </c>
      <c r="E49" s="1" t="n">
        <v>46297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6767-2026 artfynd.xlsx", "A 6767-2026")</f>
        <v/>
      </c>
      <c r="X49">
        <f>HYPERLINK("https://klasma.github.io/Logging_1380/kartor/A 6767-2026 karta.png", "A 6767-2026")</f>
        <v/>
      </c>
      <c r="Y49">
        <f>HYPERLINK("https://klasma.github.io/Logging_1380/kartor_geotiff/A 6767-2026 georefererad karta.tif", "A 6767-2026")</f>
        <v/>
      </c>
      <c r="AA49">
        <f>HYPERLINK("https://klasma.github.io/Logging_1380/klagomål/A 6767-2026 FSC-klagomål.docx", "A 6767-2026")</f>
        <v/>
      </c>
      <c r="AB49">
        <f>HYPERLINK("https://klasma.github.io/Logging_1380/klagomålsmail/A 6767-2026 FSC-klagomål mail.docx", "A 6767-2026")</f>
        <v/>
      </c>
      <c r="AC49">
        <f>HYPERLINK("https://klasma.github.io/Logging_1380/tillsyn/A 6767-2026 tillsynsbegäran.docx", "A 6767-2026")</f>
        <v/>
      </c>
      <c r="AD49">
        <f>HYPERLINK("https://klasma.github.io/Logging_1380/tillsynsmail/A 6767-2026 tillsynsbegäran mail.docx", "A 6767-2026")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46297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59260-2022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44897</v>
      </c>
      <c r="E51" s="1" t="n">
        <v>46297</v>
      </c>
      <c r="F51" t="inlineStr">
        <is>
          <t>HALLANDS LÄN</t>
        </is>
      </c>
      <c r="G51" t="inlineStr">
        <is>
          <t>HALMSTAD</t>
        </is>
      </c>
      <c r="H51" t="inlineStr">
        <is>
          <t>Bergvik skog väst AB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HYPERLINK("https://klasma.github.io/Logging_1380/artfynd/A 59260-2022 artfynd.xlsx", "A 59260-2022")</f>
        <v/>
      </c>
      <c r="X51">
        <f>HYPERLINK("https://klasma.github.io/Logging_1380/kartor/A 59260-2022 karta.png", "A 59260-2022")</f>
        <v/>
      </c>
      <c r="Y51">
        <f>HYPERLINK("https://klasma.github.io/Logging_1380/kartor_geotiff/A 59260-2022 georefererad karta.tif", "A 59260-2022")</f>
        <v/>
      </c>
      <c r="AA51">
        <f>HYPERLINK("https://klasma.github.io/Logging_1380/klagomål/A 59260-2022 FSC-klagomål.docx", "A 59260-2022")</f>
        <v/>
      </c>
      <c r="AB51">
        <f>HYPERLINK("https://klasma.github.io/Logging_1380/klagomålsmail/A 59260-2022 FSC-klagomål mail.docx", "A 59260-2022")</f>
        <v/>
      </c>
      <c r="AC51">
        <f>HYPERLINK("https://klasma.github.io/Logging_1380/tillsyn/A 59260-2022 tillsynsbegäran.docx", "A 59260-2022")</f>
        <v/>
      </c>
      <c r="AD51">
        <f>HYPERLINK("https://klasma.github.io/Logging_1380/tillsynsmail/A 59260-2022 tillsynsbegäran mail.docx", "A 59260-2022")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46297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27386-2025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46297</v>
      </c>
      <c r="F53" t="inlineStr">
        <is>
          <t>HALLANDS LÄN</t>
        </is>
      </c>
      <c r="G53" t="inlineStr">
        <is>
          <t>HALMSTAD</t>
        </is>
      </c>
      <c r="I53" t="n">
        <v>8.5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27386-2025 artfynd.xlsx", "A 27386-2025")</f>
        <v/>
      </c>
      <c r="X53">
        <f>HYPERLINK("https://klasma.github.io/Logging_1380/kartor/A 27386-2025 karta.png", "A 27386-2025")</f>
        <v/>
      </c>
      <c r="Y53">
        <f>HYPERLINK("https://klasma.github.io/Logging_1380/kartor_geotiff/A 27386-2025 georefererad karta.tif", "A 27386-2025")</f>
        <v/>
      </c>
      <c r="AA53">
        <f>HYPERLINK("https://klasma.github.io/Logging_1380/klagomål/A 27386-2025 FSC-klagomål.docx", "A 27386-2025")</f>
        <v/>
      </c>
      <c r="AB53">
        <f>HYPERLINK("https://klasma.github.io/Logging_1380/klagomålsmail/A 27386-2025 FSC-klagomål mail.docx", "A 27386-2025")</f>
        <v/>
      </c>
      <c r="AC53">
        <f>HYPERLINK("https://klasma.github.io/Logging_1380/tillsyn/A 27386-2025 tillsynsbegäran.docx", "A 27386-2025")</f>
        <v/>
      </c>
      <c r="AD53">
        <f>HYPERLINK("https://klasma.github.io/Logging_1380/tillsynsmail/A 27386-2025 tillsynsbegäran mail.docx", "A 27386-2025")</f>
        <v/>
      </c>
    </row>
    <row r="54" ht="15" customHeight="1">
      <c r="A54" t="inlineStr">
        <is>
          <t>A 15579-2026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46297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Åkerrättika</t>
        </is>
      </c>
      <c r="W54">
        <f>HYPERLINK("https://klasma.github.io/Logging_1380/artfynd/A 15579-2026 artfynd.xlsx", "A 15579-2026")</f>
        <v/>
      </c>
      <c r="X54">
        <f>HYPERLINK("https://klasma.github.io/Logging_1380/kartor/A 15579-2026 karta.png", "A 15579-2026")</f>
        <v/>
      </c>
      <c r="Y54">
        <f>HYPERLINK("https://klasma.github.io/Logging_1380/kartor_geotiff/A 15579-2026 georefererad karta.tif", "A 15579-2026")</f>
        <v/>
      </c>
      <c r="AA54">
        <f>HYPERLINK("https://klasma.github.io/Logging_1380/klagomål/A 15579-2026 FSC-klagomål.docx", "A 15579-2026")</f>
        <v/>
      </c>
      <c r="AB54">
        <f>HYPERLINK("https://klasma.github.io/Logging_1380/klagomålsmail/A 15579-2026 FSC-klagomål mail.docx", "A 15579-2026")</f>
        <v/>
      </c>
      <c r="AC54">
        <f>HYPERLINK("https://klasma.github.io/Logging_1380/tillsyn/A 15579-2026 tillsynsbegäran.docx", "A 15579-2026")</f>
        <v/>
      </c>
      <c r="AD54">
        <f>HYPERLINK("https://klasma.github.io/Logging_1380/tillsynsmail/A 15579-2026 tillsynsbegäran mail.docx", "A 15579-2026")</f>
        <v/>
      </c>
    </row>
    <row r="55" ht="15" customHeight="1">
      <c r="A55" t="inlineStr">
        <is>
          <t>A 40623-2023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46297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Hårginst</t>
        </is>
      </c>
      <c r="W55">
        <f>HYPERLINK("https://klasma.github.io/Logging_1380/artfynd/A 40623-2023 artfynd.xlsx", "A 40623-2023")</f>
        <v/>
      </c>
      <c r="X55">
        <f>HYPERLINK("https://klasma.github.io/Logging_1380/kartor/A 40623-2023 karta.png", "A 40623-2023")</f>
        <v/>
      </c>
      <c r="Y55">
        <f>HYPERLINK("https://klasma.github.io/Logging_1380/kartor_geotiff/A 40623-2023 georefererad karta.tif", "A 40623-2023")</f>
        <v/>
      </c>
      <c r="AA55">
        <f>HYPERLINK("https://klasma.github.io/Logging_1380/klagomål/A 40623-2023 FSC-klagomål.docx", "A 40623-2023")</f>
        <v/>
      </c>
      <c r="AB55">
        <f>HYPERLINK("https://klasma.github.io/Logging_1380/klagomålsmail/A 40623-2023 FSC-klagomål mail.docx", "A 40623-2023")</f>
        <v/>
      </c>
      <c r="AC55">
        <f>HYPERLINK("https://klasma.github.io/Logging_1380/tillsyn/A 40623-2023 tillsynsbegäran.docx", "A 40623-2023")</f>
        <v/>
      </c>
      <c r="AD55">
        <f>HYPERLINK("https://klasma.github.io/Logging_1380/tillsynsmail/A 40623-2023 tillsynsbegäran mail.docx", "A 40623-2023")</f>
        <v/>
      </c>
    </row>
    <row r="56" ht="15" customHeight="1">
      <c r="A56" t="inlineStr">
        <is>
          <t>A 40659-2023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40659-2023 artfynd.xlsx", "A 40659-2023")</f>
        <v/>
      </c>
      <c r="X56">
        <f>HYPERLINK("https://klasma.github.io/Logging_1380/kartor/A 40659-2023 karta.png", "A 40659-2023")</f>
        <v/>
      </c>
      <c r="Y56">
        <f>HYPERLINK("https://klasma.github.io/Logging_1380/kartor_geotiff/A 40659-2023 georefererad karta.tif", "A 40659-2023")</f>
        <v/>
      </c>
      <c r="AA56">
        <f>HYPERLINK("https://klasma.github.io/Logging_1380/klagomål/A 40659-2023 FSC-klagomål.docx", "A 40659-2023")</f>
        <v/>
      </c>
      <c r="AB56">
        <f>HYPERLINK("https://klasma.github.io/Logging_1380/klagomålsmail/A 40659-2023 FSC-klagomål mail.docx", "A 40659-2023")</f>
        <v/>
      </c>
      <c r="AC56">
        <f>HYPERLINK("https://klasma.github.io/Logging_1380/tillsyn/A 40659-2023 tillsynsbegäran.docx", "A 40659-2023")</f>
        <v/>
      </c>
      <c r="AD56">
        <f>HYPERLINK("https://klasma.github.io/Logging_1380/tillsynsmail/A 40659-2023 tillsynsbegäran mail.docx", "A 40659-2023")</f>
        <v/>
      </c>
    </row>
    <row r="57" ht="15" customHeight="1">
      <c r="A57" t="inlineStr">
        <is>
          <t>A 2994-2024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45315</v>
      </c>
      <c r="E57" s="1" t="n">
        <v>46297</v>
      </c>
      <c r="F57" t="inlineStr">
        <is>
          <t>HALLANDS LÄN</t>
        </is>
      </c>
      <c r="G57" t="inlineStr">
        <is>
          <t>HALMSTAD</t>
        </is>
      </c>
      <c r="I57" t="n">
        <v>7.9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HYPERLINK("https://klasma.github.io/Logging_1380/artfynd/A 2994-2024 artfynd.xlsx", "A 2994-2024")</f>
        <v/>
      </c>
      <c r="X57">
        <f>HYPERLINK("https://klasma.github.io/Logging_1380/kartor/A 2994-2024 karta.png", "A 2994-2024")</f>
        <v/>
      </c>
      <c r="Y57">
        <f>HYPERLINK("https://klasma.github.io/Logging_1380/kartor_geotiff/A 2994-2024 georefererad karta.tif", "A 2994-2024")</f>
        <v/>
      </c>
      <c r="AA57">
        <f>HYPERLINK("https://klasma.github.io/Logging_1380/klagomål/A 2994-2024 FSC-klagomål.docx", "A 2994-2024")</f>
        <v/>
      </c>
      <c r="AB57">
        <f>HYPERLINK("https://klasma.github.io/Logging_1380/klagomålsmail/A 2994-2024 FSC-klagomål mail.docx", "A 2994-2024")</f>
        <v/>
      </c>
      <c r="AC57">
        <f>HYPERLINK("https://klasma.github.io/Logging_1380/tillsyn/A 2994-2024 tillsynsbegäran.docx", "A 2994-2024")</f>
        <v/>
      </c>
      <c r="AD57">
        <f>HYPERLINK("https://klasma.github.io/Logging_1380/tillsynsmail/A 2994-2024 tillsynsbegäran mail.docx", "A 2994-2024")</f>
        <v/>
      </c>
    </row>
    <row r="58" ht="15" customHeight="1">
      <c r="A58" t="inlineStr">
        <is>
          <t>A 53797-2024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46297</v>
      </c>
      <c r="F58" t="inlineStr">
        <is>
          <t>HALLANDS LÄN</t>
        </is>
      </c>
      <c r="G58" t="inlineStr">
        <is>
          <t>HALMSTAD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Dvärglin</t>
        </is>
      </c>
      <c r="W58">
        <f>HYPERLINK("https://klasma.github.io/Logging_1380/artfynd/A 53797-2024 artfynd.xlsx", "A 53797-2024")</f>
        <v/>
      </c>
      <c r="X58">
        <f>HYPERLINK("https://klasma.github.io/Logging_1380/kartor/A 53797-2024 karta.png", "A 53797-2024")</f>
        <v/>
      </c>
      <c r="Y58">
        <f>HYPERLINK("https://klasma.github.io/Logging_1380/kartor_geotiff/A 53797-2024 georefererad karta.tif", "A 53797-2024")</f>
        <v/>
      </c>
      <c r="AA58">
        <f>HYPERLINK("https://klasma.github.io/Logging_1380/klagomål/A 53797-2024 FSC-klagomål.docx", "A 53797-2024")</f>
        <v/>
      </c>
      <c r="AB58">
        <f>HYPERLINK("https://klasma.github.io/Logging_1380/klagomålsmail/A 53797-2024 FSC-klagomål mail.docx", "A 53797-2024")</f>
        <v/>
      </c>
      <c r="AC58">
        <f>HYPERLINK("https://klasma.github.io/Logging_1380/tillsyn/A 53797-2024 tillsynsbegäran.docx", "A 53797-2024")</f>
        <v/>
      </c>
      <c r="AD58">
        <f>HYPERLINK("https://klasma.github.io/Logging_1380/tillsynsmail/A 53797-2024 tillsynsbegäran mail.docx", "A 53797-2024")</f>
        <v/>
      </c>
    </row>
    <row r="59" ht="15" customHeight="1">
      <c r="A59" t="inlineStr">
        <is>
          <t>A 32822-2025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45839</v>
      </c>
      <c r="E59" s="1" t="n">
        <v>46297</v>
      </c>
      <c r="F59" t="inlineStr">
        <is>
          <t>HALLANDS LÄN</t>
        </is>
      </c>
      <c r="G59" t="inlineStr">
        <is>
          <t>HALMSTAD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Hasselmus</t>
        </is>
      </c>
      <c r="W59">
        <f>HYPERLINK("https://klasma.github.io/Logging_1380/artfynd/A 32822-2025 artfynd.xlsx", "A 32822-2025")</f>
        <v/>
      </c>
      <c r="X59">
        <f>HYPERLINK("https://klasma.github.io/Logging_1380/kartor/A 32822-2025 karta.png", "A 32822-2025")</f>
        <v/>
      </c>
      <c r="Y59">
        <f>HYPERLINK("https://klasma.github.io/Logging_1380/kartor_geotiff/A 32822-2025 georefererad karta.tif", "A 32822-2025")</f>
        <v/>
      </c>
      <c r="AA59">
        <f>HYPERLINK("https://klasma.github.io/Logging_1380/klagomål/A 32822-2025 FSC-klagomål.docx", "A 32822-2025")</f>
        <v/>
      </c>
      <c r="AB59">
        <f>HYPERLINK("https://klasma.github.io/Logging_1380/klagomålsmail/A 32822-2025 FSC-klagomål mail.docx", "A 32822-2025")</f>
        <v/>
      </c>
      <c r="AC59">
        <f>HYPERLINK("https://klasma.github.io/Logging_1380/tillsyn/A 32822-2025 tillsynsbegäran.docx", "A 32822-2025")</f>
        <v/>
      </c>
      <c r="AD59">
        <f>HYPERLINK("https://klasma.github.io/Logging_1380/tillsynsmail/A 32822-2025 tillsynsbegäran mail.docx", "A 32822-2025")</f>
        <v/>
      </c>
    </row>
    <row r="60" ht="15" customHeight="1">
      <c r="A60" t="inlineStr">
        <is>
          <t>A 19588-2023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46297</v>
      </c>
      <c r="F60" t="inlineStr">
        <is>
          <t>HALLANDS LÄN</t>
        </is>
      </c>
      <c r="G60" t="inlineStr">
        <is>
          <t>HALMSTAD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Ljungögontröst</t>
        </is>
      </c>
      <c r="W60">
        <f>HYPERLINK("https://klasma.github.io/Logging_1380/artfynd/A 19588-2023 artfynd.xlsx", "A 19588-2023")</f>
        <v/>
      </c>
      <c r="X60">
        <f>HYPERLINK("https://klasma.github.io/Logging_1380/kartor/A 19588-2023 karta.png", "A 19588-2023")</f>
        <v/>
      </c>
      <c r="Y60">
        <f>HYPERLINK("https://klasma.github.io/Logging_1380/kartor_geotiff/A 19588-2023 georefererad karta.tif", "A 19588-2023")</f>
        <v/>
      </c>
      <c r="AA60">
        <f>HYPERLINK("https://klasma.github.io/Logging_1380/klagomål/A 19588-2023 FSC-klagomål.docx", "A 19588-2023")</f>
        <v/>
      </c>
      <c r="AB60">
        <f>HYPERLINK("https://klasma.github.io/Logging_1380/klagomålsmail/A 19588-2023 FSC-klagomål mail.docx", "A 19588-2023")</f>
        <v/>
      </c>
      <c r="AC60">
        <f>HYPERLINK("https://klasma.github.io/Logging_1380/tillsyn/A 19588-2023 tillsynsbegäran.docx", "A 19588-2023")</f>
        <v/>
      </c>
      <c r="AD60">
        <f>HYPERLINK("https://klasma.github.io/Logging_1380/tillsynsmail/A 19588-2023 tillsynsbegäran mail.docx", "A 19588-2023")</f>
        <v/>
      </c>
    </row>
    <row r="61" ht="15" customHeight="1">
      <c r="A61" t="inlineStr">
        <is>
          <t>A 24383-2023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45082</v>
      </c>
      <c r="E61" s="1" t="n">
        <v>46297</v>
      </c>
      <c r="F61" t="inlineStr">
        <is>
          <t>HALLANDS LÄN</t>
        </is>
      </c>
      <c r="G61" t="inlineStr">
        <is>
          <t>HALMSTAD</t>
        </is>
      </c>
      <c r="I61" t="n">
        <v>3.2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24383-2023 artfynd.xlsx", "A 24383-2023")</f>
        <v/>
      </c>
      <c r="X61">
        <f>HYPERLINK("https://klasma.github.io/Logging_1380/kartor/A 24383-2023 karta.png", "A 24383-2023")</f>
        <v/>
      </c>
      <c r="Y61">
        <f>HYPERLINK("https://klasma.github.io/Logging_1380/kartor_geotiff/A 24383-2023 georefererad karta.tif", "A 24383-2023")</f>
        <v/>
      </c>
      <c r="AA61">
        <f>HYPERLINK("https://klasma.github.io/Logging_1380/klagomål/A 24383-2023 FSC-klagomål.docx", "A 24383-2023")</f>
        <v/>
      </c>
      <c r="AB61">
        <f>HYPERLINK("https://klasma.github.io/Logging_1380/klagomålsmail/A 24383-2023 FSC-klagomål mail.docx", "A 24383-2023")</f>
        <v/>
      </c>
      <c r="AC61">
        <f>HYPERLINK("https://klasma.github.io/Logging_1380/tillsyn/A 24383-2023 tillsynsbegäran.docx", "A 24383-2023")</f>
        <v/>
      </c>
      <c r="AD61">
        <f>HYPERLINK("https://klasma.github.io/Logging_1380/tillsynsmail/A 24383-2023 tillsynsbegäran mail.docx", "A 24383-2023")</f>
        <v/>
      </c>
    </row>
    <row r="62" ht="15" customHeight="1">
      <c r="A62" t="inlineStr">
        <is>
          <t>A 16387-2023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46297</v>
      </c>
      <c r="F62" t="inlineStr">
        <is>
          <t>HALLANDS LÄN</t>
        </is>
      </c>
      <c r="G62" t="inlineStr">
        <is>
          <t>HALMSTAD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HYPERLINK("https://klasma.github.io/Logging_1380/artfynd/A 16387-2023 artfynd.xlsx", "A 16387-2023")</f>
        <v/>
      </c>
      <c r="X62">
        <f>HYPERLINK("https://klasma.github.io/Logging_1380/kartor/A 16387-2023 karta.png", "A 16387-2023")</f>
        <v/>
      </c>
      <c r="Y62">
        <f>HYPERLINK("https://klasma.github.io/Logging_1380/kartor_geotiff/A 16387-2023 georefererad karta.tif", "A 16387-2023")</f>
        <v/>
      </c>
      <c r="AA62">
        <f>HYPERLINK("https://klasma.github.io/Logging_1380/klagomål/A 16387-2023 FSC-klagomål.docx", "A 16387-2023")</f>
        <v/>
      </c>
      <c r="AB62">
        <f>HYPERLINK("https://klasma.github.io/Logging_1380/klagomålsmail/A 16387-2023 FSC-klagomål mail.docx", "A 16387-2023")</f>
        <v/>
      </c>
      <c r="AC62">
        <f>HYPERLINK("https://klasma.github.io/Logging_1380/tillsyn/A 16387-2023 tillsynsbegäran.docx", "A 16387-2023")</f>
        <v/>
      </c>
      <c r="AD62">
        <f>HYPERLINK("https://klasma.github.io/Logging_1380/tillsynsmail/A 16387-2023 tillsynsbegäran mail.docx", "A 16387-2023")</f>
        <v/>
      </c>
      <c r="AE62">
        <f>HYPERLINK("https://klasma.github.io/Logging_1380/fåglar/A 16387-2023 prioriterade fågelarter.docx", "A 16387-2023")</f>
        <v/>
      </c>
    </row>
    <row r="63" ht="15" customHeight="1">
      <c r="A63" t="inlineStr">
        <is>
          <t>A 10063-2022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46297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Hasselmus</t>
        </is>
      </c>
      <c r="W63">
        <f>HYPERLINK("https://klasma.github.io/Logging_1380/artfynd/A 10063-2022 artfynd.xlsx", "A 10063-2022")</f>
        <v/>
      </c>
      <c r="X63">
        <f>HYPERLINK("https://klasma.github.io/Logging_1380/kartor/A 10063-2022 karta.png", "A 10063-2022")</f>
        <v/>
      </c>
      <c r="Y63">
        <f>HYPERLINK("https://klasma.github.io/Logging_1380/kartor_geotiff/A 10063-2022 georefererad karta.tif", "A 10063-2022")</f>
        <v/>
      </c>
      <c r="AA63">
        <f>HYPERLINK("https://klasma.github.io/Logging_1380/klagomål/A 10063-2022 FSC-klagomål.docx", "A 10063-2022")</f>
        <v/>
      </c>
      <c r="AB63">
        <f>HYPERLINK("https://klasma.github.io/Logging_1380/klagomålsmail/A 10063-2022 FSC-klagomål mail.docx", "A 10063-2022")</f>
        <v/>
      </c>
      <c r="AC63">
        <f>HYPERLINK("https://klasma.github.io/Logging_1380/tillsyn/A 10063-2022 tillsynsbegäran.docx", "A 10063-2022")</f>
        <v/>
      </c>
      <c r="AD63">
        <f>HYPERLINK("https://klasma.github.io/Logging_1380/tillsynsmail/A 10063-2022 tillsynsbegäran mail.docx", "A 10063-2022")</f>
        <v/>
      </c>
    </row>
    <row r="64" ht="15" customHeight="1">
      <c r="A64" t="inlineStr">
        <is>
          <t>A 20419-2022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46297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6.5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</t>
        </is>
      </c>
      <c r="W64">
        <f>HYPERLINK("https://klasma.github.io/Logging_1380/artfynd/A 20419-2022 artfynd.xlsx", "A 20419-2022")</f>
        <v/>
      </c>
      <c r="X64">
        <f>HYPERLINK("https://klasma.github.io/Logging_1380/kartor/A 20419-2022 karta.png", "A 20419-2022")</f>
        <v/>
      </c>
      <c r="Y64">
        <f>HYPERLINK("https://klasma.github.io/Logging_1380/kartor_geotiff/A 20419-2022 georefererad karta.tif", "A 20419-2022")</f>
        <v/>
      </c>
      <c r="AA64">
        <f>HYPERLINK("https://klasma.github.io/Logging_1380/klagomål/A 20419-2022 FSC-klagomål.docx", "A 20419-2022")</f>
        <v/>
      </c>
      <c r="AB64">
        <f>HYPERLINK("https://klasma.github.io/Logging_1380/klagomålsmail/A 20419-2022 FSC-klagomål mail.docx", "A 20419-2022")</f>
        <v/>
      </c>
      <c r="AC64">
        <f>HYPERLINK("https://klasma.github.io/Logging_1380/tillsyn/A 20419-2022 tillsynsbegäran.docx", "A 20419-2022")</f>
        <v/>
      </c>
      <c r="AD64">
        <f>HYPERLINK("https://klasma.github.io/Logging_1380/tillsynsmail/A 20419-2022 tillsynsbegäran mail.docx", "A 20419-2022")</f>
        <v/>
      </c>
    </row>
    <row r="65" ht="15" customHeight="1">
      <c r="A65" t="inlineStr">
        <is>
          <t>A 37139-2025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45874</v>
      </c>
      <c r="E65" s="1" t="n">
        <v>46297</v>
      </c>
      <c r="F65" t="inlineStr">
        <is>
          <t>HALLANDS LÄN</t>
        </is>
      </c>
      <c r="G65" t="inlineStr">
        <is>
          <t>HALMSTAD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Kornknutmossa</t>
        </is>
      </c>
      <c r="W65">
        <f>HYPERLINK("https://klasma.github.io/Logging_1380/artfynd/A 37139-2025 artfynd.xlsx", "A 37139-2025")</f>
        <v/>
      </c>
      <c r="X65">
        <f>HYPERLINK("https://klasma.github.io/Logging_1380/kartor/A 37139-2025 karta.png", "A 37139-2025")</f>
        <v/>
      </c>
      <c r="Y65">
        <f>HYPERLINK("https://klasma.github.io/Logging_1380/kartor_geotiff/A 37139-2025 georefererad karta.tif", "A 37139-2025")</f>
        <v/>
      </c>
      <c r="AA65">
        <f>HYPERLINK("https://klasma.github.io/Logging_1380/klagomål/A 37139-2025 FSC-klagomål.docx", "A 37139-2025")</f>
        <v/>
      </c>
      <c r="AB65">
        <f>HYPERLINK("https://klasma.github.io/Logging_1380/klagomålsmail/A 37139-2025 FSC-klagomål mail.docx", "A 37139-2025")</f>
        <v/>
      </c>
      <c r="AC65">
        <f>HYPERLINK("https://klasma.github.io/Logging_1380/tillsyn/A 37139-2025 tillsynsbegäran.docx", "A 37139-2025")</f>
        <v/>
      </c>
      <c r="AD65">
        <f>HYPERLINK("https://klasma.github.io/Logging_1380/tillsynsmail/A 37139-2025 tillsynsbegäran mail.docx", "A 37139-2025")</f>
        <v/>
      </c>
    </row>
    <row r="66" ht="15" customHeight="1">
      <c r="A66" t="inlineStr">
        <is>
          <t>A 5240-2025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45692</v>
      </c>
      <c r="E66" s="1" t="n">
        <v>46297</v>
      </c>
      <c r="F66" t="inlineStr">
        <is>
          <t>HALLANDS LÄN</t>
        </is>
      </c>
      <c r="G66" t="inlineStr">
        <is>
          <t>HALMSTAD</t>
        </is>
      </c>
      <c r="I66" t="n">
        <v>8.300000000000001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Mussellav</t>
        </is>
      </c>
      <c r="W66">
        <f>HYPERLINK("https://klasma.github.io/Logging_1380/artfynd/A 5240-2025 artfynd.xlsx", "A 5240-2025")</f>
        <v/>
      </c>
      <c r="X66">
        <f>HYPERLINK("https://klasma.github.io/Logging_1380/kartor/A 5240-2025 karta.png", "A 5240-2025")</f>
        <v/>
      </c>
      <c r="Y66">
        <f>HYPERLINK("https://klasma.github.io/Logging_1380/kartor_geotiff/A 5240-2025 georefererad karta.tif", "A 5240-2025")</f>
        <v/>
      </c>
      <c r="AA66">
        <f>HYPERLINK("https://klasma.github.io/Logging_1380/klagomål/A 5240-2025 FSC-klagomål.docx", "A 5240-2025")</f>
        <v/>
      </c>
      <c r="AB66">
        <f>HYPERLINK("https://klasma.github.io/Logging_1380/klagomålsmail/A 5240-2025 FSC-klagomål mail.docx", "A 5240-2025")</f>
        <v/>
      </c>
      <c r="AC66">
        <f>HYPERLINK("https://klasma.github.io/Logging_1380/tillsyn/A 5240-2025 tillsynsbegäran.docx", "A 5240-2025")</f>
        <v/>
      </c>
      <c r="AD66">
        <f>HYPERLINK("https://klasma.github.io/Logging_1380/tillsynsmail/A 5240-2025 tillsynsbegäran mail.docx", "A 5240-2025")</f>
        <v/>
      </c>
    </row>
    <row r="67" ht="15" customHeight="1">
      <c r="A67" t="inlineStr">
        <is>
          <t>A 21626-2026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46297</v>
      </c>
      <c r="F67" t="inlineStr">
        <is>
          <t>HALLANDS LÄN</t>
        </is>
      </c>
      <c r="G67" t="inlineStr">
        <is>
          <t>HALMSTAD</t>
        </is>
      </c>
      <c r="I67" t="n">
        <v>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Hårginst</t>
        </is>
      </c>
      <c r="W67">
        <f>HYPERLINK("https://klasma.github.io/Logging_1380/artfynd/A 21626-2026 artfynd.xlsx", "A 21626-2026")</f>
        <v/>
      </c>
      <c r="X67">
        <f>HYPERLINK("https://klasma.github.io/Logging_1380/kartor/A 21626-2026 karta.png", "A 21626-2026")</f>
        <v/>
      </c>
      <c r="Y67">
        <f>HYPERLINK("https://klasma.github.io/Logging_1380/kartor_geotiff/A 21626-2026 georefererad karta.tif", "A 21626-2026")</f>
        <v/>
      </c>
      <c r="AA67">
        <f>HYPERLINK("https://klasma.github.io/Logging_1380/klagomål/A 21626-2026 FSC-klagomål.docx", "A 21626-2026")</f>
        <v/>
      </c>
      <c r="AB67">
        <f>HYPERLINK("https://klasma.github.io/Logging_1380/klagomålsmail/A 21626-2026 FSC-klagomål mail.docx", "A 21626-2026")</f>
        <v/>
      </c>
      <c r="AC67">
        <f>HYPERLINK("https://klasma.github.io/Logging_1380/tillsyn/A 21626-2026 tillsynsbegäran.docx", "A 21626-2026")</f>
        <v/>
      </c>
      <c r="AD67">
        <f>HYPERLINK("https://klasma.github.io/Logging_1380/tillsynsmail/A 21626-2026 tillsynsbegäran mail.docx", "A 21626-2026")</f>
        <v/>
      </c>
    </row>
    <row r="68" ht="15" customHeight="1">
      <c r="A68" t="inlineStr">
        <is>
          <t>A 17266-2023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45035</v>
      </c>
      <c r="E68" s="1" t="n">
        <v>46297</v>
      </c>
      <c r="F68" t="inlineStr">
        <is>
          <t>HALLANDS LÄN</t>
        </is>
      </c>
      <c r="G68" t="inlineStr">
        <is>
          <t>HALMSTAD</t>
        </is>
      </c>
      <c r="I68" t="n">
        <v>1.1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HYPERLINK("https://klasma.github.io/Logging_1380/artfynd/A 17266-2023 artfynd.xlsx", "A 17266-2023")</f>
        <v/>
      </c>
      <c r="X68">
        <f>HYPERLINK("https://klasma.github.io/Logging_1380/kartor/A 17266-2023 karta.png", "A 17266-2023")</f>
        <v/>
      </c>
      <c r="Y68">
        <f>HYPERLINK("https://klasma.github.io/Logging_1380/kartor_geotiff/A 17266-2023 georefererad karta.tif", "A 17266-2023")</f>
        <v/>
      </c>
      <c r="AA68">
        <f>HYPERLINK("https://klasma.github.io/Logging_1380/klagomål/A 17266-2023 FSC-klagomål.docx", "A 17266-2023")</f>
        <v/>
      </c>
      <c r="AB68">
        <f>HYPERLINK("https://klasma.github.io/Logging_1380/klagomålsmail/A 17266-2023 FSC-klagomål mail.docx", "A 17266-2023")</f>
        <v/>
      </c>
      <c r="AC68">
        <f>HYPERLINK("https://klasma.github.io/Logging_1380/tillsyn/A 17266-2023 tillsynsbegäran.docx", "A 17266-2023")</f>
        <v/>
      </c>
      <c r="AD68">
        <f>HYPERLINK("https://klasma.github.io/Logging_1380/tillsynsmail/A 17266-2023 tillsynsbegäran mail.docx", "A 17266-2023")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46297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9045-2026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46297</v>
      </c>
      <c r="F70" t="inlineStr">
        <is>
          <t>HALLANDS LÄN</t>
        </is>
      </c>
      <c r="G70" t="inlineStr">
        <is>
          <t>HALMSTAD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HYPERLINK("https://klasma.github.io/Logging_1380/artfynd/A 9045-2026 artfynd.xlsx", "A 9045-2026")</f>
        <v/>
      </c>
      <c r="X70">
        <f>HYPERLINK("https://klasma.github.io/Logging_1380/kartor/A 9045-2026 karta.png", "A 9045-2026")</f>
        <v/>
      </c>
      <c r="Y70">
        <f>HYPERLINK("https://klasma.github.io/Logging_1380/kartor_geotiff/A 9045-2026 georefererad karta.tif", "A 9045-2026")</f>
        <v/>
      </c>
      <c r="AA70">
        <f>HYPERLINK("https://klasma.github.io/Logging_1380/klagomål/A 9045-2026 FSC-klagomål.docx", "A 9045-2026")</f>
        <v/>
      </c>
      <c r="AB70">
        <f>HYPERLINK("https://klasma.github.io/Logging_1380/klagomålsmail/A 9045-2026 FSC-klagomål mail.docx", "A 9045-2026")</f>
        <v/>
      </c>
      <c r="AC70">
        <f>HYPERLINK("https://klasma.github.io/Logging_1380/tillsyn/A 9045-2026 tillsynsbegäran.docx", "A 9045-2026")</f>
        <v/>
      </c>
      <c r="AD70">
        <f>HYPERLINK("https://klasma.github.io/Logging_1380/tillsynsmail/A 9045-2026 tillsynsbegäran mail.docx", "A 9045-2026")</f>
        <v/>
      </c>
    </row>
    <row r="71" ht="15" customHeight="1">
      <c r="A71" t="inlineStr">
        <is>
          <t>A 25382-2026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46297</v>
      </c>
      <c r="F71" t="inlineStr">
        <is>
          <t>HALLANDS LÄN</t>
        </is>
      </c>
      <c r="G71" t="inlineStr">
        <is>
          <t>HALMSTAD</t>
        </is>
      </c>
      <c r="I71" t="n">
        <v>10.9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HYPERLINK("https://klasma.github.io/Logging_1380/artfynd/A 25382-2026 artfynd.xlsx", "A 25382-2026")</f>
        <v/>
      </c>
      <c r="X71">
        <f>HYPERLINK("https://klasma.github.io/Logging_1380/kartor/A 25382-2026 karta.png", "A 25382-2026")</f>
        <v/>
      </c>
      <c r="Y71">
        <f>HYPERLINK("https://klasma.github.io/Logging_1380/kartor_geotiff/A 25382-2026 georefererad karta.tif", "A 25382-2026")</f>
        <v/>
      </c>
      <c r="AA71">
        <f>HYPERLINK("https://klasma.github.io/Logging_1380/klagomål/A 25382-2026 FSC-klagomål.docx", "A 25382-2026")</f>
        <v/>
      </c>
      <c r="AB71">
        <f>HYPERLINK("https://klasma.github.io/Logging_1380/klagomålsmail/A 25382-2026 FSC-klagomål mail.docx", "A 25382-2026")</f>
        <v/>
      </c>
      <c r="AC71">
        <f>HYPERLINK("https://klasma.github.io/Logging_1380/tillsyn/A 25382-2026 tillsynsbegäran.docx", "A 25382-2026")</f>
        <v/>
      </c>
      <c r="AD71">
        <f>HYPERLINK("https://klasma.github.io/Logging_1380/tillsynsmail/A 25382-2026 tillsynsbegäran mail.docx", "A 25382-2026")</f>
        <v/>
      </c>
    </row>
    <row r="72" ht="15" customHeight="1">
      <c r="A72" t="inlineStr">
        <is>
          <t>A 32753-2023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45122</v>
      </c>
      <c r="E72" s="1" t="n">
        <v>46297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Entita</t>
        </is>
      </c>
      <c r="W72">
        <f>HYPERLINK("https://klasma.github.io/Logging_1380/artfynd/A 32753-2023 artfynd.xlsx", "A 32753-2023")</f>
        <v/>
      </c>
      <c r="X72">
        <f>HYPERLINK("https://klasma.github.io/Logging_1380/kartor/A 32753-2023 karta.png", "A 32753-2023")</f>
        <v/>
      </c>
      <c r="Y72">
        <f>HYPERLINK("https://klasma.github.io/Logging_1380/kartor_geotiff/A 32753-2023 georefererad karta.tif", "A 32753-2023")</f>
        <v/>
      </c>
      <c r="AA72">
        <f>HYPERLINK("https://klasma.github.io/Logging_1380/klagomål/A 32753-2023 FSC-klagomål.docx", "A 32753-2023")</f>
        <v/>
      </c>
      <c r="AB72">
        <f>HYPERLINK("https://klasma.github.io/Logging_1380/klagomålsmail/A 32753-2023 FSC-klagomål mail.docx", "A 32753-2023")</f>
        <v/>
      </c>
      <c r="AC72">
        <f>HYPERLINK("https://klasma.github.io/Logging_1380/tillsyn/A 32753-2023 tillsynsbegäran.docx", "A 32753-2023")</f>
        <v/>
      </c>
      <c r="AD72">
        <f>HYPERLINK("https://klasma.github.io/Logging_1380/tillsynsmail/A 32753-2023 tillsynsbegäran mail.docx", "A 32753-2023")</f>
        <v/>
      </c>
      <c r="AE72">
        <f>HYPERLINK("https://klasma.github.io/Logging_1380/fåglar/A 32753-2023 prioriterade fågelarter.docx", "A 32753-2023")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46297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46297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26330-2026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46297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HYPERLINK("https://klasma.github.io/Logging_1380/artfynd/A 26330-2026 artfynd.xlsx", "A 26330-2026")</f>
        <v/>
      </c>
      <c r="X75">
        <f>HYPERLINK("https://klasma.github.io/Logging_1380/kartor/A 26330-2026 karta.png", "A 26330-2026")</f>
        <v/>
      </c>
      <c r="Y75">
        <f>HYPERLINK("https://klasma.github.io/Logging_1380/kartor_geotiff/A 26330-2026 georefererad karta.tif", "A 26330-2026")</f>
        <v/>
      </c>
      <c r="AA75">
        <f>HYPERLINK("https://klasma.github.io/Logging_1380/klagomål/A 26330-2026 FSC-klagomål.docx", "A 26330-2026")</f>
        <v/>
      </c>
      <c r="AB75">
        <f>HYPERLINK("https://klasma.github.io/Logging_1380/klagomålsmail/A 26330-2026 FSC-klagomål mail.docx", "A 26330-2026")</f>
        <v/>
      </c>
      <c r="AC75">
        <f>HYPERLINK("https://klasma.github.io/Logging_1380/tillsyn/A 26330-2026 tillsynsbegäran.docx", "A 26330-2026")</f>
        <v/>
      </c>
      <c r="AD75">
        <f>HYPERLINK("https://klasma.github.io/Logging_1380/tillsynsmail/A 26330-2026 tillsynsbegäran mail.docx", "A 26330-2026")</f>
        <v/>
      </c>
    </row>
    <row r="76" ht="15" customHeight="1">
      <c r="A76" t="inlineStr">
        <is>
          <t>A 40650-2023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46297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14.7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40650-2023 artfynd.xlsx", "A 40650-2023")</f>
        <v/>
      </c>
      <c r="X76">
        <f>HYPERLINK("https://klasma.github.io/Logging_1380/kartor/A 40650-2023 karta.png", "A 40650-2023")</f>
        <v/>
      </c>
      <c r="Y76">
        <f>HYPERLINK("https://klasma.github.io/Logging_1380/kartor_geotiff/A 40650-2023 georefererad karta.tif", "A 40650-2023")</f>
        <v/>
      </c>
      <c r="AA76">
        <f>HYPERLINK("https://klasma.github.io/Logging_1380/klagomål/A 40650-2023 FSC-klagomål.docx", "A 40650-2023")</f>
        <v/>
      </c>
      <c r="AB76">
        <f>HYPERLINK("https://klasma.github.io/Logging_1380/klagomålsmail/A 40650-2023 FSC-klagomål mail.docx", "A 40650-2023")</f>
        <v/>
      </c>
      <c r="AC76">
        <f>HYPERLINK("https://klasma.github.io/Logging_1380/tillsyn/A 40650-2023 tillsynsbegäran.docx", "A 40650-2023")</f>
        <v/>
      </c>
      <c r="AD76">
        <f>HYPERLINK("https://klasma.github.io/Logging_1380/tillsynsmail/A 40650-2023 tillsynsbegäran mail.docx", "A 40650-2023")</f>
        <v/>
      </c>
    </row>
    <row r="77" ht="15" customHeight="1">
      <c r="A77" t="inlineStr">
        <is>
          <t>A 6775-2026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46297</v>
      </c>
      <c r="F77" t="inlineStr">
        <is>
          <t>HALLANDS LÄN</t>
        </is>
      </c>
      <c r="G77" t="inlineStr">
        <is>
          <t>HALMSTAD</t>
        </is>
      </c>
      <c r="I77" t="n">
        <v>8.199999999999999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Barbastell</t>
        </is>
      </c>
      <c r="W77">
        <f>HYPERLINK("https://klasma.github.io/Logging_1380/artfynd/A 6775-2026 artfynd.xlsx", "A 6775-2026")</f>
        <v/>
      </c>
      <c r="X77">
        <f>HYPERLINK("https://klasma.github.io/Logging_1380/kartor/A 6775-2026 karta.png", "A 6775-2026")</f>
        <v/>
      </c>
      <c r="Y77">
        <f>HYPERLINK("https://klasma.github.io/Logging_1380/kartor_geotiff/A 6775-2026 georefererad karta.tif", "A 6775-2026")</f>
        <v/>
      </c>
      <c r="AA77">
        <f>HYPERLINK("https://klasma.github.io/Logging_1380/klagomål/A 6775-2026 FSC-klagomål.docx", "A 6775-2026")</f>
        <v/>
      </c>
      <c r="AB77">
        <f>HYPERLINK("https://klasma.github.io/Logging_1380/klagomålsmail/A 6775-2026 FSC-klagomål mail.docx", "A 6775-2026")</f>
        <v/>
      </c>
      <c r="AC77">
        <f>HYPERLINK("https://klasma.github.io/Logging_1380/tillsyn/A 6775-2026 tillsynsbegäran.docx", "A 6775-2026")</f>
        <v/>
      </c>
      <c r="AD77">
        <f>HYPERLINK("https://klasma.github.io/Logging_1380/tillsynsmail/A 6775-2026 tillsynsbegäran mail.docx", "A 6775-2026")</f>
        <v/>
      </c>
    </row>
    <row r="78" ht="15" customHeight="1">
      <c r="A78" t="inlineStr">
        <is>
          <t>A 36808-2023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46297</v>
      </c>
      <c r="F78" t="inlineStr">
        <is>
          <t>HALLANDS LÄN</t>
        </is>
      </c>
      <c r="G78" t="inlineStr">
        <is>
          <t>HALMSTAD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Ljungögontröst</t>
        </is>
      </c>
      <c r="W78">
        <f>HYPERLINK("https://klasma.github.io/Logging_1380/artfynd/A 36808-2023 artfynd.xlsx", "A 36808-2023")</f>
        <v/>
      </c>
      <c r="X78">
        <f>HYPERLINK("https://klasma.github.io/Logging_1380/kartor/A 36808-2023 karta.png", "A 36808-2023")</f>
        <v/>
      </c>
      <c r="Y78">
        <f>HYPERLINK("https://klasma.github.io/Logging_1380/kartor_geotiff/A 36808-2023 georefererad karta.tif", "A 36808-2023")</f>
        <v/>
      </c>
      <c r="AA78">
        <f>HYPERLINK("https://klasma.github.io/Logging_1380/klagomål/A 36808-2023 FSC-klagomål.docx", "A 36808-2023")</f>
        <v/>
      </c>
      <c r="AB78">
        <f>HYPERLINK("https://klasma.github.io/Logging_1380/klagomålsmail/A 36808-2023 FSC-klagomål mail.docx", "A 36808-2023")</f>
        <v/>
      </c>
      <c r="AC78">
        <f>HYPERLINK("https://klasma.github.io/Logging_1380/tillsyn/A 36808-2023 tillsynsbegäran.docx", "A 36808-2023")</f>
        <v/>
      </c>
      <c r="AD78">
        <f>HYPERLINK("https://klasma.github.io/Logging_1380/tillsynsmail/A 36808-2023 tillsynsbegäran mail.docx", "A 36808-2023")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46297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22842-2022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44715</v>
      </c>
      <c r="E80" s="1" t="n">
        <v>46297</v>
      </c>
      <c r="F80" t="inlineStr">
        <is>
          <t>HALLANDS LÄN</t>
        </is>
      </c>
      <c r="G80" t="inlineStr">
        <is>
          <t>HALMSTAD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Spillkråka</t>
        </is>
      </c>
      <c r="W80">
        <f>HYPERLINK("https://klasma.github.io/Logging_1380/artfynd/A 22842-2022 artfynd.xlsx", "A 22842-2022")</f>
        <v/>
      </c>
      <c r="X80">
        <f>HYPERLINK("https://klasma.github.io/Logging_1380/kartor/A 22842-2022 karta.png", "A 22842-2022")</f>
        <v/>
      </c>
      <c r="Y80">
        <f>HYPERLINK("https://klasma.github.io/Logging_1380/kartor_geotiff/A 22842-2022 georefererad karta.tif", "A 22842-2022")</f>
        <v/>
      </c>
      <c r="AA80">
        <f>HYPERLINK("https://klasma.github.io/Logging_1380/klagomål/A 22842-2022 FSC-klagomål.docx", "A 22842-2022")</f>
        <v/>
      </c>
      <c r="AB80">
        <f>HYPERLINK("https://klasma.github.io/Logging_1380/klagomålsmail/A 22842-2022 FSC-klagomål mail.docx", "A 22842-2022")</f>
        <v/>
      </c>
      <c r="AC80">
        <f>HYPERLINK("https://klasma.github.io/Logging_1380/tillsyn/A 22842-2022 tillsynsbegäran.docx", "A 22842-2022")</f>
        <v/>
      </c>
      <c r="AD80">
        <f>HYPERLINK("https://klasma.github.io/Logging_1380/tillsynsmail/A 22842-2022 tillsynsbegäran mail.docx", "A 22842-2022")</f>
        <v/>
      </c>
      <c r="AE80">
        <f>HYPERLINK("https://klasma.github.io/Logging_1380/fåglar/A 22842-2022 prioriterade fågelarter.docx", "A 22842-2022")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46297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46297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46297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46297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46297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46297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46297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46297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46297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46297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46297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46297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46297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70335-2021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46297</v>
      </c>
      <c r="F94" t="inlineStr">
        <is>
          <t>HALLANDS LÄN</t>
        </is>
      </c>
      <c r="G94" t="inlineStr">
        <is>
          <t>HALMSTAD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46297</v>
      </c>
      <c r="F95" t="inlineStr">
        <is>
          <t>HALLANDS LÄN</t>
        </is>
      </c>
      <c r="G95" t="inlineStr">
        <is>
          <t>HALMSTAD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70834-2021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46297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46297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44628</v>
      </c>
      <c r="E98" s="1" t="n">
        <v>46297</v>
      </c>
      <c r="F98" t="inlineStr">
        <is>
          <t>HALLANDS LÄN</t>
        </is>
      </c>
      <c r="G98" t="inlineStr">
        <is>
          <t>HALMSTAD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46297</v>
      </c>
      <c r="F99" t="inlineStr">
        <is>
          <t>HALLANDS LÄN</t>
        </is>
      </c>
      <c r="G99" t="inlineStr">
        <is>
          <t>HALMSTAD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46297</v>
      </c>
      <c r="F100" t="inlineStr">
        <is>
          <t>HALLANDS LÄN</t>
        </is>
      </c>
      <c r="G100" t="inlineStr">
        <is>
          <t>HALMSTAD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30386-2022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46297</v>
      </c>
      <c r="F101" t="inlineStr">
        <is>
          <t>HALLANDS LÄN</t>
        </is>
      </c>
      <c r="G101" t="inlineStr">
        <is>
          <t>HALMSTAD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46297</v>
      </c>
      <c r="F102" t="inlineStr">
        <is>
          <t>HALLANDS LÄN</t>
        </is>
      </c>
      <c r="G102" t="inlineStr">
        <is>
          <t>HALMSTAD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17069-2022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44677</v>
      </c>
      <c r="E103" s="1" t="n">
        <v>46297</v>
      </c>
      <c r="F103" t="inlineStr">
        <is>
          <t>HALLANDS LÄN</t>
        </is>
      </c>
      <c r="G103" t="inlineStr">
        <is>
          <t>HALMSTAD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46297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44538</v>
      </c>
      <c r="E105" s="1" t="n">
        <v>46297</v>
      </c>
      <c r="F105" t="inlineStr">
        <is>
          <t>HALLANDS LÄN</t>
        </is>
      </c>
      <c r="G105" t="inlineStr">
        <is>
          <t>HALMSTAD</t>
        </is>
      </c>
      <c r="H105" t="inlineStr">
        <is>
          <t>Kyrkan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46297</v>
      </c>
      <c r="F106" t="inlineStr">
        <is>
          <t>HALLANDS LÄN</t>
        </is>
      </c>
      <c r="G106" t="inlineStr">
        <is>
          <t>HALMSTAD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46297</v>
      </c>
      <c r="F107" t="inlineStr">
        <is>
          <t>HALLANDS LÄN</t>
        </is>
      </c>
      <c r="G107" t="inlineStr">
        <is>
          <t>HALMSTAD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46297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59922-2021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46297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46297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72139-2021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46297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46297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50791-2023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45217</v>
      </c>
      <c r="E113" s="1" t="n">
        <v>46297</v>
      </c>
      <c r="F113" t="inlineStr">
        <is>
          <t>HALLANDS LÄN</t>
        </is>
      </c>
      <c r="G113" t="inlineStr">
        <is>
          <t>HALMSTAD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46297</v>
      </c>
      <c r="F114" t="inlineStr">
        <is>
          <t>HALLANDS LÄN</t>
        </is>
      </c>
      <c r="G114" t="inlineStr">
        <is>
          <t>HALMSTAD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44922</v>
      </c>
      <c r="E115" s="1" t="n">
        <v>46297</v>
      </c>
      <c r="F115" t="inlineStr">
        <is>
          <t>HALLANDS LÄN</t>
        </is>
      </c>
      <c r="G115" t="inlineStr">
        <is>
          <t>HALMSTAD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60396-2023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45259</v>
      </c>
      <c r="E116" s="1" t="n">
        <v>46297</v>
      </c>
      <c r="F116" t="inlineStr">
        <is>
          <t>HALLANDS LÄN</t>
        </is>
      </c>
      <c r="G116" t="inlineStr">
        <is>
          <t>HALMSTAD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46297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46297</v>
      </c>
      <c r="F118" t="inlineStr">
        <is>
          <t>HALLANDS LÄN</t>
        </is>
      </c>
      <c r="G118" t="inlineStr">
        <is>
          <t>HALMSTAD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46297</v>
      </c>
      <c r="F119" t="inlineStr">
        <is>
          <t>HALLANDS LÄN</t>
        </is>
      </c>
      <c r="G119" t="inlineStr">
        <is>
          <t>HALMSTAD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61853-2023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45265</v>
      </c>
      <c r="E120" s="1" t="n">
        <v>46297</v>
      </c>
      <c r="F120" t="inlineStr">
        <is>
          <t>HALLANDS LÄN</t>
        </is>
      </c>
      <c r="G120" t="inlineStr">
        <is>
          <t>HALMSTAD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45792</v>
      </c>
      <c r="E121" s="1" t="n">
        <v>46297</v>
      </c>
      <c r="F121" t="inlineStr">
        <is>
          <t>HALLANDS LÄN</t>
        </is>
      </c>
      <c r="G121" t="inlineStr">
        <is>
          <t>HALMSTAD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44802</v>
      </c>
      <c r="E122" s="1" t="n">
        <v>46297</v>
      </c>
      <c r="F122" t="inlineStr">
        <is>
          <t>HALLANDS LÄN</t>
        </is>
      </c>
      <c r="G122" t="inlineStr">
        <is>
          <t>HALMSTAD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46297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46297</v>
      </c>
      <c r="F124" t="inlineStr">
        <is>
          <t>HALLANDS LÄN</t>
        </is>
      </c>
      <c r="G124" t="inlineStr">
        <is>
          <t>HALMSTAD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46297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45306</v>
      </c>
      <c r="E126" s="1" t="n">
        <v>46297</v>
      </c>
      <c r="F126" t="inlineStr">
        <is>
          <t>HALLANDS LÄN</t>
        </is>
      </c>
      <c r="G126" t="inlineStr">
        <is>
          <t>HALMSTAD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46297</v>
      </c>
      <c r="F127" t="inlineStr">
        <is>
          <t>HALLANDS LÄN</t>
        </is>
      </c>
      <c r="G127" t="inlineStr">
        <is>
          <t>HALMSTAD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46297</v>
      </c>
      <c r="F128" t="inlineStr">
        <is>
          <t>HALLANDS LÄN</t>
        </is>
      </c>
      <c r="G128" t="inlineStr">
        <is>
          <t>HALMSTAD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45562</v>
      </c>
      <c r="E129" s="1" t="n">
        <v>46297</v>
      </c>
      <c r="F129" t="inlineStr">
        <is>
          <t>HALLANDS LÄN</t>
        </is>
      </c>
      <c r="G129" t="inlineStr">
        <is>
          <t>HALMSTAD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46297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44677</v>
      </c>
      <c r="E131" s="1" t="n">
        <v>46297</v>
      </c>
      <c r="F131" t="inlineStr">
        <is>
          <t>HALLANDS LÄN</t>
        </is>
      </c>
      <c r="G131" t="inlineStr">
        <is>
          <t>HALMSTAD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46297</v>
      </c>
      <c r="F132" t="inlineStr">
        <is>
          <t>HALLANDS LÄN</t>
        </is>
      </c>
      <c r="G132" t="inlineStr">
        <is>
          <t>HALMSTAD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46297</v>
      </c>
      <c r="F133" t="inlineStr">
        <is>
          <t>HALLANDS LÄN</t>
        </is>
      </c>
      <c r="G133" t="inlineStr">
        <is>
          <t>HALMSTAD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45316</v>
      </c>
      <c r="E134" s="1" t="n">
        <v>46297</v>
      </c>
      <c r="F134" t="inlineStr">
        <is>
          <t>HALLANDS LÄN</t>
        </is>
      </c>
      <c r="G134" t="inlineStr">
        <is>
          <t>HALMSTAD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45716</v>
      </c>
      <c r="E135" s="1" t="n">
        <v>46297</v>
      </c>
      <c r="F135" t="inlineStr">
        <is>
          <t>HALLANDS LÄN</t>
        </is>
      </c>
      <c r="G135" t="inlineStr">
        <is>
          <t>HALMSTAD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46297</v>
      </c>
      <c r="F136" t="inlineStr">
        <is>
          <t>HALLANDS LÄN</t>
        </is>
      </c>
      <c r="G136" t="inlineStr">
        <is>
          <t>HALMSTAD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46297</v>
      </c>
      <c r="F137" t="inlineStr">
        <is>
          <t>HALLANDS LÄN</t>
        </is>
      </c>
      <c r="G137" t="inlineStr">
        <is>
          <t>HALMSTAD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46297</v>
      </c>
      <c r="F138" t="inlineStr">
        <is>
          <t>HALLANDS LÄN</t>
        </is>
      </c>
      <c r="G138" t="inlineStr">
        <is>
          <t>HALMSTAD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45750</v>
      </c>
      <c r="E139" s="1" t="n">
        <v>46297</v>
      </c>
      <c r="F139" t="inlineStr">
        <is>
          <t>HALLANDS LÄN</t>
        </is>
      </c>
      <c r="G139" t="inlineStr">
        <is>
          <t>HALMSTAD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46297</v>
      </c>
      <c r="F140" t="inlineStr">
        <is>
          <t>HALLANDS LÄN</t>
        </is>
      </c>
      <c r="G140" t="inlineStr">
        <is>
          <t>HALMSTAD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46297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46297</v>
      </c>
      <c r="F142" t="inlineStr">
        <is>
          <t>HALLANDS LÄN</t>
        </is>
      </c>
      <c r="G142" t="inlineStr">
        <is>
          <t>HALMSTAD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46297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46297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46297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45476</v>
      </c>
      <c r="E146" s="1" t="n">
        <v>46297</v>
      </c>
      <c r="F146" t="inlineStr">
        <is>
          <t>HALLANDS LÄN</t>
        </is>
      </c>
      <c r="G146" t="inlineStr">
        <is>
          <t>HALMSTAD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46297</v>
      </c>
      <c r="F147" t="inlineStr">
        <is>
          <t>HALLANDS LÄN</t>
        </is>
      </c>
      <c r="G147" t="inlineStr">
        <is>
          <t>HALMSTAD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46297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45488</v>
      </c>
      <c r="E149" s="1" t="n">
        <v>46297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46297</v>
      </c>
      <c r="F150" t="inlineStr">
        <is>
          <t>HALLANDS LÄN</t>
        </is>
      </c>
      <c r="G150" t="inlineStr">
        <is>
          <t>HALMSTAD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46297</v>
      </c>
      <c r="F151" t="inlineStr">
        <is>
          <t>HALLANDS LÄN</t>
        </is>
      </c>
      <c r="G151" t="inlineStr">
        <is>
          <t>HALMSTAD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44885</v>
      </c>
      <c r="E152" s="1" t="n">
        <v>46297</v>
      </c>
      <c r="F152" t="inlineStr">
        <is>
          <t>HALLANDS LÄN</t>
        </is>
      </c>
      <c r="G152" t="inlineStr">
        <is>
          <t>HALMSTAD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46297</v>
      </c>
      <c r="F153" t="inlineStr">
        <is>
          <t>HALLANDS LÄN</t>
        </is>
      </c>
      <c r="G153" t="inlineStr">
        <is>
          <t>HALMSTAD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45797</v>
      </c>
      <c r="E154" s="1" t="n">
        <v>46297</v>
      </c>
      <c r="F154" t="inlineStr">
        <is>
          <t>HALLANDS LÄN</t>
        </is>
      </c>
      <c r="G154" t="inlineStr">
        <is>
          <t>HALMSTAD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46297</v>
      </c>
      <c r="F155" t="inlineStr">
        <is>
          <t>HALLANDS LÄN</t>
        </is>
      </c>
      <c r="G155" t="inlineStr">
        <is>
          <t>HALMSTAD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46297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46297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46297</v>
      </c>
      <c r="F158" t="inlineStr">
        <is>
          <t>HALLANDS LÄN</t>
        </is>
      </c>
      <c r="G158" t="inlineStr">
        <is>
          <t>HALMSTAD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46297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46297</v>
      </c>
      <c r="F160" t="inlineStr">
        <is>
          <t>HALLANDS LÄN</t>
        </is>
      </c>
      <c r="G160" t="inlineStr">
        <is>
          <t>HALMSTAD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7428-2026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46297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45194</v>
      </c>
      <c r="E162" s="1" t="n">
        <v>46297</v>
      </c>
      <c r="F162" t="inlineStr">
        <is>
          <t>HALLANDS LÄN</t>
        </is>
      </c>
      <c r="G162" t="inlineStr">
        <is>
          <t>HALMSTAD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46297</v>
      </c>
      <c r="F163" t="inlineStr">
        <is>
          <t>HALLANDS LÄN</t>
        </is>
      </c>
      <c r="G163" t="inlineStr">
        <is>
          <t>HALMSTAD</t>
        </is>
      </c>
      <c r="I163" t="n">
        <v>11.8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45916</v>
      </c>
      <c r="E164" s="1" t="n">
        <v>46297</v>
      </c>
      <c r="F164" t="inlineStr">
        <is>
          <t>HALLANDS LÄN</t>
        </is>
      </c>
      <c r="G164" t="inlineStr">
        <is>
          <t>HALMSTAD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46297</v>
      </c>
      <c r="F165" t="inlineStr">
        <is>
          <t>HALLANDS LÄN</t>
        </is>
      </c>
      <c r="G165" t="inlineStr">
        <is>
          <t>HALMSTAD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46297</v>
      </c>
      <c r="F166" t="inlineStr">
        <is>
          <t>HALLANDS LÄN</t>
        </is>
      </c>
      <c r="G166" t="inlineStr">
        <is>
          <t>HALMSTAD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46297</v>
      </c>
      <c r="F167" t="inlineStr">
        <is>
          <t>HALLANDS LÄN</t>
        </is>
      </c>
      <c r="G167" t="inlineStr">
        <is>
          <t>HALMSTAD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46297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46297</v>
      </c>
      <c r="F169" t="inlineStr">
        <is>
          <t>HALLANDS LÄN</t>
        </is>
      </c>
      <c r="G169" t="inlineStr">
        <is>
          <t>HALMSTAD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46297</v>
      </c>
      <c r="F170" t="inlineStr">
        <is>
          <t>HALLANDS LÄN</t>
        </is>
      </c>
      <c r="G170" t="inlineStr">
        <is>
          <t>HALMSTAD</t>
        </is>
      </c>
      <c r="H170" t="inlineStr">
        <is>
          <t>Övriga statliga verk och myndigheter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44917</v>
      </c>
      <c r="E171" s="1" t="n">
        <v>46297</v>
      </c>
      <c r="F171" t="inlineStr">
        <is>
          <t>HALLANDS LÄN</t>
        </is>
      </c>
      <c r="G171" t="inlineStr">
        <is>
          <t>HALMSTAD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44610</v>
      </c>
      <c r="E172" s="1" t="n">
        <v>46297</v>
      </c>
      <c r="F172" t="inlineStr">
        <is>
          <t>HALLANDS LÄN</t>
        </is>
      </c>
      <c r="G172" t="inlineStr">
        <is>
          <t>HALMSTAD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45863-2025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45923</v>
      </c>
      <c r="E173" s="1" t="n">
        <v>46297</v>
      </c>
      <c r="F173" t="inlineStr">
        <is>
          <t>HALLANDS LÄN</t>
        </is>
      </c>
      <c r="G173" t="inlineStr">
        <is>
          <t>HALMSTAD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46297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44938</v>
      </c>
      <c r="E175" s="1" t="n">
        <v>46297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46079</v>
      </c>
      <c r="E176" s="1" t="n">
        <v>46297</v>
      </c>
      <c r="F176" t="inlineStr">
        <is>
          <t>HALLANDS LÄN</t>
        </is>
      </c>
      <c r="G176" t="inlineStr">
        <is>
          <t>HALMSTAD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46297</v>
      </c>
      <c r="F177" t="inlineStr">
        <is>
          <t>HALLANDS LÄN</t>
        </is>
      </c>
      <c r="G177" t="inlineStr">
        <is>
          <t>HALMSTAD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46297</v>
      </c>
      <c r="F178" t="inlineStr">
        <is>
          <t>HALLANDS LÄN</t>
        </is>
      </c>
      <c r="G178" t="inlineStr">
        <is>
          <t>HALMSTAD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46297</v>
      </c>
      <c r="F179" t="inlineStr">
        <is>
          <t>HALLANDS LÄN</t>
        </is>
      </c>
      <c r="G179" t="inlineStr">
        <is>
          <t>HALMSTAD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46297</v>
      </c>
      <c r="F180" t="inlineStr">
        <is>
          <t>HALLANDS LÄN</t>
        </is>
      </c>
      <c r="G180" t="inlineStr">
        <is>
          <t>HALMSTAD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22070-2022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44711</v>
      </c>
      <c r="E181" s="1" t="n">
        <v>46297</v>
      </c>
      <c r="F181" t="inlineStr">
        <is>
          <t>HALLANDS LÄN</t>
        </is>
      </c>
      <c r="G181" t="inlineStr">
        <is>
          <t>HALMSTAD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46297</v>
      </c>
      <c r="F182" t="inlineStr">
        <is>
          <t>HALLANDS LÄN</t>
        </is>
      </c>
      <c r="G182" t="inlineStr">
        <is>
          <t>HALMSTAD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46297</v>
      </c>
      <c r="F183" t="inlineStr">
        <is>
          <t>HALLANDS LÄN</t>
        </is>
      </c>
      <c r="G183" t="inlineStr">
        <is>
          <t>HALMSTAD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46297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46297</v>
      </c>
      <c r="F185" t="inlineStr">
        <is>
          <t>HALLANDS LÄN</t>
        </is>
      </c>
      <c r="G185" t="inlineStr">
        <is>
          <t>HALMSTAD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44687</v>
      </c>
      <c r="E186" s="1" t="n">
        <v>46297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46297</v>
      </c>
      <c r="F187" t="inlineStr">
        <is>
          <t>HALLANDS LÄN</t>
        </is>
      </c>
      <c r="G187" t="inlineStr">
        <is>
          <t>HALMSTAD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50113-2023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46297</v>
      </c>
      <c r="F188" t="inlineStr">
        <is>
          <t>HALLANDS LÄN</t>
        </is>
      </c>
      <c r="G188" t="inlineStr">
        <is>
          <t>HALMSTAD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45330</v>
      </c>
      <c r="E189" s="1" t="n">
        <v>46297</v>
      </c>
      <c r="F189" t="inlineStr">
        <is>
          <t>HALLANDS LÄN</t>
        </is>
      </c>
      <c r="G189" t="inlineStr">
        <is>
          <t>HALMSTAD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46297</v>
      </c>
      <c r="F190" t="inlineStr">
        <is>
          <t>HALLANDS LÄN</t>
        </is>
      </c>
      <c r="G190" t="inlineStr">
        <is>
          <t>HALMSTAD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46297</v>
      </c>
      <c r="F191" t="inlineStr">
        <is>
          <t>HALLANDS LÄN</t>
        </is>
      </c>
      <c r="G191" t="inlineStr">
        <is>
          <t>HALMSTAD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46297</v>
      </c>
      <c r="F192" t="inlineStr">
        <is>
          <t>HALLANDS LÄN</t>
        </is>
      </c>
      <c r="G192" t="inlineStr">
        <is>
          <t>HALMSTAD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46297</v>
      </c>
      <c r="F193" t="inlineStr">
        <is>
          <t>HALLANDS LÄN</t>
        </is>
      </c>
      <c r="G193" t="inlineStr">
        <is>
          <t>HALMSTAD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46297</v>
      </c>
      <c r="F194" t="inlineStr">
        <is>
          <t>HALLANDS LÄN</t>
        </is>
      </c>
      <c r="G194" t="inlineStr">
        <is>
          <t>HALMSTAD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46297</v>
      </c>
      <c r="F195" t="inlineStr">
        <is>
          <t>HALLANDS LÄN</t>
        </is>
      </c>
      <c r="G195" t="inlineStr">
        <is>
          <t>HALMSTAD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46297</v>
      </c>
      <c r="F196" t="inlineStr">
        <is>
          <t>HALLANDS LÄN</t>
        </is>
      </c>
      <c r="G196" t="inlineStr">
        <is>
          <t>HALMSTAD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46297</v>
      </c>
      <c r="F197" t="inlineStr">
        <is>
          <t>HALLANDS LÄN</t>
        </is>
      </c>
      <c r="G197" t="inlineStr">
        <is>
          <t>HALMSTAD</t>
        </is>
      </c>
      <c r="H197" t="inlineStr">
        <is>
          <t>Bergvik skog väst AB</t>
        </is>
      </c>
      <c r="I197" t="n">
        <v>19.5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46297</v>
      </c>
      <c r="F198" t="inlineStr">
        <is>
          <t>HALLANDS LÄN</t>
        </is>
      </c>
      <c r="G198" t="inlineStr">
        <is>
          <t>HALMSTAD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46297</v>
      </c>
      <c r="F199" t="inlineStr">
        <is>
          <t>HALLANDS LÄN</t>
        </is>
      </c>
      <c r="G199" t="inlineStr">
        <is>
          <t>HALMSTAD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46297</v>
      </c>
      <c r="F200" t="inlineStr">
        <is>
          <t>HALLANDS LÄN</t>
        </is>
      </c>
      <c r="G200" t="inlineStr">
        <is>
          <t>HALMSTAD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46297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46297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46297</v>
      </c>
      <c r="F203" t="inlineStr">
        <is>
          <t>HALLANDS LÄN</t>
        </is>
      </c>
      <c r="G203" t="inlineStr">
        <is>
          <t>HALMSTAD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15574-2026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46297</v>
      </c>
      <c r="F204" t="inlineStr">
        <is>
          <t>HALLANDS LÄN</t>
        </is>
      </c>
      <c r="G204" t="inlineStr">
        <is>
          <t>HALMSTAD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7639-2022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44607</v>
      </c>
      <c r="E205" s="1" t="n">
        <v>46297</v>
      </c>
      <c r="F205" t="inlineStr">
        <is>
          <t>HALLANDS LÄN</t>
        </is>
      </c>
      <c r="G205" t="inlineStr">
        <is>
          <t>HALMSTAD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46297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13594-2023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45006</v>
      </c>
      <c r="E207" s="1" t="n">
        <v>46297</v>
      </c>
      <c r="F207" t="inlineStr">
        <is>
          <t>HALLANDS LÄN</t>
        </is>
      </c>
      <c r="G207" t="inlineStr">
        <is>
          <t>HALMSTAD</t>
        </is>
      </c>
      <c r="H207" t="inlineStr">
        <is>
          <t>Bergvik skog väst AB</t>
        </is>
      </c>
      <c r="I207" t="n">
        <v>8.6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46297</v>
      </c>
      <c r="F208" t="inlineStr">
        <is>
          <t>HALLANDS LÄN</t>
        </is>
      </c>
      <c r="G208" t="inlineStr">
        <is>
          <t>HALMSTAD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45168</v>
      </c>
      <c r="E209" s="1" t="n">
        <v>46297</v>
      </c>
      <c r="F209" t="inlineStr">
        <is>
          <t>HALLANDS LÄN</t>
        </is>
      </c>
      <c r="G209" t="inlineStr">
        <is>
          <t>HALMSTAD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46297</v>
      </c>
      <c r="F210" t="inlineStr">
        <is>
          <t>HALLANDS LÄN</t>
        </is>
      </c>
      <c r="G210" t="inlineStr">
        <is>
          <t>HALMSTAD</t>
        </is>
      </c>
      <c r="H210" t="inlineStr">
        <is>
          <t>Kyrkan</t>
        </is>
      </c>
      <c r="I210" t="n">
        <v>10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46297</v>
      </c>
      <c r="F211" t="inlineStr">
        <is>
          <t>HALLANDS LÄN</t>
        </is>
      </c>
      <c r="G211" t="inlineStr">
        <is>
          <t>HALMSTAD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46297</v>
      </c>
      <c r="F212" t="inlineStr">
        <is>
          <t>HALLANDS LÄN</t>
        </is>
      </c>
      <c r="G212" t="inlineStr">
        <is>
          <t>HALMSTAD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46297</v>
      </c>
      <c r="F213" t="inlineStr">
        <is>
          <t>HALLANDS LÄN</t>
        </is>
      </c>
      <c r="G213" t="inlineStr">
        <is>
          <t>HALMSTAD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45712</v>
      </c>
      <c r="E214" s="1" t="n">
        <v>46297</v>
      </c>
      <c r="F214" t="inlineStr">
        <is>
          <t>HALLANDS LÄN</t>
        </is>
      </c>
      <c r="G214" t="inlineStr">
        <is>
          <t>HALMSTAD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46297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45817</v>
      </c>
      <c r="E216" s="1" t="n">
        <v>46297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46297</v>
      </c>
      <c r="F217" t="inlineStr">
        <is>
          <t>HALLANDS LÄN</t>
        </is>
      </c>
      <c r="G217" t="inlineStr">
        <is>
          <t>HALMSTAD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46297</v>
      </c>
      <c r="F218" t="inlineStr">
        <is>
          <t>HALLANDS LÄN</t>
        </is>
      </c>
      <c r="G218" t="inlineStr">
        <is>
          <t>HALMSTAD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46297</v>
      </c>
      <c r="F219" t="inlineStr">
        <is>
          <t>HALLANDS LÄN</t>
        </is>
      </c>
      <c r="G219" t="inlineStr">
        <is>
          <t>HALMSTAD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46297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44959</v>
      </c>
      <c r="E221" s="1" t="n">
        <v>46297</v>
      </c>
      <c r="F221" t="inlineStr">
        <is>
          <t>HALLANDS LÄN</t>
        </is>
      </c>
      <c r="G221" t="inlineStr">
        <is>
          <t>HALMSTAD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46297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46297</v>
      </c>
      <c r="F223" t="inlineStr">
        <is>
          <t>HALLANDS LÄN</t>
        </is>
      </c>
      <c r="G223" t="inlineStr">
        <is>
          <t>HALMSTAD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46297</v>
      </c>
      <c r="F224" t="inlineStr">
        <is>
          <t>HALLANDS LÄN</t>
        </is>
      </c>
      <c r="G224" t="inlineStr">
        <is>
          <t>HALMSTAD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46297</v>
      </c>
      <c r="F225" t="inlineStr">
        <is>
          <t>HALLANDS LÄN</t>
        </is>
      </c>
      <c r="G225" t="inlineStr">
        <is>
          <t>HALMSTAD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45000</v>
      </c>
      <c r="E226" s="1" t="n">
        <v>46297</v>
      </c>
      <c r="F226" t="inlineStr">
        <is>
          <t>HALLANDS LÄN</t>
        </is>
      </c>
      <c r="G226" t="inlineStr">
        <is>
          <t>HALMSTAD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45356</v>
      </c>
      <c r="E227" s="1" t="n">
        <v>46297</v>
      </c>
      <c r="F227" t="inlineStr">
        <is>
          <t>HALLANDS LÄN</t>
        </is>
      </c>
      <c r="G227" t="inlineStr">
        <is>
          <t>HALMSTAD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46297</v>
      </c>
      <c r="F228" t="inlineStr">
        <is>
          <t>HALLANDS LÄN</t>
        </is>
      </c>
      <c r="G228" t="inlineStr">
        <is>
          <t>HALMSTAD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46297</v>
      </c>
      <c r="F229" t="inlineStr">
        <is>
          <t>HALLANDS LÄN</t>
        </is>
      </c>
      <c r="G229" t="inlineStr">
        <is>
          <t>HALMSTAD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45015</v>
      </c>
      <c r="E230" s="1" t="n">
        <v>46297</v>
      </c>
      <c r="F230" t="inlineStr">
        <is>
          <t>HALLANDS LÄN</t>
        </is>
      </c>
      <c r="G230" t="inlineStr">
        <is>
          <t>HALMSTAD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45610</v>
      </c>
      <c r="E231" s="1" t="n">
        <v>46297</v>
      </c>
      <c r="F231" t="inlineStr">
        <is>
          <t>HALLANDS LÄN</t>
        </is>
      </c>
      <c r="G231" t="inlineStr">
        <is>
          <t>HALMSTAD</t>
        </is>
      </c>
      <c r="H231" t="inlineStr">
        <is>
          <t>Kyrkan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46297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46297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46297</v>
      </c>
      <c r="F234" t="inlineStr">
        <is>
          <t>HALLANDS LÄN</t>
        </is>
      </c>
      <c r="G234" t="inlineStr">
        <is>
          <t>HALMSTAD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46297</v>
      </c>
      <c r="F235" t="inlineStr">
        <is>
          <t>HALLANDS LÄN</t>
        </is>
      </c>
      <c r="G235" t="inlineStr">
        <is>
          <t>HALMSTAD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46297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46297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46297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45692</v>
      </c>
      <c r="E239" s="1" t="n">
        <v>46297</v>
      </c>
      <c r="F239" t="inlineStr">
        <is>
          <t>HALLANDS LÄN</t>
        </is>
      </c>
      <c r="G239" t="inlineStr">
        <is>
          <t>HALMSTAD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46297</v>
      </c>
      <c r="F240" t="inlineStr">
        <is>
          <t>HALLANDS LÄN</t>
        </is>
      </c>
      <c r="G240" t="inlineStr">
        <is>
          <t>HALMSTAD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44775</v>
      </c>
      <c r="E241" s="1" t="n">
        <v>46297</v>
      </c>
      <c r="F241" t="inlineStr">
        <is>
          <t>HALLANDS LÄN</t>
        </is>
      </c>
      <c r="G241" t="inlineStr">
        <is>
          <t>HALMSTAD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46297</v>
      </c>
      <c r="F242" t="inlineStr">
        <is>
          <t>HALLANDS LÄN</t>
        </is>
      </c>
      <c r="G242" t="inlineStr">
        <is>
          <t>HALMSTAD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40398-2022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44823</v>
      </c>
      <c r="E243" s="1" t="n">
        <v>46297</v>
      </c>
      <c r="F243" t="inlineStr">
        <is>
          <t>HALLANDS LÄN</t>
        </is>
      </c>
      <c r="G243" t="inlineStr">
        <is>
          <t>HALMSTAD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46297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46297</v>
      </c>
      <c r="F245" t="inlineStr">
        <is>
          <t>HALLANDS LÄN</t>
        </is>
      </c>
      <c r="G245" t="inlineStr">
        <is>
          <t>HALMSTAD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45733</v>
      </c>
      <c r="E246" s="1" t="n">
        <v>46297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46297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46297</v>
      </c>
      <c r="F248" t="inlineStr">
        <is>
          <t>HALLANDS LÄN</t>
        </is>
      </c>
      <c r="G248" t="inlineStr">
        <is>
          <t>HALMSTAD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46297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62812-2025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46297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26049-2023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45091</v>
      </c>
      <c r="E251" s="1" t="n">
        <v>46297</v>
      </c>
      <c r="F251" t="inlineStr">
        <is>
          <t>HALLANDS LÄN</t>
        </is>
      </c>
      <c r="G251" t="inlineStr">
        <is>
          <t>HALMSTAD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46297</v>
      </c>
      <c r="F252" t="inlineStr">
        <is>
          <t>HALLANDS LÄN</t>
        </is>
      </c>
      <c r="G252" t="inlineStr">
        <is>
          <t>HALMSTAD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57031-2021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44482</v>
      </c>
      <c r="E253" s="1" t="n">
        <v>46297</v>
      </c>
      <c r="F253" t="inlineStr">
        <is>
          <t>HALLANDS LÄN</t>
        </is>
      </c>
      <c r="G253" t="inlineStr">
        <is>
          <t>HALMSTAD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45831</v>
      </c>
      <c r="E254" s="1" t="n">
        <v>46297</v>
      </c>
      <c r="F254" t="inlineStr">
        <is>
          <t>HALLANDS LÄN</t>
        </is>
      </c>
      <c r="G254" t="inlineStr">
        <is>
          <t>HALMSTAD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46297</v>
      </c>
      <c r="F255" t="inlineStr">
        <is>
          <t>HALLANDS LÄN</t>
        </is>
      </c>
      <c r="G255" t="inlineStr">
        <is>
          <t>HALMSTAD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46297</v>
      </c>
      <c r="F256" t="inlineStr">
        <is>
          <t>HALLANDS LÄN</t>
        </is>
      </c>
      <c r="G256" t="inlineStr">
        <is>
          <t>HALMSTAD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46297</v>
      </c>
      <c r="F257" t="inlineStr">
        <is>
          <t>HALLANDS LÄN</t>
        </is>
      </c>
      <c r="G257" t="inlineStr">
        <is>
          <t>HALMSTAD</t>
        </is>
      </c>
      <c r="H257" t="inlineStr">
        <is>
          <t>Bergvik skog väst AB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46297</v>
      </c>
      <c r="F258" t="inlineStr">
        <is>
          <t>HALLANDS LÄN</t>
        </is>
      </c>
      <c r="G258" t="inlineStr">
        <is>
          <t>HALMSTAD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46297</v>
      </c>
      <c r="F259" t="inlineStr">
        <is>
          <t>HALLANDS LÄN</t>
        </is>
      </c>
      <c r="G259" t="inlineStr">
        <is>
          <t>HALMSTAD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44827</v>
      </c>
      <c r="E260" s="1" t="n">
        <v>46297</v>
      </c>
      <c r="F260" t="inlineStr">
        <is>
          <t>HALLANDS LÄN</t>
        </is>
      </c>
      <c r="G260" t="inlineStr">
        <is>
          <t>HALMSTAD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45323</v>
      </c>
      <c r="E261" s="1" t="n">
        <v>46297</v>
      </c>
      <c r="F261" t="inlineStr">
        <is>
          <t>HALLANDS LÄN</t>
        </is>
      </c>
      <c r="G261" t="inlineStr">
        <is>
          <t>HALMSTAD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46297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46297</v>
      </c>
      <c r="F263" t="inlineStr">
        <is>
          <t>HALLANDS LÄN</t>
        </is>
      </c>
      <c r="G263" t="inlineStr">
        <is>
          <t>HALMSTAD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46297</v>
      </c>
      <c r="F264" t="inlineStr">
        <is>
          <t>HALLANDS LÄN</t>
        </is>
      </c>
      <c r="G264" t="inlineStr">
        <is>
          <t>HALMSTAD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45841</v>
      </c>
      <c r="E265" s="1" t="n">
        <v>46297</v>
      </c>
      <c r="F265" t="inlineStr">
        <is>
          <t>HALLANDS LÄN</t>
        </is>
      </c>
      <c r="G265" t="inlineStr">
        <is>
          <t>HALMSTAD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46297</v>
      </c>
      <c r="F266" t="inlineStr">
        <is>
          <t>HALLANDS LÄN</t>
        </is>
      </c>
      <c r="G266" t="inlineStr">
        <is>
          <t>HALMSTAD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46297</v>
      </c>
      <c r="F267" t="inlineStr">
        <is>
          <t>HALLANDS LÄN</t>
        </is>
      </c>
      <c r="G267" t="inlineStr">
        <is>
          <t>HALMSTAD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46297</v>
      </c>
      <c r="F268" t="inlineStr">
        <is>
          <t>HALLANDS LÄN</t>
        </is>
      </c>
      <c r="G268" t="inlineStr">
        <is>
          <t>HALMSTAD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45681</v>
      </c>
      <c r="E269" s="1" t="n">
        <v>46297</v>
      </c>
      <c r="F269" t="inlineStr">
        <is>
          <t>HALLANDS LÄN</t>
        </is>
      </c>
      <c r="G269" t="inlineStr">
        <is>
          <t>HALMSTAD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45660</v>
      </c>
      <c r="E270" s="1" t="n">
        <v>46297</v>
      </c>
      <c r="F270" t="inlineStr">
        <is>
          <t>HALLANDS LÄN</t>
        </is>
      </c>
      <c r="G270" t="inlineStr">
        <is>
          <t>HALMSTAD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46297</v>
      </c>
      <c r="F271" t="inlineStr">
        <is>
          <t>HALLANDS LÄN</t>
        </is>
      </c>
      <c r="G271" t="inlineStr">
        <is>
          <t>HALMSTAD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45854</v>
      </c>
      <c r="E272" s="1" t="n">
        <v>46297</v>
      </c>
      <c r="F272" t="inlineStr">
        <is>
          <t>HALLANDS LÄN</t>
        </is>
      </c>
      <c r="G272" t="inlineStr">
        <is>
          <t>HALMSTAD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45856</v>
      </c>
      <c r="E273" s="1" t="n">
        <v>46297</v>
      </c>
      <c r="F273" t="inlineStr">
        <is>
          <t>HALLANDS LÄN</t>
        </is>
      </c>
      <c r="G273" t="inlineStr">
        <is>
          <t>HALMSTAD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45750</v>
      </c>
      <c r="E274" s="1" t="n">
        <v>46297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45741</v>
      </c>
      <c r="E275" s="1" t="n">
        <v>46297</v>
      </c>
      <c r="F275" t="inlineStr">
        <is>
          <t>HALLANDS LÄN</t>
        </is>
      </c>
      <c r="G275" t="inlineStr">
        <is>
          <t>HALMSTAD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45493</v>
      </c>
      <c r="E276" s="1" t="n">
        <v>46297</v>
      </c>
      <c r="F276" t="inlineStr">
        <is>
          <t>HALLANDS LÄN</t>
        </is>
      </c>
      <c r="G276" t="inlineStr">
        <is>
          <t>HALMSTAD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44917</v>
      </c>
      <c r="E277" s="1" t="n">
        <v>46297</v>
      </c>
      <c r="F277" t="inlineStr">
        <is>
          <t>HALLANDS LÄN</t>
        </is>
      </c>
      <c r="G277" t="inlineStr">
        <is>
          <t>HALMSTAD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61783-2022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46297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46297</v>
      </c>
      <c r="F279" t="inlineStr">
        <is>
          <t>HALLANDS LÄN</t>
        </is>
      </c>
      <c r="G279" t="inlineStr">
        <is>
          <t>HALMSTAD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45001</v>
      </c>
      <c r="E280" s="1" t="n">
        <v>46297</v>
      </c>
      <c r="F280" t="inlineStr">
        <is>
          <t>HALLANDS LÄN</t>
        </is>
      </c>
      <c r="G280" t="inlineStr">
        <is>
          <t>HALMSTAD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45797</v>
      </c>
      <c r="E281" s="1" t="n">
        <v>46297</v>
      </c>
      <c r="F281" t="inlineStr">
        <is>
          <t>HALLANDS LÄN</t>
        </is>
      </c>
      <c r="G281" t="inlineStr">
        <is>
          <t>HALMSTAD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39274-2022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44817</v>
      </c>
      <c r="E282" s="1" t="n">
        <v>46297</v>
      </c>
      <c r="F282" t="inlineStr">
        <is>
          <t>HALLANDS LÄN</t>
        </is>
      </c>
      <c r="G282" t="inlineStr">
        <is>
          <t>HALMSTAD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46297</v>
      </c>
      <c r="F283" t="inlineStr">
        <is>
          <t>HALLANDS LÄN</t>
        </is>
      </c>
      <c r="G283" t="inlineStr">
        <is>
          <t>HALMSTAD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45736</v>
      </c>
      <c r="E284" s="1" t="n">
        <v>46297</v>
      </c>
      <c r="F284" t="inlineStr">
        <is>
          <t>HALLANDS LÄN</t>
        </is>
      </c>
      <c r="G284" t="inlineStr">
        <is>
          <t>HALMSTAD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45692</v>
      </c>
      <c r="E285" s="1" t="n">
        <v>46297</v>
      </c>
      <c r="F285" t="inlineStr">
        <is>
          <t>HALLANDS LÄN</t>
        </is>
      </c>
      <c r="G285" t="inlineStr">
        <is>
          <t>HALMSTAD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44879</v>
      </c>
      <c r="E286" s="1" t="n">
        <v>46297</v>
      </c>
      <c r="F286" t="inlineStr">
        <is>
          <t>HALLANDS LÄN</t>
        </is>
      </c>
      <c r="G286" t="inlineStr">
        <is>
          <t>HALMSTAD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53550-2022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44879</v>
      </c>
      <c r="E287" s="1" t="n">
        <v>46297</v>
      </c>
      <c r="F287" t="inlineStr">
        <is>
          <t>HALLANDS LÄN</t>
        </is>
      </c>
      <c r="G287" t="inlineStr">
        <is>
          <t>HALMSTAD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61778-2022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46297</v>
      </c>
      <c r="F288" t="inlineStr">
        <is>
          <t>HALLANDS LÄN</t>
        </is>
      </c>
      <c r="G288" t="inlineStr">
        <is>
          <t>HALMSTAD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45068</v>
      </c>
      <c r="E289" s="1" t="n">
        <v>46297</v>
      </c>
      <c r="F289" t="inlineStr">
        <is>
          <t>HALLANDS LÄN</t>
        </is>
      </c>
      <c r="G289" t="inlineStr">
        <is>
          <t>HALMSTAD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46297</v>
      </c>
      <c r="F290" t="inlineStr">
        <is>
          <t>HALLANDS LÄN</t>
        </is>
      </c>
      <c r="G290" t="inlineStr">
        <is>
          <t>HALMSTAD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44699</v>
      </c>
      <c r="E291" s="1" t="n">
        <v>46297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44580</v>
      </c>
      <c r="E292" s="1" t="n">
        <v>46297</v>
      </c>
      <c r="F292" t="inlineStr">
        <is>
          <t>HALLANDS LÄN</t>
        </is>
      </c>
      <c r="G292" t="inlineStr">
        <is>
          <t>HALMSTAD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45642</v>
      </c>
      <c r="E293" s="1" t="n">
        <v>46297</v>
      </c>
      <c r="F293" t="inlineStr">
        <is>
          <t>HALLANDS LÄN</t>
        </is>
      </c>
      <c r="G293" t="inlineStr">
        <is>
          <t>HALMSTAD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45299</v>
      </c>
      <c r="E294" s="1" t="n">
        <v>46297</v>
      </c>
      <c r="F294" t="inlineStr">
        <is>
          <t>HALLANDS LÄN</t>
        </is>
      </c>
      <c r="G294" t="inlineStr">
        <is>
          <t>HALMSTAD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2438-2024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45311</v>
      </c>
      <c r="E295" s="1" t="n">
        <v>46297</v>
      </c>
      <c r="F295" t="inlineStr">
        <is>
          <t>HALLANDS LÄN</t>
        </is>
      </c>
      <c r="G295" t="inlineStr">
        <is>
          <t>HALMSTAD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44621</v>
      </c>
      <c r="E296" s="1" t="n">
        <v>46297</v>
      </c>
      <c r="F296" t="inlineStr">
        <is>
          <t>HALLANDS LÄN</t>
        </is>
      </c>
      <c r="G296" t="inlineStr">
        <is>
          <t>HALMSTAD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12717-2023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45000</v>
      </c>
      <c r="E297" s="1" t="n">
        <v>46297</v>
      </c>
      <c r="F297" t="inlineStr">
        <is>
          <t>HALLANDS LÄN</t>
        </is>
      </c>
      <c r="G297" t="inlineStr">
        <is>
          <t>HALMSTAD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45006</v>
      </c>
      <c r="E298" s="1" t="n">
        <v>46297</v>
      </c>
      <c r="F298" t="inlineStr">
        <is>
          <t>HALLANDS LÄN</t>
        </is>
      </c>
      <c r="G298" t="inlineStr">
        <is>
          <t>HALMSTAD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45229</v>
      </c>
      <c r="E299" s="1" t="n">
        <v>46297</v>
      </c>
      <c r="F299" t="inlineStr">
        <is>
          <t>HALLANDS LÄN</t>
        </is>
      </c>
      <c r="G299" t="inlineStr">
        <is>
          <t>HALMSTAD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45266</v>
      </c>
      <c r="E300" s="1" t="n">
        <v>46297</v>
      </c>
      <c r="F300" t="inlineStr">
        <is>
          <t>HALLANDS LÄN</t>
        </is>
      </c>
      <c r="G300" t="inlineStr">
        <is>
          <t>HALMSTAD</t>
        </is>
      </c>
      <c r="I300" t="n">
        <v>12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45278</v>
      </c>
      <c r="E301" s="1" t="n">
        <v>46297</v>
      </c>
      <c r="F301" t="inlineStr">
        <is>
          <t>HALLANDS LÄN</t>
        </is>
      </c>
      <c r="G301" t="inlineStr">
        <is>
          <t>HALMSTAD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46297</v>
      </c>
      <c r="F302" t="inlineStr">
        <is>
          <t>HALLANDS LÄN</t>
        </is>
      </c>
      <c r="G302" t="inlineStr">
        <is>
          <t>HALMSTAD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46295-2024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45581</v>
      </c>
      <c r="E303" s="1" t="n">
        <v>46297</v>
      </c>
      <c r="F303" t="inlineStr">
        <is>
          <t>HALLANDS LÄN</t>
        </is>
      </c>
      <c r="G303" t="inlineStr">
        <is>
          <t>HALMSTAD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46297</v>
      </c>
      <c r="F304" t="inlineStr">
        <is>
          <t>HALLANDS LÄN</t>
        </is>
      </c>
      <c r="G304" t="inlineStr">
        <is>
          <t>HALMSTAD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45079</v>
      </c>
      <c r="E305" s="1" t="n">
        <v>46297</v>
      </c>
      <c r="F305" t="inlineStr">
        <is>
          <t>HALLANDS LÄN</t>
        </is>
      </c>
      <c r="G305" t="inlineStr">
        <is>
          <t>HALMSTAD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45750</v>
      </c>
      <c r="E306" s="1" t="n">
        <v>46297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46297</v>
      </c>
      <c r="F307" t="inlineStr">
        <is>
          <t>HALLANDS LÄN</t>
        </is>
      </c>
      <c r="G307" t="inlineStr">
        <is>
          <t>HALMSTAD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46316-2024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45581</v>
      </c>
      <c r="E308" s="1" t="n">
        <v>46297</v>
      </c>
      <c r="F308" t="inlineStr">
        <is>
          <t>HALLANDS LÄN</t>
        </is>
      </c>
      <c r="G308" t="inlineStr">
        <is>
          <t>HALMSTAD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45874</v>
      </c>
      <c r="E309" s="1" t="n">
        <v>46297</v>
      </c>
      <c r="F309" t="inlineStr">
        <is>
          <t>HALLANDS LÄN</t>
        </is>
      </c>
      <c r="G309" t="inlineStr">
        <is>
          <t>HALMSTAD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46297</v>
      </c>
      <c r="F310" t="inlineStr">
        <is>
          <t>HALLANDS LÄN</t>
        </is>
      </c>
      <c r="G310" t="inlineStr">
        <is>
          <t>HALMSTAD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61779-2022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46297</v>
      </c>
      <c r="F311" t="inlineStr">
        <is>
          <t>HALLANDS LÄN</t>
        </is>
      </c>
      <c r="G311" t="inlineStr">
        <is>
          <t>HALMSTAD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45172</v>
      </c>
      <c r="E312" s="1" t="n">
        <v>46297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46297</v>
      </c>
      <c r="F313" t="inlineStr">
        <is>
          <t>HALLANDS LÄN</t>
        </is>
      </c>
      <c r="G313" t="inlineStr">
        <is>
          <t>HALMSTAD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54870-2022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44885</v>
      </c>
      <c r="E314" s="1" t="n">
        <v>46297</v>
      </c>
      <c r="F314" t="inlineStr">
        <is>
          <t>HALLANDS LÄN</t>
        </is>
      </c>
      <c r="G314" t="inlineStr">
        <is>
          <t>HALMSTAD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45876</v>
      </c>
      <c r="E315" s="1" t="n">
        <v>46297</v>
      </c>
      <c r="F315" t="inlineStr">
        <is>
          <t>HALLANDS LÄN</t>
        </is>
      </c>
      <c r="G315" t="inlineStr">
        <is>
          <t>HALMSTAD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46297</v>
      </c>
      <c r="F316" t="inlineStr">
        <is>
          <t>HALLANDS LÄN</t>
        </is>
      </c>
      <c r="G316" t="inlineStr">
        <is>
          <t>HALMSTAD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46297</v>
      </c>
      <c r="F317" t="inlineStr">
        <is>
          <t>HALLANDS LÄN</t>
        </is>
      </c>
      <c r="G317" t="inlineStr">
        <is>
          <t>HALMSTAD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36805-2023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45154</v>
      </c>
      <c r="E318" s="1" t="n">
        <v>46297</v>
      </c>
      <c r="F318" t="inlineStr">
        <is>
          <t>HALLANDS LÄN</t>
        </is>
      </c>
      <c r="G318" t="inlineStr">
        <is>
          <t>HALMSTAD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45775</v>
      </c>
      <c r="E319" s="1" t="n">
        <v>46297</v>
      </c>
      <c r="F319" t="inlineStr">
        <is>
          <t>HALLANDS LÄN</t>
        </is>
      </c>
      <c r="G319" t="inlineStr">
        <is>
          <t>HALMSTAD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46297</v>
      </c>
      <c r="F320" t="inlineStr">
        <is>
          <t>HALLANDS LÄN</t>
        </is>
      </c>
      <c r="G320" t="inlineStr">
        <is>
          <t>HALMSTAD</t>
        </is>
      </c>
      <c r="H320" t="inlineStr">
        <is>
          <t>Kyrkan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46297</v>
      </c>
      <c r="F321" t="inlineStr">
        <is>
          <t>HALLANDS LÄN</t>
        </is>
      </c>
      <c r="G321" t="inlineStr">
        <is>
          <t>HALMSTAD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46297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46297</v>
      </c>
      <c r="F323" t="inlineStr">
        <is>
          <t>HALLANDS LÄN</t>
        </is>
      </c>
      <c r="G323" t="inlineStr">
        <is>
          <t>HALMSTAD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46297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45275</v>
      </c>
      <c r="E325" s="1" t="n">
        <v>46297</v>
      </c>
      <c r="F325" t="inlineStr">
        <is>
          <t>HALLANDS LÄN</t>
        </is>
      </c>
      <c r="G325" t="inlineStr">
        <is>
          <t>HALMSTAD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41786-2024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45561</v>
      </c>
      <c r="E326" s="1" t="n">
        <v>46297</v>
      </c>
      <c r="F326" t="inlineStr">
        <is>
          <t>HALLANDS LÄN</t>
        </is>
      </c>
      <c r="G326" t="inlineStr">
        <is>
          <t>HALMSTAD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46297</v>
      </c>
      <c r="F327" t="inlineStr">
        <is>
          <t>HALLANDS LÄN</t>
        </is>
      </c>
      <c r="G327" t="inlineStr">
        <is>
          <t>HALMSTAD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45015</v>
      </c>
      <c r="E328" s="1" t="n">
        <v>46297</v>
      </c>
      <c r="F328" t="inlineStr">
        <is>
          <t>HALLANDS LÄN</t>
        </is>
      </c>
      <c r="G328" t="inlineStr">
        <is>
          <t>HALMSTAD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46297</v>
      </c>
      <c r="F329" t="inlineStr">
        <is>
          <t>HALLANDS LÄN</t>
        </is>
      </c>
      <c r="G329" t="inlineStr">
        <is>
          <t>HALMSTAD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66311-2021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44518</v>
      </c>
      <c r="E330" s="1" t="n">
        <v>46297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46297</v>
      </c>
      <c r="F331" t="inlineStr">
        <is>
          <t>HALLANDS LÄN</t>
        </is>
      </c>
      <c r="G331" t="inlineStr">
        <is>
          <t>HALMSTAD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46297</v>
      </c>
      <c r="F332" t="inlineStr">
        <is>
          <t>HALLANDS LÄN</t>
        </is>
      </c>
      <c r="G332" t="inlineStr">
        <is>
          <t>HALMSTAD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46297</v>
      </c>
      <c r="F333" t="inlineStr">
        <is>
          <t>HALLANDS LÄN</t>
        </is>
      </c>
      <c r="G333" t="inlineStr">
        <is>
          <t>HALMSTAD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46297</v>
      </c>
      <c r="F334" t="inlineStr">
        <is>
          <t>HALLANDS LÄN</t>
        </is>
      </c>
      <c r="G334" t="inlineStr">
        <is>
          <t>HALMSTAD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46297</v>
      </c>
      <c r="F335" t="inlineStr">
        <is>
          <t>HALLANDS LÄN</t>
        </is>
      </c>
      <c r="G335" t="inlineStr">
        <is>
          <t>HALMSTAD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46297</v>
      </c>
      <c r="F336" t="inlineStr">
        <is>
          <t>HALLANDS LÄN</t>
        </is>
      </c>
      <c r="G336" t="inlineStr">
        <is>
          <t>HALMSTAD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41836-2024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46297</v>
      </c>
      <c r="F337" t="inlineStr">
        <is>
          <t>HALLANDS LÄN</t>
        </is>
      </c>
      <c r="G337" t="inlineStr">
        <is>
          <t>HALMSTAD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45897</v>
      </c>
      <c r="E338" s="1" t="n">
        <v>46297</v>
      </c>
      <c r="F338" t="inlineStr">
        <is>
          <t>HALLANDS LÄN</t>
        </is>
      </c>
      <c r="G338" t="inlineStr">
        <is>
          <t>HALMSTAD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46297</v>
      </c>
      <c r="F339" t="inlineStr">
        <is>
          <t>HALLANDS LÄN</t>
        </is>
      </c>
      <c r="G339" t="inlineStr">
        <is>
          <t>HALMSTAD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45259</v>
      </c>
      <c r="E340" s="1" t="n">
        <v>46297</v>
      </c>
      <c r="F340" t="inlineStr">
        <is>
          <t>HALLANDS LÄN</t>
        </is>
      </c>
      <c r="G340" t="inlineStr">
        <is>
          <t>HALMSTAD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46297</v>
      </c>
      <c r="F341" t="inlineStr">
        <is>
          <t>HALLANDS LÄN</t>
        </is>
      </c>
      <c r="G341" t="inlineStr">
        <is>
          <t>HALMSTAD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24168-2026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46168</v>
      </c>
      <c r="E342" s="1" t="n">
        <v>46297</v>
      </c>
      <c r="F342" t="inlineStr">
        <is>
          <t>HALLANDS LÄN</t>
        </is>
      </c>
      <c r="G342" t="inlineStr">
        <is>
          <t>HALMSTAD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46297</v>
      </c>
      <c r="F343" t="inlineStr">
        <is>
          <t>HALLANDS LÄN</t>
        </is>
      </c>
      <c r="G343" t="inlineStr">
        <is>
          <t>HALMSTAD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74038-2021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44557</v>
      </c>
      <c r="E344" s="1" t="n">
        <v>46297</v>
      </c>
      <c r="F344" t="inlineStr">
        <is>
          <t>HALLANDS LÄN</t>
        </is>
      </c>
      <c r="G344" t="inlineStr">
        <is>
          <t>HALMSTAD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46297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46297</v>
      </c>
      <c r="F346" t="inlineStr">
        <is>
          <t>HALLANDS LÄN</t>
        </is>
      </c>
      <c r="G346" t="inlineStr">
        <is>
          <t>HALMSTAD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46297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46297</v>
      </c>
      <c r="F348" t="inlineStr">
        <is>
          <t>HALLANDS LÄN</t>
        </is>
      </c>
      <c r="G348" t="inlineStr">
        <is>
          <t>HALMSTAD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46297</v>
      </c>
      <c r="F349" t="inlineStr">
        <is>
          <t>HALLANDS LÄN</t>
        </is>
      </c>
      <c r="G349" t="inlineStr">
        <is>
          <t>HALMSTAD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46173</v>
      </c>
      <c r="E350" s="1" t="n">
        <v>46297</v>
      </c>
      <c r="F350" t="inlineStr">
        <is>
          <t>HALLANDS LÄN</t>
        </is>
      </c>
      <c r="G350" t="inlineStr">
        <is>
          <t>HALMSTAD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46173</v>
      </c>
      <c r="E351" s="1" t="n">
        <v>46297</v>
      </c>
      <c r="F351" t="inlineStr">
        <is>
          <t>HALLANDS LÄN</t>
        </is>
      </c>
      <c r="G351" t="inlineStr">
        <is>
          <t>HALMSTAD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45302</v>
      </c>
      <c r="E352" s="1" t="n">
        <v>46297</v>
      </c>
      <c r="F352" t="inlineStr">
        <is>
          <t>HALLANDS LÄN</t>
        </is>
      </c>
      <c r="G352" t="inlineStr">
        <is>
          <t>HALMSTAD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46176</v>
      </c>
      <c r="E353" s="1" t="n">
        <v>46297</v>
      </c>
      <c r="F353" t="inlineStr">
        <is>
          <t>HALLANDS LÄN</t>
        </is>
      </c>
      <c r="G353" t="inlineStr">
        <is>
          <t>HALMSTAD</t>
        </is>
      </c>
      <c r="I353" t="n">
        <v>17.8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37301-2023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46297</v>
      </c>
      <c r="F354" t="inlineStr">
        <is>
          <t>HALLANDS LÄN</t>
        </is>
      </c>
      <c r="G354" t="inlineStr">
        <is>
          <t>HALMSTAD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46178</v>
      </c>
      <c r="E355" s="1" t="n">
        <v>46297</v>
      </c>
      <c r="F355" t="inlineStr">
        <is>
          <t>HALLANDS LÄN</t>
        </is>
      </c>
      <c r="G355" t="inlineStr">
        <is>
          <t>HALMSTAD</t>
        </is>
      </c>
      <c r="I355" t="n">
        <v>12.6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46297</v>
      </c>
      <c r="F356" t="inlineStr">
        <is>
          <t>HALLANDS LÄN</t>
        </is>
      </c>
      <c r="G356" t="inlineStr">
        <is>
          <t>HALMSTAD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46297</v>
      </c>
      <c r="F357" t="inlineStr">
        <is>
          <t>HALLANDS LÄN</t>
        </is>
      </c>
      <c r="G357" t="inlineStr">
        <is>
          <t>HALMSTAD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46297</v>
      </c>
      <c r="F358" t="inlineStr">
        <is>
          <t>HALLANDS LÄN</t>
        </is>
      </c>
      <c r="G358" t="inlineStr">
        <is>
          <t>HALMSTAD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46176</v>
      </c>
      <c r="E359" s="1" t="n">
        <v>46297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45555</v>
      </c>
      <c r="E360" s="1" t="n">
        <v>46297</v>
      </c>
      <c r="F360" t="inlineStr">
        <is>
          <t>HALLANDS LÄN</t>
        </is>
      </c>
      <c r="G360" t="inlineStr">
        <is>
          <t>HALMSTAD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46297</v>
      </c>
      <c r="F361" t="inlineStr">
        <is>
          <t>HALLANDS LÄN</t>
        </is>
      </c>
      <c r="G361" t="inlineStr">
        <is>
          <t>HALMSTAD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45348</v>
      </c>
      <c r="E362" s="1" t="n">
        <v>46297</v>
      </c>
      <c r="F362" t="inlineStr">
        <is>
          <t>HALLANDS LÄN</t>
        </is>
      </c>
      <c r="G362" t="inlineStr">
        <is>
          <t>HALMSTAD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45170</v>
      </c>
      <c r="E363" s="1" t="n">
        <v>46297</v>
      </c>
      <c r="F363" t="inlineStr">
        <is>
          <t>HALLANDS LÄN</t>
        </is>
      </c>
      <c r="G363" t="inlineStr">
        <is>
          <t>HALMSTAD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44594</v>
      </c>
      <c r="E364" s="1" t="n">
        <v>46297</v>
      </c>
      <c r="F364" t="inlineStr">
        <is>
          <t>HALLANDS LÄN</t>
        </is>
      </c>
      <c r="G364" t="inlineStr">
        <is>
          <t>HALMSTAD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46297</v>
      </c>
      <c r="F365" t="inlineStr">
        <is>
          <t>HALLANDS LÄN</t>
        </is>
      </c>
      <c r="G365" t="inlineStr">
        <is>
          <t>HALMSTAD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46297</v>
      </c>
      <c r="F366" t="inlineStr">
        <is>
          <t>HALLANDS LÄN</t>
        </is>
      </c>
      <c r="G366" t="inlineStr">
        <is>
          <t>HALMSTAD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46297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46297</v>
      </c>
      <c r="F368" t="inlineStr">
        <is>
          <t>HALLANDS LÄN</t>
        </is>
      </c>
      <c r="G368" t="inlineStr">
        <is>
          <t>HALMSTAD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46297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45660</v>
      </c>
      <c r="E370" s="1" t="n">
        <v>46297</v>
      </c>
      <c r="F370" t="inlineStr">
        <is>
          <t>HALLANDS LÄN</t>
        </is>
      </c>
      <c r="G370" t="inlineStr">
        <is>
          <t>HALMSTAD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45316</v>
      </c>
      <c r="E371" s="1" t="n">
        <v>46297</v>
      </c>
      <c r="F371" t="inlineStr">
        <is>
          <t>HALLANDS LÄN</t>
        </is>
      </c>
      <c r="G371" t="inlineStr">
        <is>
          <t>HALMSTAD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46297</v>
      </c>
      <c r="F372" t="inlineStr">
        <is>
          <t>HALLANDS LÄN</t>
        </is>
      </c>
      <c r="G372" t="inlineStr">
        <is>
          <t>HALMSTAD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46297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27202-2026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46297</v>
      </c>
      <c r="F374" t="inlineStr">
        <is>
          <t>HALLANDS LÄN</t>
        </is>
      </c>
      <c r="G374" t="inlineStr">
        <is>
          <t>HALMSTAD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46297</v>
      </c>
      <c r="F375" t="inlineStr">
        <is>
          <t>HALLANDS LÄN</t>
        </is>
      </c>
      <c r="G375" t="inlineStr">
        <is>
          <t>HALMSTAD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46297</v>
      </c>
      <c r="F376" t="inlineStr">
        <is>
          <t>HALLANDS LÄN</t>
        </is>
      </c>
      <c r="G376" t="inlineStr">
        <is>
          <t>HALMSTAD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46297</v>
      </c>
      <c r="F377" t="inlineStr">
        <is>
          <t>HALLANDS LÄN</t>
        </is>
      </c>
      <c r="G377" t="inlineStr">
        <is>
          <t>HALMSTAD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27180-2026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46297</v>
      </c>
      <c r="F378" t="inlineStr">
        <is>
          <t>HALLANDS LÄN</t>
        </is>
      </c>
      <c r="G378" t="inlineStr">
        <is>
          <t>HALMSTAD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46297</v>
      </c>
      <c r="F379" t="inlineStr">
        <is>
          <t>HALLANDS LÄN</t>
        </is>
      </c>
      <c r="G379" t="inlineStr">
        <is>
          <t>HALMSTAD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46297</v>
      </c>
      <c r="F380" t="inlineStr">
        <is>
          <t>HALLANDS LÄN</t>
        </is>
      </c>
      <c r="G380" t="inlineStr">
        <is>
          <t>HALMSTAD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46297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45681</v>
      </c>
      <c r="E382" s="1" t="n">
        <v>46297</v>
      </c>
      <c r="F382" t="inlineStr">
        <is>
          <t>HALLANDS LÄN</t>
        </is>
      </c>
      <c r="G382" t="inlineStr">
        <is>
          <t>HALMSTAD</t>
        </is>
      </c>
      <c r="H382" t="inlineStr">
        <is>
          <t>Kommuner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45681</v>
      </c>
      <c r="E383" s="1" t="n">
        <v>46297</v>
      </c>
      <c r="F383" t="inlineStr">
        <is>
          <t>HALLANDS LÄN</t>
        </is>
      </c>
      <c r="G383" t="inlineStr">
        <is>
          <t>HALMSTAD</t>
        </is>
      </c>
      <c r="H383" t="inlineStr">
        <is>
          <t>Kommuner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7542-2026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46297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46297</v>
      </c>
      <c r="F385" t="inlineStr">
        <is>
          <t>HALLANDS LÄN</t>
        </is>
      </c>
      <c r="G385" t="inlineStr">
        <is>
          <t>HALMSTAD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46297</v>
      </c>
      <c r="F386" t="inlineStr">
        <is>
          <t>HALLANDS LÄN</t>
        </is>
      </c>
      <c r="G386" t="inlineStr">
        <is>
          <t>HALMSTAD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46297</v>
      </c>
      <c r="F387" t="inlineStr">
        <is>
          <t>HALLANDS LÄN</t>
        </is>
      </c>
      <c r="G387" t="inlineStr">
        <is>
          <t>HALMSTAD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45217</v>
      </c>
      <c r="E388" s="1" t="n">
        <v>46297</v>
      </c>
      <c r="F388" t="inlineStr">
        <is>
          <t>HALLANDS LÄN</t>
        </is>
      </c>
      <c r="G388" t="inlineStr">
        <is>
          <t>HALMSTAD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46297</v>
      </c>
      <c r="F389" t="inlineStr">
        <is>
          <t>HALLANDS LÄN</t>
        </is>
      </c>
      <c r="G389" t="inlineStr">
        <is>
          <t>HALMSTAD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44721</v>
      </c>
      <c r="E390" s="1" t="n">
        <v>46297</v>
      </c>
      <c r="F390" t="inlineStr">
        <is>
          <t>HALLANDS LÄN</t>
        </is>
      </c>
      <c r="G390" t="inlineStr">
        <is>
          <t>HALMSTAD</t>
        </is>
      </c>
      <c r="I390" t="n">
        <v>7.9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58980-2024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46297</v>
      </c>
      <c r="F391" t="inlineStr">
        <is>
          <t>HALLANDS LÄN</t>
        </is>
      </c>
      <c r="G391" t="inlineStr">
        <is>
          <t>HALMSTAD</t>
        </is>
      </c>
      <c r="H391" t="inlineStr">
        <is>
          <t>Kommuner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58983-2024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46297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28538-2026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46197</v>
      </c>
      <c r="E393" s="1" t="n">
        <v>46297</v>
      </c>
      <c r="F393" t="inlineStr">
        <is>
          <t>HALLANDS LÄN</t>
        </is>
      </c>
      <c r="G393" t="inlineStr">
        <is>
          <t>HALMSTAD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46297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15545-2022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44662</v>
      </c>
      <c r="E395" s="1" t="n">
        <v>46297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45401</v>
      </c>
      <c r="E396" s="1" t="n">
        <v>46297</v>
      </c>
      <c r="F396" t="inlineStr">
        <is>
          <t>HALLANDS LÄN</t>
        </is>
      </c>
      <c r="G396" t="inlineStr">
        <is>
          <t>HALMSTAD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46297</v>
      </c>
      <c r="F397" t="inlineStr">
        <is>
          <t>HALLANDS LÄN</t>
        </is>
      </c>
      <c r="G397" t="inlineStr">
        <is>
          <t>HALMSTAD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46297</v>
      </c>
      <c r="F398" t="inlineStr">
        <is>
          <t>HALLANDS LÄN</t>
        </is>
      </c>
      <c r="G398" t="inlineStr">
        <is>
          <t>HALMSTAD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23772-2022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44722</v>
      </c>
      <c r="E399" s="1" t="n">
        <v>46297</v>
      </c>
      <c r="F399" t="inlineStr">
        <is>
          <t>HALLANDS LÄN</t>
        </is>
      </c>
      <c r="G399" t="inlineStr">
        <is>
          <t>HALMSTAD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46297</v>
      </c>
      <c r="F400" t="inlineStr">
        <is>
          <t>HALLANDS LÄN</t>
        </is>
      </c>
      <c r="G400" t="inlineStr">
        <is>
          <t>HALMSTAD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45209</v>
      </c>
      <c r="E401" s="1" t="n">
        <v>46297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45733</v>
      </c>
      <c r="E402" s="1" t="n">
        <v>46297</v>
      </c>
      <c r="F402" t="inlineStr">
        <is>
          <t>HALLANDS LÄN</t>
        </is>
      </c>
      <c r="G402" t="inlineStr">
        <is>
          <t>HALMSTAD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43264-2023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45183</v>
      </c>
      <c r="E403" s="1" t="n">
        <v>46297</v>
      </c>
      <c r="F403" t="inlineStr">
        <is>
          <t>HALLANDS LÄN</t>
        </is>
      </c>
      <c r="G403" t="inlineStr">
        <is>
          <t>HALMSTAD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35376-2024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46297</v>
      </c>
      <c r="F404" t="inlineStr">
        <is>
          <t>HALLANDS LÄN</t>
        </is>
      </c>
      <c r="G404" t="inlineStr">
        <is>
          <t>HALMSTAD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27505-2022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44742</v>
      </c>
      <c r="E405" s="1" t="n">
        <v>46297</v>
      </c>
      <c r="F405" t="inlineStr">
        <is>
          <t>HALLANDS LÄN</t>
        </is>
      </c>
      <c r="G405" t="inlineStr">
        <is>
          <t>HALMSTAD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43269-2023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46297</v>
      </c>
      <c r="F406" t="inlineStr">
        <is>
          <t>HALLANDS LÄN</t>
        </is>
      </c>
      <c r="G406" t="inlineStr">
        <is>
          <t>HALMSTAD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55596-2023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46297</v>
      </c>
      <c r="F407" t="inlineStr">
        <is>
          <t>HALLANDS LÄN</t>
        </is>
      </c>
      <c r="G407" t="inlineStr">
        <is>
          <t>HALMSTAD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46297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45239</v>
      </c>
      <c r="E409" s="1" t="n">
        <v>46297</v>
      </c>
      <c r="F409" t="inlineStr">
        <is>
          <t>HALLANDS LÄN</t>
        </is>
      </c>
      <c r="G409" t="inlineStr">
        <is>
          <t>HALMSTAD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30489-2026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46297</v>
      </c>
      <c r="F410" t="inlineStr">
        <is>
          <t>HALLANDS LÄN</t>
        </is>
      </c>
      <c r="G410" t="inlineStr">
        <is>
          <t>HALMSTAD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46297</v>
      </c>
      <c r="F411" t="inlineStr">
        <is>
          <t>HALLANDS LÄN</t>
        </is>
      </c>
      <c r="G411" t="inlineStr">
        <is>
          <t>HALMSTAD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45049</v>
      </c>
      <c r="E412" s="1" t="n">
        <v>46297</v>
      </c>
      <c r="F412" t="inlineStr">
        <is>
          <t>HALLANDS LÄN</t>
        </is>
      </c>
      <c r="G412" t="inlineStr">
        <is>
          <t>HALMSTAD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46297</v>
      </c>
      <c r="F413" t="inlineStr">
        <is>
          <t>HALLANDS LÄN</t>
        </is>
      </c>
      <c r="G413" t="inlineStr">
        <is>
          <t>HALMSTAD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46297</v>
      </c>
      <c r="F414" t="inlineStr">
        <is>
          <t>HALLANDS LÄN</t>
        </is>
      </c>
      <c r="G414" t="inlineStr">
        <is>
          <t>HALMSTAD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46297</v>
      </c>
      <c r="F415" t="inlineStr">
        <is>
          <t>HALLANDS LÄN</t>
        </is>
      </c>
      <c r="G415" t="inlineStr">
        <is>
          <t>HALMSTAD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46297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46297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46210</v>
      </c>
      <c r="E418" s="1" t="n">
        <v>46297</v>
      </c>
      <c r="F418" t="inlineStr">
        <is>
          <t>HALLANDS LÄN</t>
        </is>
      </c>
      <c r="G418" t="inlineStr">
        <is>
          <t>HALMSTAD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46297</v>
      </c>
      <c r="F419" t="inlineStr">
        <is>
          <t>HALLANDS LÄN</t>
        </is>
      </c>
      <c r="G419" t="inlineStr">
        <is>
          <t>HALMSTAD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46297</v>
      </c>
      <c r="F420" t="inlineStr">
        <is>
          <t>HALLANDS LÄN</t>
        </is>
      </c>
      <c r="G420" t="inlineStr">
        <is>
          <t>HALMSTAD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34763-2026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46297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60323-2022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44910</v>
      </c>
      <c r="E422" s="1" t="n">
        <v>46297</v>
      </c>
      <c r="F422" t="inlineStr">
        <is>
          <t>HALLANDS LÄN</t>
        </is>
      </c>
      <c r="G422" t="inlineStr">
        <is>
          <t>HALMSTAD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46254</v>
      </c>
      <c r="E423" s="1" t="n">
        <v>46297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46258</v>
      </c>
      <c r="E424" s="1" t="n">
        <v>46297</v>
      </c>
      <c r="F424" t="inlineStr">
        <is>
          <t>HALLANDS LÄN</t>
        </is>
      </c>
      <c r="G424" t="inlineStr">
        <is>
          <t>HALMSTAD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46297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45126</v>
      </c>
      <c r="E426" s="1" t="n">
        <v>46297</v>
      </c>
      <c r="F426" t="inlineStr">
        <is>
          <t>HALLANDS LÄN</t>
        </is>
      </c>
      <c r="G426" t="inlineStr">
        <is>
          <t>HALMSTAD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22149-2022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44712</v>
      </c>
      <c r="E427" s="1" t="n">
        <v>46297</v>
      </c>
      <c r="F427" t="inlineStr">
        <is>
          <t>HALLANDS LÄN</t>
        </is>
      </c>
      <c r="G427" t="inlineStr">
        <is>
          <t>HALMSTAD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46297</v>
      </c>
      <c r="F428" t="inlineStr">
        <is>
          <t>HALLANDS LÄN</t>
        </is>
      </c>
      <c r="G428" t="inlineStr">
        <is>
          <t>HALMSTAD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46259</v>
      </c>
      <c r="E429" s="1" t="n">
        <v>46297</v>
      </c>
      <c r="F429" t="inlineStr">
        <is>
          <t>HALLANDS LÄN</t>
        </is>
      </c>
      <c r="G429" t="inlineStr">
        <is>
          <t>HALMSTAD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45257</v>
      </c>
      <c r="E430" s="1" t="n">
        <v>46297</v>
      </c>
      <c r="F430" t="inlineStr">
        <is>
          <t>HALLANDS LÄN</t>
        </is>
      </c>
      <c r="G430" t="inlineStr">
        <is>
          <t>HALMSTAD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46297</v>
      </c>
      <c r="F431" t="inlineStr">
        <is>
          <t>HALLANDS LÄN</t>
        </is>
      </c>
      <c r="G431" t="inlineStr">
        <is>
          <t>HALMSTAD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46297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46297</v>
      </c>
      <c r="F433" t="inlineStr">
        <is>
          <t>HALLANDS LÄN</t>
        </is>
      </c>
      <c r="G433" t="inlineStr">
        <is>
          <t>HALMSTAD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45267</v>
      </c>
      <c r="E434" s="1" t="n">
        <v>46297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46265</v>
      </c>
      <c r="E435" s="1" t="n">
        <v>46297</v>
      </c>
      <c r="F435" t="inlineStr">
        <is>
          <t>HALLANDS LÄN</t>
        </is>
      </c>
      <c r="G435" t="inlineStr">
        <is>
          <t>HALMSTAD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60394-2023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45259</v>
      </c>
      <c r="E436" s="1" t="n">
        <v>46297</v>
      </c>
      <c r="F436" t="inlineStr">
        <is>
          <t>HALLANDS LÄN</t>
        </is>
      </c>
      <c r="G436" t="inlineStr">
        <is>
          <t>HALMSTAD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41951-2022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44830</v>
      </c>
      <c r="E437" s="1" t="n">
        <v>46297</v>
      </c>
      <c r="F437" t="inlineStr">
        <is>
          <t>HALLANDS LÄN</t>
        </is>
      </c>
      <c r="G437" t="inlineStr">
        <is>
          <t>HALMSTAD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64136-2023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45279</v>
      </c>
      <c r="E438" s="1" t="n">
        <v>46297</v>
      </c>
      <c r="F438" t="inlineStr">
        <is>
          <t>HALLANDS LÄN</t>
        </is>
      </c>
      <c r="G438" t="inlineStr">
        <is>
          <t>HALMSTAD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40542-2023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46297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46297</v>
      </c>
      <c r="F440" t="inlineStr">
        <is>
          <t>HALLANDS LÄN</t>
        </is>
      </c>
      <c r="G440" t="inlineStr">
        <is>
          <t>HALMSTAD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45677</v>
      </c>
      <c r="E441" s="1" t="n">
        <v>46297</v>
      </c>
      <c r="F441" t="inlineStr">
        <is>
          <t>HALLANDS LÄN</t>
        </is>
      </c>
      <c r="G441" t="inlineStr">
        <is>
          <t>HALMSTAD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51190-2022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44868</v>
      </c>
      <c r="E442" s="1" t="n">
        <v>46297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46297</v>
      </c>
      <c r="F443" t="inlineStr">
        <is>
          <t>HALLANDS LÄN</t>
        </is>
      </c>
      <c r="G443" t="inlineStr">
        <is>
          <t>HALMSTAD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46297</v>
      </c>
      <c r="F444" t="inlineStr">
        <is>
          <t>HALLANDS LÄN</t>
        </is>
      </c>
      <c r="G444" t="inlineStr">
        <is>
          <t>HALMSTAD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46297</v>
      </c>
      <c r="F445" t="inlineStr">
        <is>
          <t>HALLANDS LÄN</t>
        </is>
      </c>
      <c r="G445" t="inlineStr">
        <is>
          <t>HALMSTAD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55800-2023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46297</v>
      </c>
      <c r="F446" t="inlineStr">
        <is>
          <t>HALLANDS LÄN</t>
        </is>
      </c>
      <c r="G446" t="inlineStr">
        <is>
          <t>HALMSTAD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13331-2024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45386</v>
      </c>
      <c r="E447" s="1" t="n">
        <v>46297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37186-2026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46297</v>
      </c>
      <c r="F448" t="inlineStr">
        <is>
          <t>HALLANDS LÄN</t>
        </is>
      </c>
      <c r="G448" t="inlineStr">
        <is>
          <t>HALMSTAD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45450</v>
      </c>
      <c r="E449" s="1" t="n">
        <v>46297</v>
      </c>
      <c r="F449" t="inlineStr">
        <is>
          <t>HALLANDS LÄN</t>
        </is>
      </c>
      <c r="G449" t="inlineStr">
        <is>
          <t>HALMSTAD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62131-2023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45267</v>
      </c>
      <c r="E450" s="1" t="n">
        <v>46297</v>
      </c>
      <c r="F450" t="inlineStr">
        <is>
          <t>HALLANDS LÄN</t>
        </is>
      </c>
      <c r="G450" t="inlineStr">
        <is>
          <t>HALMSTAD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45329</v>
      </c>
      <c r="E451" s="1" t="n">
        <v>46297</v>
      </c>
      <c r="F451" t="inlineStr">
        <is>
          <t>HALLANDS LÄN</t>
        </is>
      </c>
      <c r="G451" t="inlineStr">
        <is>
          <t>HALMSTAD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57037-2021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44482</v>
      </c>
      <c r="E452" s="1" t="n">
        <v>46297</v>
      </c>
      <c r="F452" t="inlineStr">
        <is>
          <t>HALLANDS LÄN</t>
        </is>
      </c>
      <c r="G452" t="inlineStr">
        <is>
          <t>HALMSTAD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19468-2024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45429</v>
      </c>
      <c r="E453" s="1" t="n">
        <v>46297</v>
      </c>
      <c r="F453" t="inlineStr">
        <is>
          <t>HALLANDS LÄN</t>
        </is>
      </c>
      <c r="G453" t="inlineStr">
        <is>
          <t>HALMSTAD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62766-2023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45268</v>
      </c>
      <c r="E454" s="1" t="n">
        <v>46297</v>
      </c>
      <c r="F454" t="inlineStr">
        <is>
          <t>HALLANDS LÄN</t>
        </is>
      </c>
      <c r="G454" t="inlineStr">
        <is>
          <t>HALMSTAD</t>
        </is>
      </c>
      <c r="H454" t="inlineStr">
        <is>
          <t>Sveaskog</t>
        </is>
      </c>
      <c r="I454" t="n">
        <v>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53763-2022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44875</v>
      </c>
      <c r="E455" s="1" t="n">
        <v>46297</v>
      </c>
      <c r="F455" t="inlineStr">
        <is>
          <t>HALLANDS LÄN</t>
        </is>
      </c>
      <c r="G455" t="inlineStr">
        <is>
          <t>HALMSTAD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44595</v>
      </c>
      <c r="E456" s="1" t="n">
        <v>46297</v>
      </c>
      <c r="F456" t="inlineStr">
        <is>
          <t>HALLANDS LÄN</t>
        </is>
      </c>
      <c r="G456" t="inlineStr">
        <is>
          <t>HALMSTAD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15678-2024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45404</v>
      </c>
      <c r="E457" s="1" t="n">
        <v>46297</v>
      </c>
      <c r="F457" t="inlineStr">
        <is>
          <t>HALLANDS LÄN</t>
        </is>
      </c>
      <c r="G457" t="inlineStr">
        <is>
          <t>HALMSTAD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64231-2023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45279</v>
      </c>
      <c r="E458" s="1" t="n">
        <v>46297</v>
      </c>
      <c r="F458" t="inlineStr">
        <is>
          <t>HALLANDS LÄN</t>
        </is>
      </c>
      <c r="G458" t="inlineStr">
        <is>
          <t>HALMSTAD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44827</v>
      </c>
      <c r="E459" s="1" t="n">
        <v>46297</v>
      </c>
      <c r="F459" t="inlineStr">
        <is>
          <t>HALLANDS LÄN</t>
        </is>
      </c>
      <c r="G459" t="inlineStr">
        <is>
          <t>HALMSTAD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59762-2023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45257</v>
      </c>
      <c r="E460" s="1" t="n">
        <v>46297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46297</v>
      </c>
      <c r="F461" t="inlineStr">
        <is>
          <t>HALLANDS LÄN</t>
        </is>
      </c>
      <c r="G461" t="inlineStr">
        <is>
          <t>HALMSTAD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44806</v>
      </c>
      <c r="E462" s="1" t="n">
        <v>46297</v>
      </c>
      <c r="F462" t="inlineStr">
        <is>
          <t>HALLANDS LÄN</t>
        </is>
      </c>
      <c r="G462" t="inlineStr">
        <is>
          <t>HALMSTAD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19087-2022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44691</v>
      </c>
      <c r="E463" s="1" t="n">
        <v>46297</v>
      </c>
      <c r="F463" t="inlineStr">
        <is>
          <t>HALLANDS LÄN</t>
        </is>
      </c>
      <c r="G463" t="inlineStr">
        <is>
          <t>HALMSTAD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22710-2023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45071</v>
      </c>
      <c r="E464" s="1" t="n">
        <v>46297</v>
      </c>
      <c r="F464" t="inlineStr">
        <is>
          <t>HALLANDS LÄN</t>
        </is>
      </c>
      <c r="G464" t="inlineStr">
        <is>
          <t>HALMSTAD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57013-2021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44482</v>
      </c>
      <c r="E465" s="1" t="n">
        <v>46297</v>
      </c>
      <c r="F465" t="inlineStr">
        <is>
          <t>HALLANDS LÄN</t>
        </is>
      </c>
      <c r="G465" t="inlineStr">
        <is>
          <t>HALMSTAD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57021-2021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44482</v>
      </c>
      <c r="E466" s="1" t="n">
        <v>46297</v>
      </c>
      <c r="F466" t="inlineStr">
        <is>
          <t>HALLANDS LÄN</t>
        </is>
      </c>
      <c r="G466" t="inlineStr">
        <is>
          <t>HALMSTAD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6947-2023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46297</v>
      </c>
      <c r="F467" t="inlineStr">
        <is>
          <t>HALLANDS LÄN</t>
        </is>
      </c>
      <c r="G467" t="inlineStr">
        <is>
          <t>HALMSTAD</t>
        </is>
      </c>
      <c r="H467" t="inlineStr">
        <is>
          <t>Bergvik skog väst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46297</v>
      </c>
      <c r="F468" t="inlineStr">
        <is>
          <t>HALLANDS LÄN</t>
        </is>
      </c>
      <c r="G468" t="inlineStr">
        <is>
          <t>HALMSTAD</t>
        </is>
      </c>
      <c r="H468" t="inlineStr">
        <is>
          <t>Bergvik skog väst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45408</v>
      </c>
      <c r="E469" s="1" t="n">
        <v>46297</v>
      </c>
      <c r="F469" t="inlineStr">
        <is>
          <t>HALLANDS LÄN</t>
        </is>
      </c>
      <c r="G469" t="inlineStr">
        <is>
          <t>HALMSTAD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50387-2023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45216</v>
      </c>
      <c r="E470" s="1" t="n">
        <v>46297</v>
      </c>
      <c r="F470" t="inlineStr">
        <is>
          <t>HALLANDS LÄN</t>
        </is>
      </c>
      <c r="G470" t="inlineStr">
        <is>
          <t>HALMSTAD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46276</v>
      </c>
      <c r="E471" s="1" t="n">
        <v>46297</v>
      </c>
      <c r="F471" t="inlineStr">
        <is>
          <t>HALLANDS LÄN</t>
        </is>
      </c>
      <c r="G471" t="inlineStr">
        <is>
          <t>HALMSTAD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40601-2023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45168</v>
      </c>
      <c r="E472" s="1" t="n">
        <v>46297</v>
      </c>
      <c r="F472" t="inlineStr">
        <is>
          <t>HALLANDS LÄN</t>
        </is>
      </c>
      <c r="G472" t="inlineStr">
        <is>
          <t>HALMSTAD</t>
        </is>
      </c>
      <c r="H472" t="inlineStr">
        <is>
          <t>Kommuner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22419-2022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44713</v>
      </c>
      <c r="E473" s="1" t="n">
        <v>46297</v>
      </c>
      <c r="F473" t="inlineStr">
        <is>
          <t>HALLANDS LÄN</t>
        </is>
      </c>
      <c r="G473" t="inlineStr">
        <is>
          <t>HALMSTAD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35185-2026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46260</v>
      </c>
      <c r="E474" s="1" t="n">
        <v>46297</v>
      </c>
      <c r="F474" t="inlineStr">
        <is>
          <t>HALLANDS LÄN</t>
        </is>
      </c>
      <c r="G474" t="inlineStr">
        <is>
          <t>HALMSTAD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46297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46288</v>
      </c>
      <c r="E476" s="1" t="n">
        <v>46297</v>
      </c>
      <c r="F476" t="inlineStr">
        <is>
          <t>HALLANDS LÄN</t>
        </is>
      </c>
      <c r="G476" t="inlineStr">
        <is>
          <t>HALMSTAD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10263-2022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44622</v>
      </c>
      <c r="E477" s="1" t="n">
        <v>46297</v>
      </c>
      <c r="F477" t="inlineStr">
        <is>
          <t>HALLANDS LÄN</t>
        </is>
      </c>
      <c r="G477" t="inlineStr">
        <is>
          <t>HALMSTAD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46297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54008-2023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46297</v>
      </c>
      <c r="F479" t="inlineStr">
        <is>
          <t>HALLANDS LÄN</t>
        </is>
      </c>
      <c r="G479" t="inlineStr">
        <is>
          <t>HALMSTAD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62170-2023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45267</v>
      </c>
      <c r="E480" s="1" t="n">
        <v>46297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47198-2022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44852</v>
      </c>
      <c r="E481" s="1" t="n">
        <v>46297</v>
      </c>
      <c r="F481" t="inlineStr">
        <is>
          <t>HALLANDS LÄN</t>
        </is>
      </c>
      <c r="G481" t="inlineStr">
        <is>
          <t>HALMSTAD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46297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4005-2024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45323</v>
      </c>
      <c r="E483" s="1" t="n">
        <v>46297</v>
      </c>
      <c r="F483" t="inlineStr">
        <is>
          <t>HALLANDS LÄN</t>
        </is>
      </c>
      <c r="G483" t="inlineStr">
        <is>
          <t>HALMSTAD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45632</v>
      </c>
      <c r="E484" s="1" t="n">
        <v>46297</v>
      </c>
      <c r="F484" t="inlineStr">
        <is>
          <t>HALLANDS LÄN</t>
        </is>
      </c>
      <c r="G484" t="inlineStr">
        <is>
          <t>HALMSTAD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22146-2022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44712</v>
      </c>
      <c r="E485" s="1" t="n">
        <v>46297</v>
      </c>
      <c r="F485" t="inlineStr">
        <is>
          <t>HALLANDS LÄN</t>
        </is>
      </c>
      <c r="G485" t="inlineStr">
        <is>
          <t>HALMSTAD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45050</v>
      </c>
      <c r="E486" s="1" t="n">
        <v>46297</v>
      </c>
      <c r="F486" t="inlineStr">
        <is>
          <t>HALLANDS LÄN</t>
        </is>
      </c>
      <c r="G486" t="inlineStr">
        <is>
          <t>HALMSTAD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45099</v>
      </c>
      <c r="E487" s="1" t="n">
        <v>46297</v>
      </c>
      <c r="F487" t="inlineStr">
        <is>
          <t>HALLANDS LÄN</t>
        </is>
      </c>
      <c r="G487" t="inlineStr">
        <is>
          <t>HALMSTAD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6942-2023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44964</v>
      </c>
      <c r="E488" s="1" t="n">
        <v>46297</v>
      </c>
      <c r="F488" t="inlineStr">
        <is>
          <t>HALLANDS LÄN</t>
        </is>
      </c>
      <c r="G488" t="inlineStr">
        <is>
          <t>HALMSTAD</t>
        </is>
      </c>
      <c r="H488" t="inlineStr">
        <is>
          <t>Bergvik skog väst AB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40561-2023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45168</v>
      </c>
      <c r="E489" s="1" t="n">
        <v>46297</v>
      </c>
      <c r="F489" t="inlineStr">
        <is>
          <t>HALLANDS LÄN</t>
        </is>
      </c>
      <c r="G489" t="inlineStr">
        <is>
          <t>HALMSTAD</t>
        </is>
      </c>
      <c r="H489" t="inlineStr">
        <is>
          <t>Kommuner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46297</v>
      </c>
      <c r="F490" t="inlineStr">
        <is>
          <t>HALLANDS LÄN</t>
        </is>
      </c>
      <c r="G490" t="inlineStr">
        <is>
          <t>HALMSTAD</t>
        </is>
      </c>
      <c r="H490" t="inlineStr">
        <is>
          <t>Kommuner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46276</v>
      </c>
      <c r="E491" s="1" t="n">
        <v>46297</v>
      </c>
      <c r="F491" t="inlineStr">
        <is>
          <t>HALLANDS LÄN</t>
        </is>
      </c>
      <c r="G491" t="inlineStr">
        <is>
          <t>HALMSTAD</t>
        </is>
      </c>
      <c r="I491" t="n">
        <v>13.4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40359-2023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45169</v>
      </c>
      <c r="E492" s="1" t="n">
        <v>46297</v>
      </c>
      <c r="F492" t="inlineStr">
        <is>
          <t>HALLANDS LÄN</t>
        </is>
      </c>
      <c r="G492" t="inlineStr">
        <is>
          <t>HALMSTAD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46297</v>
      </c>
      <c r="F493" t="inlineStr">
        <is>
          <t>HALLANDS LÄN</t>
        </is>
      </c>
      <c r="G493" t="inlineStr">
        <is>
          <t>HALMSTAD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40669-2023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46297</v>
      </c>
      <c r="F494" t="inlineStr">
        <is>
          <t>HALLANDS LÄN</t>
        </is>
      </c>
      <c r="G494" t="inlineStr">
        <is>
          <t>HALMSTAD</t>
        </is>
      </c>
      <c r="H494" t="inlineStr">
        <is>
          <t>Kommuner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46296</v>
      </c>
      <c r="E495" s="1" t="n">
        <v>46297</v>
      </c>
      <c r="F495" t="inlineStr">
        <is>
          <t>HALLANDS LÄN</t>
        </is>
      </c>
      <c r="G495" t="inlineStr">
        <is>
          <t>HALMSTAD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46265</v>
      </c>
      <c r="E496" s="1" t="n">
        <v>46297</v>
      </c>
      <c r="F496" t="inlineStr">
        <is>
          <t>HALLANDS LÄN</t>
        </is>
      </c>
      <c r="G496" t="inlineStr">
        <is>
          <t>HALMSTAD</t>
        </is>
      </c>
      <c r="I496" t="n">
        <v>10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64230-2023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45279</v>
      </c>
      <c r="E497" s="1" t="n">
        <v>46297</v>
      </c>
      <c r="F497" t="inlineStr">
        <is>
          <t>HALLANDS LÄN</t>
        </is>
      </c>
      <c r="G497" t="inlineStr">
        <is>
          <t>HALMSTAD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40681-2026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46296</v>
      </c>
      <c r="E498" s="1" t="n">
        <v>46297</v>
      </c>
      <c r="F498" t="inlineStr">
        <is>
          <t>HALLANDS LÄN</t>
        </is>
      </c>
      <c r="G498" t="inlineStr">
        <is>
          <t>HALMSTAD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46297</v>
      </c>
      <c r="F499" t="inlineStr">
        <is>
          <t>HALLANDS LÄN</t>
        </is>
      </c>
      <c r="G499" t="inlineStr">
        <is>
          <t>HALMSTAD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46253</v>
      </c>
      <c r="E500" s="1" t="n">
        <v>46297</v>
      </c>
      <c r="F500" t="inlineStr">
        <is>
          <t>HALLANDS LÄN</t>
        </is>
      </c>
      <c r="G500" t="inlineStr">
        <is>
          <t>HALMSTAD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46297</v>
      </c>
      <c r="F501" t="inlineStr">
        <is>
          <t>HALLANDS LÄN</t>
        </is>
      </c>
      <c r="G501" t="inlineStr">
        <is>
          <t>HALMSTAD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58737-2023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45251</v>
      </c>
      <c r="E502" s="1" t="n">
        <v>46297</v>
      </c>
      <c r="F502" t="inlineStr">
        <is>
          <t>HALLANDS LÄN</t>
        </is>
      </c>
      <c r="G502" t="inlineStr">
        <is>
          <t>HALMSTAD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46104-2023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45196</v>
      </c>
      <c r="E503" s="1" t="n">
        <v>46297</v>
      </c>
      <c r="F503" t="inlineStr">
        <is>
          <t>HALLANDS LÄN</t>
        </is>
      </c>
      <c r="G503" t="inlineStr">
        <is>
          <t>HALMSTAD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45335</v>
      </c>
      <c r="E504" s="1" t="n">
        <v>46297</v>
      </c>
      <c r="F504" t="inlineStr">
        <is>
          <t>HALLANDS LÄN</t>
        </is>
      </c>
      <c r="G504" t="inlineStr">
        <is>
          <t>HALMSTAD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46297</v>
      </c>
      <c r="F505" t="inlineStr">
        <is>
          <t>HALLANDS LÄN</t>
        </is>
      </c>
      <c r="G505" t="inlineStr">
        <is>
          <t>HALMSTAD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45316</v>
      </c>
      <c r="E506" s="1" t="n">
        <v>46297</v>
      </c>
      <c r="F506" t="inlineStr">
        <is>
          <t>HALLANDS LÄN</t>
        </is>
      </c>
      <c r="G506" t="inlineStr">
        <is>
          <t>HALMSTAD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42201-2024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45562</v>
      </c>
      <c r="E507" s="1" t="n">
        <v>46297</v>
      </c>
      <c r="F507" t="inlineStr">
        <is>
          <t>HALLANDS LÄN</t>
        </is>
      </c>
      <c r="G507" t="inlineStr">
        <is>
          <t>HALMSTAD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46297</v>
      </c>
      <c r="F508" t="inlineStr">
        <is>
          <t>HALLANDS LÄN</t>
        </is>
      </c>
      <c r="G508" t="inlineStr">
        <is>
          <t>HALMSTAD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48022-2024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45589</v>
      </c>
      <c r="E509" s="1" t="n">
        <v>46297</v>
      </c>
      <c r="F509" t="inlineStr">
        <is>
          <t>HALLANDS LÄN</t>
        </is>
      </c>
      <c r="G509" t="inlineStr">
        <is>
          <t>HALMSTAD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21723-2023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45065</v>
      </c>
      <c r="E510" s="1" t="n">
        <v>46297</v>
      </c>
      <c r="F510" t="inlineStr">
        <is>
          <t>HALLANDS LÄN</t>
        </is>
      </c>
      <c r="G510" t="inlineStr">
        <is>
          <t>HALMSTAD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24103-2023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45079</v>
      </c>
      <c r="E511" s="1" t="n">
        <v>46297</v>
      </c>
      <c r="F511" t="inlineStr">
        <is>
          <t>HALLANDS LÄN</t>
        </is>
      </c>
      <c r="G511" t="inlineStr">
        <is>
          <t>HALMSTAD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40629-2023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45168</v>
      </c>
      <c r="E512" s="1" t="n">
        <v>46297</v>
      </c>
      <c r="F512" t="inlineStr">
        <is>
          <t>HALLANDS LÄN</t>
        </is>
      </c>
      <c r="G512" t="inlineStr">
        <is>
          <t>HALMSTAD</t>
        </is>
      </c>
      <c r="H512" t="inlineStr">
        <is>
          <t>Kommuner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8679-2025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45712</v>
      </c>
      <c r="E513" s="1" t="n">
        <v>46297</v>
      </c>
      <c r="F513" t="inlineStr">
        <is>
          <t>HALLANDS LÄN</t>
        </is>
      </c>
      <c r="G513" t="inlineStr">
        <is>
          <t>HALMSTAD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45170</v>
      </c>
      <c r="E514" s="1" t="n">
        <v>46297</v>
      </c>
      <c r="F514" t="inlineStr">
        <is>
          <t>HALLANDS LÄN</t>
        </is>
      </c>
      <c r="G514" t="inlineStr">
        <is>
          <t>HALMSTAD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60032-2023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46297</v>
      </c>
      <c r="F515" t="inlineStr">
        <is>
          <t>HALLANDS LÄN</t>
        </is>
      </c>
      <c r="G515" t="inlineStr">
        <is>
          <t>HALMSTAD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66730-2021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44520</v>
      </c>
      <c r="E516" s="1" t="n">
        <v>46297</v>
      </c>
      <c r="F516" t="inlineStr">
        <is>
          <t>HALLANDS LÄN</t>
        </is>
      </c>
      <c r="G516" t="inlineStr">
        <is>
          <t>HALMSTAD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45680</v>
      </c>
      <c r="E517" s="1" t="n">
        <v>46297</v>
      </c>
      <c r="F517" t="inlineStr">
        <is>
          <t>HALLANDS LÄN</t>
        </is>
      </c>
      <c r="G517" t="inlineStr">
        <is>
          <t>HALMSTAD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45329</v>
      </c>
      <c r="E518" s="1" t="n">
        <v>46297</v>
      </c>
      <c r="F518" t="inlineStr">
        <is>
          <t>HALLANDS LÄN</t>
        </is>
      </c>
      <c r="G518" t="inlineStr">
        <is>
          <t>HALMSTAD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45734</v>
      </c>
      <c r="E519" s="1" t="n">
        <v>46297</v>
      </c>
      <c r="F519" t="inlineStr">
        <is>
          <t>HALLANDS LÄN</t>
        </is>
      </c>
      <c r="G519" t="inlineStr">
        <is>
          <t>HALMSTAD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9149-2024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45358</v>
      </c>
      <c r="E520" s="1" t="n">
        <v>46297</v>
      </c>
      <c r="F520" t="inlineStr">
        <is>
          <t>HALLANDS LÄN</t>
        </is>
      </c>
      <c r="G520" t="inlineStr">
        <is>
          <t>HALMSTAD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45415</v>
      </c>
      <c r="E521" s="1" t="n">
        <v>46297</v>
      </c>
      <c r="F521" t="inlineStr">
        <is>
          <t>HALLANDS LÄN</t>
        </is>
      </c>
      <c r="G521" t="inlineStr">
        <is>
          <t>HALMSTAD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51901-2024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45607</v>
      </c>
      <c r="E522" s="1" t="n">
        <v>46297</v>
      </c>
      <c r="F522" t="inlineStr">
        <is>
          <t>HALLANDS LÄN</t>
        </is>
      </c>
      <c r="G522" t="inlineStr">
        <is>
          <t>HALMSTAD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45443</v>
      </c>
      <c r="E523" s="1" t="n">
        <v>46297</v>
      </c>
      <c r="F523" t="inlineStr">
        <is>
          <t>HALLANDS LÄN</t>
        </is>
      </c>
      <c r="G523" t="inlineStr">
        <is>
          <t>HALMSTAD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40418-2024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45555</v>
      </c>
      <c r="E524" s="1" t="n">
        <v>46297</v>
      </c>
      <c r="F524" t="inlineStr">
        <is>
          <t>HALLANDS LÄN</t>
        </is>
      </c>
      <c r="G524" t="inlineStr">
        <is>
          <t>HALMSTAD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46754-2024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45583</v>
      </c>
      <c r="E525" s="1" t="n">
        <v>46297</v>
      </c>
      <c r="F525" t="inlineStr">
        <is>
          <t>HALLANDS LÄN</t>
        </is>
      </c>
      <c r="G525" t="inlineStr">
        <is>
          <t>HALMSTAD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2307-2020</t>
        </is>
      </c>
      <c r="B526" t="inlineStr">
        <is>
          <t>samrådsanmälan</t>
        </is>
      </c>
      <c r="C526" t="inlineStr">
        <is>
          <t>Åtgärd i nyckelbiotop</t>
        </is>
      </c>
      <c r="D526" s="1" t="n">
        <v>44132</v>
      </c>
      <c r="E526" s="1" t="n">
        <v>46297</v>
      </c>
      <c r="F526" t="inlineStr">
        <is>
          <t>HALLANDS LÄN</t>
        </is>
      </c>
      <c r="G526" t="inlineStr">
        <is>
          <t>HALMSTAD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572-2022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44592</v>
      </c>
      <c r="E527" s="1" t="n">
        <v>46297</v>
      </c>
      <c r="F527" t="inlineStr">
        <is>
          <t>HALLANDS LÄN</t>
        </is>
      </c>
      <c r="G527" t="inlineStr">
        <is>
          <t>HALMSTAD</t>
        </is>
      </c>
      <c r="H527" t="inlineStr">
        <is>
          <t>Kyrkan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3049-2024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45516</v>
      </c>
      <c r="E528" s="1" t="n">
        <v>46297</v>
      </c>
      <c r="F528" t="inlineStr">
        <is>
          <t>HALLANDS LÄN</t>
        </is>
      </c>
      <c r="G528" t="inlineStr">
        <is>
          <t>HALMSTAD</t>
        </is>
      </c>
      <c r="I528" t="n">
        <v>13.9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4158-2022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44767</v>
      </c>
      <c r="E529" s="1" t="n">
        <v>46297</v>
      </c>
      <c r="F529" t="inlineStr">
        <is>
          <t>HALLANDS LÄN</t>
        </is>
      </c>
      <c r="G529" t="inlineStr">
        <is>
          <t>HALMSTAD</t>
        </is>
      </c>
      <c r="H529" t="inlineStr">
        <is>
          <t>Kommuner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46297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108-2025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45672</v>
      </c>
      <c r="E531" s="1" t="n">
        <v>46297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1074-2025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45750</v>
      </c>
      <c r="E532" s="1" t="n">
        <v>46297</v>
      </c>
      <c r="F532" t="inlineStr">
        <is>
          <t>HALLANDS LÄN</t>
        </is>
      </c>
      <c r="G532" t="inlineStr">
        <is>
          <t>HALMSTAD</t>
        </is>
      </c>
      <c r="I532" t="n">
        <v>9.5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5037-2024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45636</v>
      </c>
      <c r="E533" s="1" t="n">
        <v>46297</v>
      </c>
      <c r="F533" t="inlineStr">
        <is>
          <t>HALLANDS LÄN</t>
        </is>
      </c>
      <c r="G533" t="inlineStr">
        <is>
          <t>HALMSTAD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865-2025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45734</v>
      </c>
      <c r="E534" s="1" t="n">
        <v>46297</v>
      </c>
      <c r="F534" t="inlineStr">
        <is>
          <t>HALLANDS LÄN</t>
        </is>
      </c>
      <c r="G534" t="inlineStr">
        <is>
          <t>HALMSTAD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801-2025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45729</v>
      </c>
      <c r="E535" s="1" t="n">
        <v>46297</v>
      </c>
      <c r="F535" t="inlineStr">
        <is>
          <t>HALLANDS LÄN</t>
        </is>
      </c>
      <c r="G535" t="inlineStr">
        <is>
          <t>HALMSTAD</t>
        </is>
      </c>
      <c r="I535" t="n">
        <v>10.5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678-2025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45716</v>
      </c>
      <c r="E536" s="1" t="n">
        <v>46297</v>
      </c>
      <c r="F536" t="inlineStr">
        <is>
          <t>HALLANDS LÄN</t>
        </is>
      </c>
      <c r="G536" t="inlineStr">
        <is>
          <t>HALMSTAD</t>
        </is>
      </c>
      <c r="I536" t="n">
        <v>14.5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1503-2026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46163</v>
      </c>
      <c r="E537" s="1" t="n">
        <v>46297</v>
      </c>
      <c r="F537" t="inlineStr">
        <is>
          <t>HALLANDS LÄN</t>
        </is>
      </c>
      <c r="G537" t="inlineStr">
        <is>
          <t>HALMSTAD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2016-2026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46212</v>
      </c>
      <c r="E538" s="1" t="n">
        <v>46297</v>
      </c>
      <c r="F538" t="inlineStr">
        <is>
          <t>HALLANDS LÄN</t>
        </is>
      </c>
      <c r="G538" t="inlineStr">
        <is>
          <t>HALMSTAD</t>
        </is>
      </c>
      <c r="I538" t="n">
        <v>18.8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2118-2026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46244</v>
      </c>
      <c r="E539" s="1" t="n">
        <v>46297</v>
      </c>
      <c r="F539" t="inlineStr">
        <is>
          <t>HALLANDS LÄN</t>
        </is>
      </c>
      <c r="G539" t="inlineStr">
        <is>
          <t>HALMSTAD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2026-10-02T02:02:37Z</dcterms:created>
  <dcterms:modified xmlns:dcterms="http://purl.org/dc/terms/" xmlns:xsi="http://www.w3.org/2001/XMLSchema-instance" xsi:type="dcterms:W3CDTF">2026-10-02T02:02:38Z</dcterms:modified>
</cp:coreProperties>
</file>
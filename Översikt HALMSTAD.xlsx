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s="2" t="inlineStr">
        <is>
          <t>Pulverädellav
Nordfladdermus
Guldlockmossa
Gulnål
Jättesvampmal
Klippfrullania
Skuggmossa
Trädporella
Dvärgpipistrell
Större brunfladdermus
Vattenfladdermus</t>
        </is>
      </c>
      <c r="V3">
        <f>HYPERLINK("https://klasma.github.io/Logging_1380/artfynd/A 49151-2024 artfynd.xlsx", "A 49151-2024")</f>
        <v/>
      </c>
      <c r="W3">
        <f>HYPERLINK("https://klasma.github.io/Logging_1380/kartor/A 49151-2024 karta.png", "A 49151-2024")</f>
        <v/>
      </c>
      <c r="Y3">
        <f>HYPERLINK("https://klasma.github.io/Logging_1380/klagomål/A 49151-2024 FSC-klagomål.docx", "A 49151-2024")</f>
        <v/>
      </c>
      <c r="Z3">
        <f>HYPERLINK("https://klasma.github.io/Logging_1380/klagomålsmail/A 49151-2024 FSC-klagomål mail.docx", "A 49151-2024")</f>
        <v/>
      </c>
      <c r="AA3">
        <f>HYPERLINK("https://klasma.github.io/Logging_1380/tillsyn/A 49151-2024 tillsynsbegäran.docx", "A 49151-2024")</f>
        <v/>
      </c>
      <c r="AB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s="2" t="inlineStr">
        <is>
          <t>Entita
Gulsparv
Mindre tåtelsmygare
Talltita
Spillkråka
Gröngöling
Kråka
Kungsfågel
Trädlärka</t>
        </is>
      </c>
      <c r="V4">
        <f>HYPERLINK("https://klasma.github.io/Logging_1380/artfynd/A 30046-2023 artfynd.xlsx", "A 30046-2023")</f>
        <v/>
      </c>
      <c r="W4">
        <f>HYPERLINK("https://klasma.github.io/Logging_1380/kartor/A 30046-2023 karta.png", "A 30046-2023")</f>
        <v/>
      </c>
      <c r="Y4">
        <f>HYPERLINK("https://klasma.github.io/Logging_1380/klagomål/A 30046-2023 FSC-klagomål.docx", "A 30046-2023")</f>
        <v/>
      </c>
      <c r="Z4">
        <f>HYPERLINK("https://klasma.github.io/Logging_1380/klagomålsmail/A 30046-2023 FSC-klagomål mail.docx", "A 30046-2023")</f>
        <v/>
      </c>
      <c r="AA4">
        <f>HYPERLINK("https://klasma.github.io/Logging_1380/tillsyn/A 30046-2023 tillsynsbegäran.docx", "A 30046-2023")</f>
        <v/>
      </c>
      <c r="AB4">
        <f>HYPERLINK("https://klasma.github.io/Logging_1380/tillsynsmail/A 30046-2023 tillsynsbegäran mail.docx", "A 30046-2023")</f>
        <v/>
      </c>
      <c r="AC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Hårginst
Talltita
Spillkråka
Grönsiska
Kråka
Kungsfågel
Trädlärka</t>
        </is>
      </c>
      <c r="V5">
        <f>HYPERLINK("https://klasma.github.io/Logging_1380/artfynd/S 2014-2024 artfynd.xlsx", "S 2014-2024")</f>
        <v/>
      </c>
      <c r="W5">
        <f>HYPERLINK("https://klasma.github.io/Logging_1380/kartor/S 2014-2024 karta.png", "S 2014-2024")</f>
        <v/>
      </c>
      <c r="Y5">
        <f>HYPERLINK("https://klasma.github.io/Logging_1380/klagomål/S 2014-2024 FSC-klagomål.docx", "S 2014-2024")</f>
        <v/>
      </c>
      <c r="Z5">
        <f>HYPERLINK("https://klasma.github.io/Logging_1380/klagomålsmail/S 2014-2024 FSC-klagomål mail.docx", "S 2014-2024")</f>
        <v/>
      </c>
      <c r="AA5">
        <f>HYPERLINK("https://klasma.github.io/Logging_1380/tillsyn/S 2014-2024 tillsynsbegäran.docx", "S 2014-2024")</f>
        <v/>
      </c>
      <c r="AB5">
        <f>HYPERLINK("https://klasma.github.io/Logging_1380/tillsynsmail/S 2014-2024 tillsynsbegäran mail.docx", "S 2014-2024")</f>
        <v/>
      </c>
      <c r="AC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s="2" t="inlineStr">
        <is>
          <t>Entita
Hasselticka
Huvudlik svampklubba
Skuggmossa
Smal svampklubba
Västlig hakmossa
Spillkråka</t>
        </is>
      </c>
      <c r="V6">
        <f>HYPERLINK("https://klasma.github.io/Logging_1380/artfynd/A 28820-2025 artfynd.xlsx", "A 28820-2025")</f>
        <v/>
      </c>
      <c r="W6">
        <f>HYPERLINK("https://klasma.github.io/Logging_1380/kartor/A 28820-2025 karta.png", "A 28820-2025")</f>
        <v/>
      </c>
      <c r="Y6">
        <f>HYPERLINK("https://klasma.github.io/Logging_1380/klagomål/A 28820-2025 FSC-klagomål.docx", "A 28820-2025")</f>
        <v/>
      </c>
      <c r="Z6">
        <f>HYPERLINK("https://klasma.github.io/Logging_1380/klagomålsmail/A 28820-2025 FSC-klagomål mail.docx", "A 28820-2025")</f>
        <v/>
      </c>
      <c r="AA6">
        <f>HYPERLINK("https://klasma.github.io/Logging_1380/tillsyn/A 28820-2025 tillsynsbegäran.docx", "A 28820-2025")</f>
        <v/>
      </c>
      <c r="AB6">
        <f>HYPERLINK("https://klasma.github.io/Logging_1380/tillsynsmail/A 28820-2025 tillsynsbegäran mail.docx", "A 28820-2025")</f>
        <v/>
      </c>
      <c r="AC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s="2" t="inlineStr">
        <is>
          <t>Entita
Grönsångare
Järnsparv
Spillkråka
Kungsfågel
Sångsvan</t>
        </is>
      </c>
      <c r="V7">
        <f>HYPERLINK("https://klasma.github.io/Logging_1380/artfynd/A 48909-2023 artfynd.xlsx", "A 48909-2023")</f>
        <v/>
      </c>
      <c r="W7">
        <f>HYPERLINK("https://klasma.github.io/Logging_1380/kartor/A 48909-2023 karta.png", "A 48909-2023")</f>
        <v/>
      </c>
      <c r="Y7">
        <f>HYPERLINK("https://klasma.github.io/Logging_1380/klagomål/A 48909-2023 FSC-klagomål.docx", "A 48909-2023")</f>
        <v/>
      </c>
      <c r="Z7">
        <f>HYPERLINK("https://klasma.github.io/Logging_1380/klagomålsmail/A 48909-2023 FSC-klagomål mail.docx", "A 48909-2023")</f>
        <v/>
      </c>
      <c r="AA7">
        <f>HYPERLINK("https://klasma.github.io/Logging_1380/tillsyn/A 48909-2023 tillsynsbegäran.docx", "A 48909-2023")</f>
        <v/>
      </c>
      <c r="AB7">
        <f>HYPERLINK("https://klasma.github.io/Logging_1380/tillsynsmail/A 48909-2023 tillsynsbegäran mail.docx", "A 48909-2023")</f>
        <v/>
      </c>
      <c r="AC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s="2" t="inlineStr">
        <is>
          <t>Dunmossa
Flikbålmossa
Blåmossa
Skuggmossa
Västlig hakmossa
Västlig husmossa</t>
        </is>
      </c>
      <c r="V8">
        <f>HYPERLINK("https://klasma.github.io/Logging_1380/artfynd/S 248-2025 artfynd.xlsx", "S 248-2025")</f>
        <v/>
      </c>
      <c r="W8">
        <f>HYPERLINK("https://klasma.github.io/Logging_1380/kartor/S 248-2025 karta.png", "S 248-2025")</f>
        <v/>
      </c>
      <c r="Y8">
        <f>HYPERLINK("https://klasma.github.io/Logging_1380/klagomål/S 248-2025 FSC-klagomål.docx", "S 248-2025")</f>
        <v/>
      </c>
      <c r="Z8">
        <f>HYPERLINK("https://klasma.github.io/Logging_1380/klagomålsmail/S 248-2025 FSC-klagomål mail.docx", "S 248-2025")</f>
        <v/>
      </c>
      <c r="AA8">
        <f>HYPERLINK("https://klasma.github.io/Logging_1380/tillsyn/S 248-2025 tillsynsbegäran.docx", "S 248-2025")</f>
        <v/>
      </c>
      <c r="AB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46221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s="2" t="inlineStr">
        <is>
          <t>Borsttåg
Guldlockmossa
Kambräken
Kornknutmossa
Tibast
Mattlummer</t>
        </is>
      </c>
      <c r="V9">
        <f>HYPERLINK("https://klasma.github.io/Logging_1380/artfynd/S 4927-2021 artfynd.xlsx", "S 4927-2021")</f>
        <v/>
      </c>
      <c r="W9">
        <f>HYPERLINK("https://klasma.github.io/Logging_1380/kartor/S 4927-2021 karta.png", "S 4927-2021")</f>
        <v/>
      </c>
      <c r="Y9">
        <f>HYPERLINK("https://klasma.github.io/Logging_1380/klagomål/S 4927-2021 FSC-klagomål.docx", "S 4927-2021")</f>
        <v/>
      </c>
      <c r="Z9">
        <f>HYPERLINK("https://klasma.github.io/Logging_1380/klagomålsmail/S 4927-2021 FSC-klagomål mail.docx", "S 4927-2021")</f>
        <v/>
      </c>
      <c r="AA9">
        <f>HYPERLINK("https://klasma.github.io/Logging_1380/tillsyn/S 4927-2021 tillsynsbegäran.docx", "S 4927-2021")</f>
        <v/>
      </c>
      <c r="AB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46221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s="2" t="inlineStr">
        <is>
          <t>Barbastell
Brunlångöra
Nordfladdermus
Dvärgpipistrell
Vattenfladdermus</t>
        </is>
      </c>
      <c r="V10">
        <f>HYPERLINK("https://klasma.github.io/Logging_1380/artfynd/A 8062-2023 artfynd.xlsx", "A 8062-2023")</f>
        <v/>
      </c>
      <c r="W10">
        <f>HYPERLINK("https://klasma.github.io/Logging_1380/kartor/A 8062-2023 karta.png", "A 8062-2023")</f>
        <v/>
      </c>
      <c r="Y10">
        <f>HYPERLINK("https://klasma.github.io/Logging_1380/klagomål/A 8062-2023 FSC-klagomål.docx", "A 8062-2023")</f>
        <v/>
      </c>
      <c r="Z10">
        <f>HYPERLINK("https://klasma.github.io/Logging_1380/klagomålsmail/A 8062-2023 FSC-klagomål mail.docx", "A 8062-2023")</f>
        <v/>
      </c>
      <c r="AA10">
        <f>HYPERLINK("https://klasma.github.io/Logging_1380/tillsyn/A 8062-2023 tillsynsbegäran.docx", "A 8062-2023")</f>
        <v/>
      </c>
      <c r="AB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46221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Lax
Gröngöling
Grönsiska
Kungsfågel
Röd glada</t>
        </is>
      </c>
      <c r="V11">
        <f>HYPERLINK("https://klasma.github.io/Logging_1380/artfynd/A 58739-2023 artfynd.xlsx", "A 58739-2023")</f>
        <v/>
      </c>
      <c r="W11">
        <f>HYPERLINK("https://klasma.github.io/Logging_1380/kartor/A 58739-2023 karta.png", "A 58739-2023")</f>
        <v/>
      </c>
      <c r="Y11">
        <f>HYPERLINK("https://klasma.github.io/Logging_1380/klagomål/A 58739-2023 FSC-klagomål.docx", "A 58739-2023")</f>
        <v/>
      </c>
      <c r="Z11">
        <f>HYPERLINK("https://klasma.github.io/Logging_1380/klagomålsmail/A 58739-2023 FSC-klagomål mail.docx", "A 58739-2023")</f>
        <v/>
      </c>
      <c r="AA11">
        <f>HYPERLINK("https://klasma.github.io/Logging_1380/tillsyn/A 58739-2023 tillsynsbegäran.docx", "A 58739-2023")</f>
        <v/>
      </c>
      <c r="AB11">
        <f>HYPERLINK("https://klasma.github.io/Logging_1380/tillsynsmail/A 58739-2023 tillsynsbegäran mail.docx", "A 58739-2023")</f>
        <v/>
      </c>
      <c r="AC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46221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Bohuslind
Igelkott
Hårginst
Kambräken
Vanlig padda</t>
        </is>
      </c>
      <c r="V12">
        <f>HYPERLINK("https://klasma.github.io/Logging_1380/artfynd/S 1919-2024 artfynd.xlsx", "S 1919-2024")</f>
        <v/>
      </c>
      <c r="W12">
        <f>HYPERLINK("https://klasma.github.io/Logging_1380/kartor/S 1919-2024 karta.png", "S 1919-2024")</f>
        <v/>
      </c>
      <c r="Y12">
        <f>HYPERLINK("https://klasma.github.io/Logging_1380/klagomål/S 1919-2024 FSC-klagomål.docx", "S 1919-2024")</f>
        <v/>
      </c>
      <c r="Z12">
        <f>HYPERLINK("https://klasma.github.io/Logging_1380/klagomålsmail/S 1919-2024 FSC-klagomål mail.docx", "S 1919-2024")</f>
        <v/>
      </c>
      <c r="AA12">
        <f>HYPERLINK("https://klasma.github.io/Logging_1380/tillsyn/S 1919-2024 tillsynsbegäran.docx", "S 1919-2024")</f>
        <v/>
      </c>
      <c r="AB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46221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s="2" t="inlineStr">
        <is>
          <t>Dvärglin
Brunag
Rutskinn
Blomkålssvamp
Blåmossa</t>
        </is>
      </c>
      <c r="V13">
        <f>HYPERLINK("https://klasma.github.io/Logging_1380/artfynd/S 604-2024 artfynd.xlsx", "S 604-2024")</f>
        <v/>
      </c>
      <c r="W13">
        <f>HYPERLINK("https://klasma.github.io/Logging_1380/kartor/S 604-2024 karta.png", "S 604-2024")</f>
        <v/>
      </c>
      <c r="Y13">
        <f>HYPERLINK("https://klasma.github.io/Logging_1380/klagomål/S 604-2024 FSC-klagomål.docx", "S 604-2024")</f>
        <v/>
      </c>
      <c r="Z13">
        <f>HYPERLINK("https://klasma.github.io/Logging_1380/klagomålsmail/S 604-2024 FSC-klagomål mail.docx", "S 604-2024")</f>
        <v/>
      </c>
      <c r="AA13">
        <f>HYPERLINK("https://klasma.github.io/Logging_1380/tillsyn/S 604-2024 tillsynsbegäran.docx", "S 604-2024")</f>
        <v/>
      </c>
      <c r="AB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46221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Gulsparv
Mindre tåtelsmygare
Gröngöling
Kungsfågel</t>
        </is>
      </c>
      <c r="V14">
        <f>HYPERLINK("https://klasma.github.io/Logging_1380/artfynd/A 29302-2025 artfynd.xlsx", "A 29302-2025")</f>
        <v/>
      </c>
      <c r="W14">
        <f>HYPERLINK("https://klasma.github.io/Logging_1380/kartor/A 29302-2025 karta.png", "A 29302-2025")</f>
        <v/>
      </c>
      <c r="Y14">
        <f>HYPERLINK("https://klasma.github.io/Logging_1380/klagomål/A 29302-2025 FSC-klagomål.docx", "A 29302-2025")</f>
        <v/>
      </c>
      <c r="Z14">
        <f>HYPERLINK("https://klasma.github.io/Logging_1380/klagomålsmail/A 29302-2025 FSC-klagomål mail.docx", "A 29302-2025")</f>
        <v/>
      </c>
      <c r="AA14">
        <f>HYPERLINK("https://klasma.github.io/Logging_1380/tillsyn/A 29302-2025 tillsynsbegäran.docx", "A 29302-2025")</f>
        <v/>
      </c>
      <c r="AB14">
        <f>HYPERLINK("https://klasma.github.io/Logging_1380/tillsynsmail/A 29302-2025 tillsynsbegäran mail.docx", "A 29302-2025")</f>
        <v/>
      </c>
      <c r="AC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s="2" t="inlineStr">
        <is>
          <t>Jättesvampmal
Klippfrullania
Västlig hakmossa
Spillkråka</t>
        </is>
      </c>
      <c r="V15">
        <f>HYPERLINK("https://klasma.github.io/Logging_1380/artfynd/A 40697-2023 artfynd.xlsx", "A 40697-2023")</f>
        <v/>
      </c>
      <c r="W15">
        <f>HYPERLINK("https://klasma.github.io/Logging_1380/kartor/A 40697-2023 karta.png", "A 40697-2023")</f>
        <v/>
      </c>
      <c r="Y15">
        <f>HYPERLINK("https://klasma.github.io/Logging_1380/klagomål/A 40697-2023 FSC-klagomål.docx", "A 40697-2023")</f>
        <v/>
      </c>
      <c r="Z15">
        <f>HYPERLINK("https://klasma.github.io/Logging_1380/klagomålsmail/A 40697-2023 FSC-klagomål mail.docx", "A 40697-2023")</f>
        <v/>
      </c>
      <c r="AA15">
        <f>HYPERLINK("https://klasma.github.io/Logging_1380/tillsyn/A 40697-2023 tillsynsbegäran.docx", "A 40697-2023")</f>
        <v/>
      </c>
      <c r="AB15">
        <f>HYPERLINK("https://klasma.github.io/Logging_1380/tillsynsmail/A 40697-2023 tillsynsbegäran mail.docx", "A 40697-2023")</f>
        <v/>
      </c>
      <c r="AC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46221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Stor sotdyna
Blåmossa
Kambräken
Glansfläck</t>
        </is>
      </c>
      <c r="V16">
        <f>HYPERLINK("https://klasma.github.io/Logging_1380/artfynd/A 40491-2023 artfynd.xlsx", "A 40491-2023")</f>
        <v/>
      </c>
      <c r="W16">
        <f>HYPERLINK("https://klasma.github.io/Logging_1380/kartor/A 40491-2023 karta.png", "A 40491-2023")</f>
        <v/>
      </c>
      <c r="Y16">
        <f>HYPERLINK("https://klasma.github.io/Logging_1380/klagomål/A 40491-2023 FSC-klagomål.docx", "A 40491-2023")</f>
        <v/>
      </c>
      <c r="Z16">
        <f>HYPERLINK("https://klasma.github.io/Logging_1380/klagomålsmail/A 40491-2023 FSC-klagomål mail.docx", "A 40491-2023")</f>
        <v/>
      </c>
      <c r="AA16">
        <f>HYPERLINK("https://klasma.github.io/Logging_1380/tillsyn/A 40491-2023 tillsynsbegäran.docx", "A 40491-2023")</f>
        <v/>
      </c>
      <c r="AB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46221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s="2" t="inlineStr">
        <is>
          <t>Hallandsfibbla
Narrklibbfibbla
Svinrot
Nattskärra</t>
        </is>
      </c>
      <c r="V17">
        <f>HYPERLINK("https://klasma.github.io/Logging_1380/artfynd/A 30890-2022 artfynd.xlsx", "A 30890-2022")</f>
        <v/>
      </c>
      <c r="W17">
        <f>HYPERLINK("https://klasma.github.io/Logging_1380/kartor/A 30890-2022 karta.png", "A 30890-2022")</f>
        <v/>
      </c>
      <c r="Y17">
        <f>HYPERLINK("https://klasma.github.io/Logging_1380/klagomål/A 30890-2022 FSC-klagomål.docx", "A 30890-2022")</f>
        <v/>
      </c>
      <c r="Z17">
        <f>HYPERLINK("https://klasma.github.io/Logging_1380/klagomålsmail/A 30890-2022 FSC-klagomål mail.docx", "A 30890-2022")</f>
        <v/>
      </c>
      <c r="AA17">
        <f>HYPERLINK("https://klasma.github.io/Logging_1380/tillsyn/A 30890-2022 tillsynsbegäran.docx", "A 30890-2022")</f>
        <v/>
      </c>
      <c r="AB17">
        <f>HYPERLINK("https://klasma.github.io/Logging_1380/tillsynsmail/A 30890-2022 tillsynsbegäran mail.docx", "A 30890-2022")</f>
        <v/>
      </c>
      <c r="AC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46221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Kambräken
Mattlummer
Åkergroda
Vanlig padda</t>
        </is>
      </c>
      <c r="V18">
        <f>HYPERLINK("https://klasma.github.io/Logging_1380/artfynd/A 40686-2023 artfynd.xlsx", "A 40686-2023")</f>
        <v/>
      </c>
      <c r="W18">
        <f>HYPERLINK("https://klasma.github.io/Logging_1380/kartor/A 40686-2023 karta.png", "A 40686-2023")</f>
        <v/>
      </c>
      <c r="Y18">
        <f>HYPERLINK("https://klasma.github.io/Logging_1380/klagomål/A 40686-2023 FSC-klagomål.docx", "A 40686-2023")</f>
        <v/>
      </c>
      <c r="Z18">
        <f>HYPERLINK("https://klasma.github.io/Logging_1380/klagomålsmail/A 40686-2023 FSC-klagomål mail.docx", "A 40686-2023")</f>
        <v/>
      </c>
      <c r="AA18">
        <f>HYPERLINK("https://klasma.github.io/Logging_1380/tillsyn/A 40686-2023 tillsynsbegäran.docx", "A 40686-2023")</f>
        <v/>
      </c>
      <c r="AB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s="2" t="inlineStr">
        <is>
          <t>Åkerfibbla
Hjärtstilla
Gullpudra
Kambräken</t>
        </is>
      </c>
      <c r="V19">
        <f>HYPERLINK("https://klasma.github.io/Logging_1380/artfynd/S 645-2024 artfynd.xlsx", "S 645-2024")</f>
        <v/>
      </c>
      <c r="W19">
        <f>HYPERLINK("https://klasma.github.io/Logging_1380/kartor/S 645-2024 karta.png", "S 645-2024")</f>
        <v/>
      </c>
      <c r="Y19">
        <f>HYPERLINK("https://klasma.github.io/Logging_1380/klagomål/S 645-2024 FSC-klagomål.docx", "S 645-2024")</f>
        <v/>
      </c>
      <c r="Z19">
        <f>HYPERLINK("https://klasma.github.io/Logging_1380/klagomålsmail/S 645-2024 FSC-klagomål mail.docx", "S 645-2024")</f>
        <v/>
      </c>
      <c r="AA19">
        <f>HYPERLINK("https://klasma.github.io/Logging_1380/tillsyn/S 645-2024 tillsynsbegäran.docx", "S 645-2024")</f>
        <v/>
      </c>
      <c r="AB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46221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s="2" t="inlineStr">
        <is>
          <t>Borsttåg
Hårginst
Kambräken
Nattviol</t>
        </is>
      </c>
      <c r="V20">
        <f>HYPERLINK("https://klasma.github.io/Logging_1380/artfynd/S 811-2025 artfynd.xlsx", "S 811-2025")</f>
        <v/>
      </c>
      <c r="W20">
        <f>HYPERLINK("https://klasma.github.io/Logging_1380/kartor/S 811-2025 karta.png", "S 811-2025")</f>
        <v/>
      </c>
      <c r="Y20">
        <f>HYPERLINK("https://klasma.github.io/Logging_1380/klagomål/S 811-2025 FSC-klagomål.docx", "S 811-2025")</f>
        <v/>
      </c>
      <c r="Z20">
        <f>HYPERLINK("https://klasma.github.io/Logging_1380/klagomålsmail/S 811-2025 FSC-klagomål mail.docx", "S 811-2025")</f>
        <v/>
      </c>
      <c r="AA20">
        <f>HYPERLINK("https://klasma.github.io/Logging_1380/tillsyn/S 811-2025 tillsynsbegäran.docx", "S 811-2025")</f>
        <v/>
      </c>
      <c r="AB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46221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s="2" t="inlineStr">
        <is>
          <t>Järnek
Knärot
Borsttåg
Kambräken</t>
        </is>
      </c>
      <c r="V21">
        <f>HYPERLINK("https://klasma.github.io/Logging_1380/artfynd/S 866-2025 artfynd.xlsx", "S 866-2025")</f>
        <v/>
      </c>
      <c r="W21">
        <f>HYPERLINK("https://klasma.github.io/Logging_1380/kartor/S 866-2025 karta.png", "S 866-2025")</f>
        <v/>
      </c>
      <c r="X21">
        <f>HYPERLINK("https://klasma.github.io/Logging_1380/knärot/S 866-2025 karta knärot.png", "S 866-2025")</f>
        <v/>
      </c>
      <c r="Y21">
        <f>HYPERLINK("https://klasma.github.io/Logging_1380/klagomål/S 866-2025 FSC-klagomål.docx", "S 866-2025")</f>
        <v/>
      </c>
      <c r="Z21">
        <f>HYPERLINK("https://klasma.github.io/Logging_1380/klagomålsmail/S 866-2025 FSC-klagomål mail.docx", "S 866-2025")</f>
        <v/>
      </c>
      <c r="AA21">
        <f>HYPERLINK("https://klasma.github.io/Logging_1380/tillsyn/S 866-2025 tillsynsbegäran.docx", "S 866-2025")</f>
        <v/>
      </c>
      <c r="AB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46221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Kransrams
Rostfläck
Gröngöling</t>
        </is>
      </c>
      <c r="V22">
        <f>HYPERLINK("https://klasma.github.io/Logging_1380/artfynd/A 38411-2022 artfynd.xlsx", "A 38411-2022")</f>
        <v/>
      </c>
      <c r="W22">
        <f>HYPERLINK("https://klasma.github.io/Logging_1380/kartor/A 38411-2022 karta.png", "A 38411-2022")</f>
        <v/>
      </c>
      <c r="Y22">
        <f>HYPERLINK("https://klasma.github.io/Logging_1380/klagomål/A 38411-2022 FSC-klagomål.docx", "A 38411-2022")</f>
        <v/>
      </c>
      <c r="Z22">
        <f>HYPERLINK("https://klasma.github.io/Logging_1380/klagomålsmail/A 38411-2022 FSC-klagomål mail.docx", "A 38411-2022")</f>
        <v/>
      </c>
      <c r="AA22">
        <f>HYPERLINK("https://klasma.github.io/Logging_1380/tillsyn/A 38411-2022 tillsynsbegäran.docx", "A 38411-2022")</f>
        <v/>
      </c>
      <c r="AB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46221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Kambräken
Spillkråka
Kungsfågel</t>
        </is>
      </c>
      <c r="V23">
        <f>HYPERLINK("https://klasma.github.io/Logging_1380/artfynd/A 40531-2023 artfynd.xlsx", "A 40531-2023")</f>
        <v/>
      </c>
      <c r="W23">
        <f>HYPERLINK("https://klasma.github.io/Logging_1380/kartor/A 40531-2023 karta.png", "A 40531-2023")</f>
        <v/>
      </c>
      <c r="Y23">
        <f>HYPERLINK("https://klasma.github.io/Logging_1380/klagomål/A 40531-2023 FSC-klagomål.docx", "A 40531-2023")</f>
        <v/>
      </c>
      <c r="Z23">
        <f>HYPERLINK("https://klasma.github.io/Logging_1380/klagomålsmail/A 40531-2023 FSC-klagomål mail.docx", "A 40531-2023")</f>
        <v/>
      </c>
      <c r="AA23">
        <f>HYPERLINK("https://klasma.github.io/Logging_1380/tillsyn/A 40531-2023 tillsynsbegäran.docx", "A 40531-2023")</f>
        <v/>
      </c>
      <c r="AB23">
        <f>HYPERLINK("https://klasma.github.io/Logging_1380/tillsynsmail/A 40531-2023 tillsynsbegäran mail.docx", "A 40531-2023")</f>
        <v/>
      </c>
      <c r="AC23">
        <f>HYPERLINK("https://klasma.github.io/Logging_1380/fåglar/A 40531-2023 prioriterade fågelarter.docx", "A 40531-2023")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46221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s="2" t="inlineStr">
        <is>
          <t>Spillkråka
Röd glada
Lopplummer (aggregat)</t>
        </is>
      </c>
      <c r="V24">
        <f>HYPERLINK("https://klasma.github.io/Logging_1380/artfynd/A 26108-2022 artfynd.xlsx", "A 26108-2022")</f>
        <v/>
      </c>
      <c r="W24">
        <f>HYPERLINK("https://klasma.github.io/Logging_1380/kartor/A 26108-2022 karta.png", "A 26108-2022")</f>
        <v/>
      </c>
      <c r="Y24">
        <f>HYPERLINK("https://klasma.github.io/Logging_1380/klagomål/A 26108-2022 FSC-klagomål.docx", "A 26108-2022")</f>
        <v/>
      </c>
      <c r="Z24">
        <f>HYPERLINK("https://klasma.github.io/Logging_1380/klagomålsmail/A 26108-2022 FSC-klagomål mail.docx", "A 26108-2022")</f>
        <v/>
      </c>
      <c r="AA24">
        <f>HYPERLINK("https://klasma.github.io/Logging_1380/tillsyn/A 26108-2022 tillsynsbegäran.docx", "A 26108-2022")</f>
        <v/>
      </c>
      <c r="AB24">
        <f>HYPERLINK("https://klasma.github.io/Logging_1380/tillsynsmail/A 26108-2022 tillsynsbegäran mail.docx", "A 26108-2022")</f>
        <v/>
      </c>
      <c r="AC24">
        <f>HYPERLINK("https://klasma.github.io/Logging_1380/fåglar/A 26108-2022 prioriterade fågelarter.docx", "A 26108-2022")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46221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s="2" t="inlineStr">
        <is>
          <t>Blåmossa
Kungsfågel
Vanlig snok</t>
        </is>
      </c>
      <c r="V25">
        <f>HYPERLINK("https://klasma.github.io/Logging_1380/artfynd/A 40600-2023 artfynd.xlsx", "A 40600-2023")</f>
        <v/>
      </c>
      <c r="W25">
        <f>HYPERLINK("https://klasma.github.io/Logging_1380/kartor/A 40600-2023 karta.png", "A 40600-2023")</f>
        <v/>
      </c>
      <c r="Y25">
        <f>HYPERLINK("https://klasma.github.io/Logging_1380/klagomål/A 40600-2023 FSC-klagomål.docx", "A 40600-2023")</f>
        <v/>
      </c>
      <c r="Z25">
        <f>HYPERLINK("https://klasma.github.io/Logging_1380/klagomålsmail/A 40600-2023 FSC-klagomål mail.docx", "A 40600-2023")</f>
        <v/>
      </c>
      <c r="AA25">
        <f>HYPERLINK("https://klasma.github.io/Logging_1380/tillsyn/A 40600-2023 tillsynsbegäran.docx", "A 40600-2023")</f>
        <v/>
      </c>
      <c r="AB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46221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s="2" t="inlineStr">
        <is>
          <t>Loppstarr
Ängsstarr
Fjällvråk</t>
        </is>
      </c>
      <c r="V26">
        <f>HYPERLINK("https://klasma.github.io/Logging_1380/artfynd/A 8102-2024 artfynd.xlsx", "A 8102-2024")</f>
        <v/>
      </c>
      <c r="W26">
        <f>HYPERLINK("https://klasma.github.io/Logging_1380/kartor/A 8102-2024 karta.png", "A 8102-2024")</f>
        <v/>
      </c>
      <c r="Y26">
        <f>HYPERLINK("https://klasma.github.io/Logging_1380/klagomål/A 8102-2024 FSC-klagomål.docx", "A 8102-2024")</f>
        <v/>
      </c>
      <c r="Z26">
        <f>HYPERLINK("https://klasma.github.io/Logging_1380/klagomålsmail/A 8102-2024 FSC-klagomål mail.docx", "A 8102-2024")</f>
        <v/>
      </c>
      <c r="AA26">
        <f>HYPERLINK("https://klasma.github.io/Logging_1380/tillsyn/A 8102-2024 tillsynsbegäran.docx", "A 8102-2024")</f>
        <v/>
      </c>
      <c r="AB26">
        <f>HYPERLINK("https://klasma.github.io/Logging_1380/tillsynsmail/A 8102-2024 tillsynsbegäran mail.docx", "A 8102-2024")</f>
        <v/>
      </c>
      <c r="AC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46221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Bokkantlav
Guldlockmossa
Platt fjädermossa</t>
        </is>
      </c>
      <c r="V27">
        <f>HYPERLINK("https://klasma.github.io/Logging_1380/artfynd/S 1197-2024 artfynd.xlsx", "S 1197-2024")</f>
        <v/>
      </c>
      <c r="W27">
        <f>HYPERLINK("https://klasma.github.io/Logging_1380/kartor/S 1197-2024 karta.png", "S 1197-2024")</f>
        <v/>
      </c>
      <c r="Y27">
        <f>HYPERLINK("https://klasma.github.io/Logging_1380/klagomål/S 1197-2024 FSC-klagomål.docx", "S 1197-2024")</f>
        <v/>
      </c>
      <c r="Z27">
        <f>HYPERLINK("https://klasma.github.io/Logging_1380/klagomålsmail/S 1197-2024 FSC-klagomål mail.docx", "S 1197-2024")</f>
        <v/>
      </c>
      <c r="AA27">
        <f>HYPERLINK("https://klasma.github.io/Logging_1380/tillsyn/S 1197-2024 tillsynsbegäran.docx", "S 1197-2024")</f>
        <v/>
      </c>
      <c r="AB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46221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8</v>
      </c>
      <c r="U28" s="2" t="inlineStr">
        <is>
          <t>Borsttåg
Kambräken
Mattlummer</t>
        </is>
      </c>
      <c r="V28">
        <f>HYPERLINK("https://klasma.github.io/Logging_1380/artfynd/S 611-2024 artfynd.xlsx", "S 611-2024")</f>
        <v/>
      </c>
      <c r="W28">
        <f>HYPERLINK("https://klasma.github.io/Logging_1380/kartor/S 611-2024 karta.png", "S 611-2024")</f>
        <v/>
      </c>
      <c r="Y28">
        <f>HYPERLINK("https://klasma.github.io/Logging_1380/klagomål/S 611-2024 FSC-klagomål.docx", "S 611-2024")</f>
        <v/>
      </c>
      <c r="Z28">
        <f>HYPERLINK("https://klasma.github.io/Logging_1380/klagomålsmail/S 611-2024 FSC-klagomål mail.docx", "S 611-2024")</f>
        <v/>
      </c>
      <c r="AA28">
        <f>HYPERLINK("https://klasma.github.io/Logging_1380/tillsyn/S 611-2024 tillsynsbegäran.docx", "S 611-2024")</f>
        <v/>
      </c>
      <c r="AB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46221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s="2" t="inlineStr">
        <is>
          <t>Borstsäv
Dvärglin
Kambräken</t>
        </is>
      </c>
      <c r="V29">
        <f>HYPERLINK("https://klasma.github.io/Logging_1380/artfynd/S 1920-2024 artfynd.xlsx", "S 1920-2024")</f>
        <v/>
      </c>
      <c r="W29">
        <f>HYPERLINK("https://klasma.github.io/Logging_1380/kartor/S 1920-2024 karta.png", "S 1920-2024")</f>
        <v/>
      </c>
      <c r="Y29">
        <f>HYPERLINK("https://klasma.github.io/Logging_1380/klagomål/S 1920-2024 FSC-klagomål.docx", "S 1920-2024")</f>
        <v/>
      </c>
      <c r="Z29">
        <f>HYPERLINK("https://klasma.github.io/Logging_1380/klagomålsmail/S 1920-2024 FSC-klagomål mail.docx", "S 1920-2024")</f>
        <v/>
      </c>
      <c r="AA29">
        <f>HYPERLINK("https://klasma.github.io/Logging_1380/tillsyn/S 1920-2024 tillsynsbegäran.docx", "S 1920-2024")</f>
        <v/>
      </c>
      <c r="AB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46221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Blåmossa
Spillkråka</t>
        </is>
      </c>
      <c r="V30">
        <f>HYPERLINK("https://klasma.github.io/Logging_1380/artfynd/A 5512-2022 artfynd.xlsx", "A 5512-2022")</f>
        <v/>
      </c>
      <c r="W30">
        <f>HYPERLINK("https://klasma.github.io/Logging_1380/kartor/A 5512-2022 karta.png", "A 5512-2022")</f>
        <v/>
      </c>
      <c r="Y30">
        <f>HYPERLINK("https://klasma.github.io/Logging_1380/klagomål/A 5512-2022 FSC-klagomål.docx", "A 5512-2022")</f>
        <v/>
      </c>
      <c r="Z30">
        <f>HYPERLINK("https://klasma.github.io/Logging_1380/klagomålsmail/A 5512-2022 FSC-klagomål mail.docx", "A 5512-2022")</f>
        <v/>
      </c>
      <c r="AA30">
        <f>HYPERLINK("https://klasma.github.io/Logging_1380/tillsyn/A 5512-2022 tillsynsbegäran.docx", "A 5512-2022")</f>
        <v/>
      </c>
      <c r="AB30">
        <f>HYPERLINK("https://klasma.github.io/Logging_1380/tillsynsmail/A 5512-2022 tillsynsbegäran mail.docx", "A 5512-2022")</f>
        <v/>
      </c>
      <c r="AC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46221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s="2" t="inlineStr">
        <is>
          <t>Hårginst
Trädlärka</t>
        </is>
      </c>
      <c r="V31">
        <f>HYPERLINK("https://klasma.github.io/Logging_1380/artfynd/A 71006-2021 artfynd.xlsx", "A 71006-2021")</f>
        <v/>
      </c>
      <c r="W31">
        <f>HYPERLINK("https://klasma.github.io/Logging_1380/kartor/A 71006-2021 karta.png", "A 71006-2021")</f>
        <v/>
      </c>
      <c r="Y31">
        <f>HYPERLINK("https://klasma.github.io/Logging_1380/klagomål/A 71006-2021 FSC-klagomål.docx", "A 71006-2021")</f>
        <v/>
      </c>
      <c r="Z31">
        <f>HYPERLINK("https://klasma.github.io/Logging_1380/klagomålsmail/A 71006-2021 FSC-klagomål mail.docx", "A 71006-2021")</f>
        <v/>
      </c>
      <c r="AA31">
        <f>HYPERLINK("https://klasma.github.io/Logging_1380/tillsyn/A 71006-2021 tillsynsbegäran.docx", "A 71006-2021")</f>
        <v/>
      </c>
      <c r="AB31">
        <f>HYPERLINK("https://klasma.github.io/Logging_1380/tillsynsmail/A 71006-2021 tillsynsbegäran mail.docx", "A 71006-2021")</f>
        <v/>
      </c>
      <c r="AC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46221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Entita
Hårginst</t>
        </is>
      </c>
      <c r="V32">
        <f>HYPERLINK("https://klasma.github.io/Logging_1380/artfynd/A 70738-2021 artfynd.xlsx", "A 70738-2021")</f>
        <v/>
      </c>
      <c r="W32">
        <f>HYPERLINK("https://klasma.github.io/Logging_1380/kartor/A 70738-2021 karta.png", "A 70738-2021")</f>
        <v/>
      </c>
      <c r="Y32">
        <f>HYPERLINK("https://klasma.github.io/Logging_1380/klagomål/A 70738-2021 FSC-klagomål.docx", "A 70738-2021")</f>
        <v/>
      </c>
      <c r="Z32">
        <f>HYPERLINK("https://klasma.github.io/Logging_1380/klagomålsmail/A 70738-2021 FSC-klagomål mail.docx", "A 70738-2021")</f>
        <v/>
      </c>
      <c r="AA32">
        <f>HYPERLINK("https://klasma.github.io/Logging_1380/tillsyn/A 70738-2021 tillsynsbegäran.docx", "A 70738-2021")</f>
        <v/>
      </c>
      <c r="AB32">
        <f>HYPERLINK("https://klasma.github.io/Logging_1380/tillsynsmail/A 70738-2021 tillsynsbegäran mail.docx", "A 70738-2021")</f>
        <v/>
      </c>
      <c r="AC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Guldlockmossa
Vanlig snok</t>
        </is>
      </c>
      <c r="V33">
        <f>HYPERLINK("https://klasma.github.io/Logging_1380/artfynd/A 33757-2023 artfynd.xlsx", "A 33757-2023")</f>
        <v/>
      </c>
      <c r="W33">
        <f>HYPERLINK("https://klasma.github.io/Logging_1380/kartor/A 33757-2023 karta.png", "A 33757-2023")</f>
        <v/>
      </c>
      <c r="Y33">
        <f>HYPERLINK("https://klasma.github.io/Logging_1380/klagomål/A 33757-2023 FSC-klagomål.docx", "A 33757-2023")</f>
        <v/>
      </c>
      <c r="Z33">
        <f>HYPERLINK("https://klasma.github.io/Logging_1380/klagomålsmail/A 33757-2023 FSC-klagomål mail.docx", "A 33757-2023")</f>
        <v/>
      </c>
      <c r="AA33">
        <f>HYPERLINK("https://klasma.github.io/Logging_1380/tillsyn/A 33757-2023 tillsynsbegäran.docx", "A 33757-2023")</f>
        <v/>
      </c>
      <c r="AB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46221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s="2" t="inlineStr">
        <is>
          <t>Dvärglin
Kambräken</t>
        </is>
      </c>
      <c r="V34">
        <f>HYPERLINK("https://klasma.github.io/Logging_1380/artfynd/A 37137-2025 artfynd.xlsx", "A 37137-2025")</f>
        <v/>
      </c>
      <c r="W34">
        <f>HYPERLINK("https://klasma.github.io/Logging_1380/kartor/A 37137-2025 karta.png", "A 37137-2025")</f>
        <v/>
      </c>
      <c r="Y34">
        <f>HYPERLINK("https://klasma.github.io/Logging_1380/klagomål/A 37137-2025 FSC-klagomål.docx", "A 37137-2025")</f>
        <v/>
      </c>
      <c r="Z34">
        <f>HYPERLINK("https://klasma.github.io/Logging_1380/klagomålsmail/A 37137-2025 FSC-klagomål mail.docx", "A 37137-2025")</f>
        <v/>
      </c>
      <c r="AA34">
        <f>HYPERLINK("https://klasma.github.io/Logging_1380/tillsyn/A 37137-2025 tillsynsbegäran.docx", "A 37137-2025")</f>
        <v/>
      </c>
      <c r="AB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46221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Sångsvan
Grönvit nattviol</t>
        </is>
      </c>
      <c r="V35">
        <f>HYPERLINK("https://klasma.github.io/Logging_1380/artfynd/A 9049-2026 artfynd.xlsx", "A 9049-2026")</f>
        <v/>
      </c>
      <c r="W35">
        <f>HYPERLINK("https://klasma.github.io/Logging_1380/kartor/A 9049-2026 karta.png", "A 9049-2026")</f>
        <v/>
      </c>
      <c r="Y35">
        <f>HYPERLINK("https://klasma.github.io/Logging_1380/klagomål/A 9049-2026 FSC-klagomål.docx", "A 9049-2026")</f>
        <v/>
      </c>
      <c r="Z35">
        <f>HYPERLINK("https://klasma.github.io/Logging_1380/klagomålsmail/A 9049-2026 FSC-klagomål mail.docx", "A 9049-2026")</f>
        <v/>
      </c>
      <c r="AA35">
        <f>HYPERLINK("https://klasma.github.io/Logging_1380/tillsyn/A 9049-2026 tillsynsbegäran.docx", "A 9049-2026")</f>
        <v/>
      </c>
      <c r="AB35">
        <f>HYPERLINK("https://klasma.github.io/Logging_1380/tillsynsmail/A 9049-2026 tillsynsbegäran mail.docx", "A 9049-2026")</f>
        <v/>
      </c>
      <c r="AC35">
        <f>HYPERLINK("https://klasma.github.io/Logging_1380/fåglar/A 9049-2026 prioriterade fågelarter.docx", "A 9049-2026")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46221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Kambräken
Vanlig groda</t>
        </is>
      </c>
      <c r="V36">
        <f>HYPERLINK("https://klasma.github.io/Logging_1380/artfynd/A 40716-2023 artfynd.xlsx", "A 40716-2023")</f>
        <v/>
      </c>
      <c r="W36">
        <f>HYPERLINK("https://klasma.github.io/Logging_1380/kartor/A 40716-2023 karta.png", "A 40716-2023")</f>
        <v/>
      </c>
      <c r="Y36">
        <f>HYPERLINK("https://klasma.github.io/Logging_1380/klagomål/A 40716-2023 FSC-klagomål.docx", "A 40716-2023")</f>
        <v/>
      </c>
      <c r="Z36">
        <f>HYPERLINK("https://klasma.github.io/Logging_1380/klagomålsmail/A 40716-2023 FSC-klagomål mail.docx", "A 40716-2023")</f>
        <v/>
      </c>
      <c r="AA36">
        <f>HYPERLINK("https://klasma.github.io/Logging_1380/tillsyn/A 40716-2023 tillsynsbegäran.docx", "A 40716-2023")</f>
        <v/>
      </c>
      <c r="AB36">
        <f>HYPERLINK("https://klasma.github.io/Logging_1380/tillsynsmail/A 40716-2023 tillsynsbegäran mail.docx", "A 40716-2023")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46221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Kambräken
Platt fjädermossa</t>
        </is>
      </c>
      <c r="V37">
        <f>HYPERLINK("https://klasma.github.io/Logging_1380/artfynd/A 40045-2025 artfynd.xlsx", "A 40045-2025")</f>
        <v/>
      </c>
      <c r="W37">
        <f>HYPERLINK("https://klasma.github.io/Logging_1380/kartor/A 40045-2025 karta.png", "A 40045-2025")</f>
        <v/>
      </c>
      <c r="Y37">
        <f>HYPERLINK("https://klasma.github.io/Logging_1380/klagomål/A 40045-2025 FSC-klagomål.docx", "A 40045-2025")</f>
        <v/>
      </c>
      <c r="Z37">
        <f>HYPERLINK("https://klasma.github.io/Logging_1380/klagomålsmail/A 40045-2025 FSC-klagomål mail.docx", "A 40045-2025")</f>
        <v/>
      </c>
      <c r="AA37">
        <f>HYPERLINK("https://klasma.github.io/Logging_1380/tillsyn/A 40045-2025 tillsynsbegäran.docx", "A 40045-2025")</f>
        <v/>
      </c>
      <c r="AB37">
        <f>HYPERLINK("https://klasma.github.io/Logging_1380/tillsynsmail/A 40045-2025 tillsynsbegäran mail.docx", "A 40045-2025")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46221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s="2" t="inlineStr">
        <is>
          <t>Nordfladdermus
Dvärgpipistrell</t>
        </is>
      </c>
      <c r="V38">
        <f>HYPERLINK("https://klasma.github.io/Logging_1380/artfynd/A 61670-2023 artfynd.xlsx", "A 61670-2023")</f>
        <v/>
      </c>
      <c r="W38">
        <f>HYPERLINK("https://klasma.github.io/Logging_1380/kartor/A 61670-2023 karta.png", "A 61670-2023")</f>
        <v/>
      </c>
      <c r="Y38">
        <f>HYPERLINK("https://klasma.github.io/Logging_1380/klagomål/A 61670-2023 FSC-klagomål.docx", "A 61670-2023")</f>
        <v/>
      </c>
      <c r="Z38">
        <f>HYPERLINK("https://klasma.github.io/Logging_1380/klagomålsmail/A 61670-2023 FSC-klagomål mail.docx", "A 61670-2023")</f>
        <v/>
      </c>
      <c r="AA38">
        <f>HYPERLINK("https://klasma.github.io/Logging_1380/tillsyn/A 61670-2023 tillsynsbegäran.docx", "A 61670-2023")</f>
        <v/>
      </c>
      <c r="AB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46221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s="2" t="inlineStr">
        <is>
          <t>Entita
Törnskata</t>
        </is>
      </c>
      <c r="V39">
        <f>HYPERLINK("https://klasma.github.io/Logging_1380/artfynd/A 18427-2023 artfynd.xlsx", "A 18427-2023")</f>
        <v/>
      </c>
      <c r="W39">
        <f>HYPERLINK("https://klasma.github.io/Logging_1380/kartor/A 18427-2023 karta.png", "A 18427-2023")</f>
        <v/>
      </c>
      <c r="Y39">
        <f>HYPERLINK("https://klasma.github.io/Logging_1380/klagomål/A 18427-2023 FSC-klagomål.docx", "A 18427-2023")</f>
        <v/>
      </c>
      <c r="Z39">
        <f>HYPERLINK("https://klasma.github.io/Logging_1380/klagomålsmail/A 18427-2023 FSC-klagomål mail.docx", "A 18427-2023")</f>
        <v/>
      </c>
      <c r="AA39">
        <f>HYPERLINK("https://klasma.github.io/Logging_1380/tillsyn/A 18427-2023 tillsynsbegäran.docx", "A 18427-2023")</f>
        <v/>
      </c>
      <c r="AB39">
        <f>HYPERLINK("https://klasma.github.io/Logging_1380/tillsynsmail/A 18427-2023 tillsynsbegäran mail.docx", "A 18427-2023")</f>
        <v/>
      </c>
      <c r="AC39">
        <f>HYPERLINK("https://klasma.github.io/Logging_1380/fåglar/A 18427-2023 prioriterade fågelarter.docx", "A 18427-2023")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46221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Skogsalm
Tibast</t>
        </is>
      </c>
      <c r="V40">
        <f>HYPERLINK("https://klasma.github.io/Logging_1380/artfynd/A 25250-2026 artfynd.xlsx", "A 25250-2026")</f>
        <v/>
      </c>
      <c r="W40">
        <f>HYPERLINK("https://klasma.github.io/Logging_1380/kartor/A 25250-2026 karta.png", "A 25250-2026")</f>
        <v/>
      </c>
      <c r="Y40">
        <f>HYPERLINK("https://klasma.github.io/Logging_1380/klagomål/A 25250-2026 FSC-klagomål.docx", "A 25250-2026")</f>
        <v/>
      </c>
      <c r="Z40">
        <f>HYPERLINK("https://klasma.github.io/Logging_1380/klagomålsmail/A 25250-2026 FSC-klagomål mail.docx", "A 25250-2026")</f>
        <v/>
      </c>
      <c r="AA40">
        <f>HYPERLINK("https://klasma.github.io/Logging_1380/tillsyn/A 25250-2026 tillsynsbegäran.docx", "A 25250-2026")</f>
        <v/>
      </c>
      <c r="AB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s="2" t="inlineStr">
        <is>
          <t>Hårginst
Källmossor</t>
        </is>
      </c>
      <c r="V41">
        <f>HYPERLINK("https://klasma.github.io/Logging_1380/artfynd/S 1371-2026 artfynd.xlsx", "S 1371-2026")</f>
        <v/>
      </c>
      <c r="W41">
        <f>HYPERLINK("https://klasma.github.io/Logging_1380/kartor/S 1371-2026 karta.png", "S 1371-2026")</f>
        <v/>
      </c>
      <c r="Y41">
        <f>HYPERLINK("https://klasma.github.io/Logging_1380/klagomål/S 1371-2026 FSC-klagomål.docx", "S 1371-2026")</f>
        <v/>
      </c>
      <c r="Z41">
        <f>HYPERLINK("https://klasma.github.io/Logging_1380/klagomålsmail/S 1371-2026 FSC-klagomål mail.docx", "S 1371-2026")</f>
        <v/>
      </c>
      <c r="AA41">
        <f>HYPERLINK("https://klasma.github.io/Logging_1380/tillsyn/S 1371-2026 tillsynsbegäran.docx", "S 1371-2026")</f>
        <v/>
      </c>
      <c r="AB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Vanlig padda</t>
        </is>
      </c>
      <c r="V42">
        <f>HYPERLINK("https://klasma.github.io/Logging_1380/artfynd/A 71022-2021 artfynd.xlsx", "A 71022-2021")</f>
        <v/>
      </c>
      <c r="W42">
        <f>HYPERLINK("https://klasma.github.io/Logging_1380/kartor/A 71022-2021 karta.png", "A 71022-2021")</f>
        <v/>
      </c>
      <c r="Y42">
        <f>HYPERLINK("https://klasma.github.io/Logging_1380/klagomål/A 71022-2021 FSC-klagomål.docx", "A 71022-2021")</f>
        <v/>
      </c>
      <c r="Z42">
        <f>HYPERLINK("https://klasma.github.io/Logging_1380/klagomålsmail/A 71022-2021 FSC-klagomål mail.docx", "A 71022-2021")</f>
        <v/>
      </c>
      <c r="AA42">
        <f>HYPERLINK("https://klasma.github.io/Logging_1380/tillsyn/A 71022-2021 tillsynsbegäran.docx", "A 71022-2021")</f>
        <v/>
      </c>
      <c r="AB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46221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Järnsparv</t>
        </is>
      </c>
      <c r="V43">
        <f>HYPERLINK("https://klasma.github.io/Logging_1380/artfynd/A 46008-2021 artfynd.xlsx", "A 46008-2021")</f>
        <v/>
      </c>
      <c r="W43">
        <f>HYPERLINK("https://klasma.github.io/Logging_1380/kartor/A 46008-2021 karta.png", "A 46008-2021")</f>
        <v/>
      </c>
      <c r="Y43">
        <f>HYPERLINK("https://klasma.github.io/Logging_1380/klagomål/A 46008-2021 FSC-klagomål.docx", "A 46008-2021")</f>
        <v/>
      </c>
      <c r="Z43">
        <f>HYPERLINK("https://klasma.github.io/Logging_1380/klagomålsmail/A 46008-2021 FSC-klagomål mail.docx", "A 46008-2021")</f>
        <v/>
      </c>
      <c r="AA43">
        <f>HYPERLINK("https://klasma.github.io/Logging_1380/tillsyn/A 46008-2021 tillsynsbegäran.docx", "A 46008-2021")</f>
        <v/>
      </c>
      <c r="AB43">
        <f>HYPERLINK("https://klasma.github.io/Logging_1380/tillsynsmail/A 46008-2021 tillsynsbegäran mail.docx", "A 46008-2021")</f>
        <v/>
      </c>
      <c r="AC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46221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Brandticka</t>
        </is>
      </c>
      <c r="V44">
        <f>HYPERLINK("https://klasma.github.io/Logging_1380/artfynd/A 70769-2021 artfynd.xlsx", "A 70769-2021")</f>
        <v/>
      </c>
      <c r="W44">
        <f>HYPERLINK("https://klasma.github.io/Logging_1380/kartor/A 70769-2021 karta.png", "A 70769-2021")</f>
        <v/>
      </c>
      <c r="Y44">
        <f>HYPERLINK("https://klasma.github.io/Logging_1380/klagomål/A 70769-2021 FSC-klagomål.docx", "A 70769-2021")</f>
        <v/>
      </c>
      <c r="Z44">
        <f>HYPERLINK("https://klasma.github.io/Logging_1380/klagomålsmail/A 70769-2021 FSC-klagomål mail.docx", "A 70769-2021")</f>
        <v/>
      </c>
      <c r="AA44">
        <f>HYPERLINK("https://klasma.github.io/Logging_1380/tillsyn/A 70769-2021 tillsynsbegäran.docx", "A 70769-2021")</f>
        <v/>
      </c>
      <c r="AB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46221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Slätbjörnbär</t>
        </is>
      </c>
      <c r="V45">
        <f>HYPERLINK("https://klasma.github.io/Logging_1380/artfynd/A 14779-2022 artfynd.xlsx", "A 14779-2022")</f>
        <v/>
      </c>
      <c r="W45">
        <f>HYPERLINK("https://klasma.github.io/Logging_1380/kartor/A 14779-2022 karta.png", "A 14779-2022")</f>
        <v/>
      </c>
      <c r="Y45">
        <f>HYPERLINK("https://klasma.github.io/Logging_1380/klagomål/A 14779-2022 FSC-klagomål.docx", "A 14779-2022")</f>
        <v/>
      </c>
      <c r="Z45">
        <f>HYPERLINK("https://klasma.github.io/Logging_1380/klagomålsmail/A 14779-2022 FSC-klagomål mail.docx", "A 14779-2022")</f>
        <v/>
      </c>
      <c r="AA45">
        <f>HYPERLINK("https://klasma.github.io/Logging_1380/tillsyn/A 14779-2022 tillsynsbegäran.docx", "A 14779-2022")</f>
        <v/>
      </c>
      <c r="AB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46221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Gulsparv</t>
        </is>
      </c>
      <c r="V46">
        <f>HYPERLINK("https://klasma.github.io/Logging_1380/artfynd/A 57025-2021 artfynd.xlsx", "A 57025-2021")</f>
        <v/>
      </c>
      <c r="W46">
        <f>HYPERLINK("https://klasma.github.io/Logging_1380/kartor/A 57025-2021 karta.png", "A 57025-2021")</f>
        <v/>
      </c>
      <c r="Y46">
        <f>HYPERLINK("https://klasma.github.io/Logging_1380/klagomål/A 57025-2021 FSC-klagomål.docx", "A 57025-2021")</f>
        <v/>
      </c>
      <c r="Z46">
        <f>HYPERLINK("https://klasma.github.io/Logging_1380/klagomålsmail/A 57025-2021 FSC-klagomål mail.docx", "A 57025-2021")</f>
        <v/>
      </c>
      <c r="AA46">
        <f>HYPERLINK("https://klasma.github.io/Logging_1380/tillsyn/A 57025-2021 tillsynsbegäran.docx", "A 57025-2021")</f>
        <v/>
      </c>
      <c r="AB46">
        <f>HYPERLINK("https://klasma.github.io/Logging_1380/tillsynsmail/A 57025-2021 tillsynsbegäran mail.docx", "A 57025-2021")</f>
        <v/>
      </c>
      <c r="AC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46221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Skogsduva</t>
        </is>
      </c>
      <c r="V47">
        <f>HYPERLINK("https://klasma.github.io/Logging_1380/artfynd/A 38661-2021 artfynd.xlsx", "A 38661-2021")</f>
        <v/>
      </c>
      <c r="W47">
        <f>HYPERLINK("https://klasma.github.io/Logging_1380/kartor/A 38661-2021 karta.png", "A 38661-2021")</f>
        <v/>
      </c>
      <c r="Y47">
        <f>HYPERLINK("https://klasma.github.io/Logging_1380/klagomål/A 38661-2021 FSC-klagomål.docx", "A 38661-2021")</f>
        <v/>
      </c>
      <c r="Z47">
        <f>HYPERLINK("https://klasma.github.io/Logging_1380/klagomålsmail/A 38661-2021 FSC-klagomål mail.docx", "A 38661-2021")</f>
        <v/>
      </c>
      <c r="AA47">
        <f>HYPERLINK("https://klasma.github.io/Logging_1380/tillsyn/A 38661-2021 tillsynsbegäran.docx", "A 38661-2021")</f>
        <v/>
      </c>
      <c r="AB47">
        <f>HYPERLINK("https://klasma.github.io/Logging_1380/tillsynsmail/A 38661-2021 tillsynsbegäran mail.docx", "A 38661-2021")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46221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HYPERLINK("https://klasma.github.io/Logging_1380/artfynd/A 38318-2025 artfynd.xlsx", "A 38318-2025")</f>
        <v/>
      </c>
      <c r="W48">
        <f>HYPERLINK("https://klasma.github.io/Logging_1380/kartor/A 38318-2025 karta.png", "A 38318-2025")</f>
        <v/>
      </c>
      <c r="Y48">
        <f>HYPERLINK("https://klasma.github.io/Logging_1380/klagomål/A 38318-2025 FSC-klagomål.docx", "A 38318-2025")</f>
        <v/>
      </c>
      <c r="Z48">
        <f>HYPERLINK("https://klasma.github.io/Logging_1380/klagomålsmail/A 38318-2025 FSC-klagomål mail.docx", "A 38318-2025")</f>
        <v/>
      </c>
      <c r="AA48">
        <f>HYPERLINK("https://klasma.github.io/Logging_1380/tillsyn/A 38318-2025 tillsynsbegäran.docx", "A 38318-2025")</f>
        <v/>
      </c>
      <c r="AB48">
        <f>HYPERLINK("https://klasma.github.io/Logging_1380/tillsynsmail/A 38318-2025 tillsynsbegäran mail.docx", "A 38318-2025")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46221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Dunmossa</t>
        </is>
      </c>
      <c r="V49">
        <f>HYPERLINK("https://klasma.github.io/Logging_1380/artfynd/A 59260-2022 artfynd.xlsx", "A 59260-2022")</f>
        <v/>
      </c>
      <c r="W49">
        <f>HYPERLINK("https://klasma.github.io/Logging_1380/kartor/A 59260-2022 karta.png", "A 59260-2022")</f>
        <v/>
      </c>
      <c r="Y49">
        <f>HYPERLINK("https://klasma.github.io/Logging_1380/klagomål/A 59260-2022 FSC-klagomål.docx", "A 59260-2022")</f>
        <v/>
      </c>
      <c r="Z49">
        <f>HYPERLINK("https://klasma.github.io/Logging_1380/klagomålsmail/A 59260-2022 FSC-klagomål mail.docx", "A 59260-2022")</f>
        <v/>
      </c>
      <c r="AA49">
        <f>HYPERLINK("https://klasma.github.io/Logging_1380/tillsyn/A 59260-2022 tillsynsbegäran.docx", "A 59260-2022")</f>
        <v/>
      </c>
      <c r="AB49">
        <f>HYPERLINK("https://klasma.github.io/Logging_1380/tillsynsmail/A 59260-2022 tillsynsbegäran mail.docx", "A 59260-2022")</f>
        <v/>
      </c>
    </row>
    <row r="50" ht="15" customHeight="1">
      <c r="A50" t="inlineStr">
        <is>
          <t>A 27386-2025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46221</v>
      </c>
      <c r="F50" t="inlineStr">
        <is>
          <t>HALLANDS LÄN</t>
        </is>
      </c>
      <c r="G50" t="inlineStr">
        <is>
          <t>HALMSTAD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Kambräken</t>
        </is>
      </c>
      <c r="V50">
        <f>HYPERLINK("https://klasma.github.io/Logging_1380/artfynd/A 27386-2025 artfynd.xlsx", "A 27386-2025")</f>
        <v/>
      </c>
      <c r="W50">
        <f>HYPERLINK("https://klasma.github.io/Logging_1380/kartor/A 27386-2025 karta.png", "A 27386-2025")</f>
        <v/>
      </c>
      <c r="Y50">
        <f>HYPERLINK("https://klasma.github.io/Logging_1380/klagomål/A 27386-2025 FSC-klagomål.docx", "A 27386-2025")</f>
        <v/>
      </c>
      <c r="Z50">
        <f>HYPERLINK("https://klasma.github.io/Logging_1380/klagomålsmail/A 27386-2025 FSC-klagomål mail.docx", "A 27386-2025")</f>
        <v/>
      </c>
      <c r="AA50">
        <f>HYPERLINK("https://klasma.github.io/Logging_1380/tillsyn/A 27386-2025 tillsynsbegäran.docx", "A 27386-2025")</f>
        <v/>
      </c>
      <c r="AB50">
        <f>HYPERLINK("https://klasma.github.io/Logging_1380/tillsynsmail/A 27386-2025 tillsynsbegäran mail.docx", "A 27386-2025")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46221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Hårginst</t>
        </is>
      </c>
      <c r="V51">
        <f>HYPERLINK("https://klasma.github.io/Logging_1380/artfynd/A 21488-2024 artfynd.xlsx", "A 21488-2024")</f>
        <v/>
      </c>
      <c r="W51">
        <f>HYPERLINK("https://klasma.github.io/Logging_1380/kartor/A 21488-2024 karta.png", "A 21488-2024")</f>
        <v/>
      </c>
      <c r="Y51">
        <f>HYPERLINK("https://klasma.github.io/Logging_1380/klagomål/A 21488-2024 FSC-klagomål.docx", "A 21488-2024")</f>
        <v/>
      </c>
      <c r="Z51">
        <f>HYPERLINK("https://klasma.github.io/Logging_1380/klagomålsmail/A 21488-2024 FSC-klagomål mail.docx", "A 21488-2024")</f>
        <v/>
      </c>
      <c r="AA51">
        <f>HYPERLINK("https://klasma.github.io/Logging_1380/tillsyn/A 21488-2024 tillsynsbegäran.docx", "A 21488-2024")</f>
        <v/>
      </c>
      <c r="AB51">
        <f>HYPERLINK("https://klasma.github.io/Logging_1380/tillsynsmail/A 21488-2024 tillsynsbegäran mail.docx", "A 21488-2024")</f>
        <v/>
      </c>
    </row>
    <row r="52" ht="15" customHeight="1">
      <c r="A52" t="inlineStr">
        <is>
          <t>A 32822-2025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46221</v>
      </c>
      <c r="F52" t="inlineStr">
        <is>
          <t>HALLANDS LÄN</t>
        </is>
      </c>
      <c r="G52" t="inlineStr">
        <is>
          <t>HALMSTAD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Hasselmus</t>
        </is>
      </c>
      <c r="V52">
        <f>HYPERLINK("https://klasma.github.io/Logging_1380/artfynd/A 32822-2025 artfynd.xlsx", "A 32822-2025")</f>
        <v/>
      </c>
      <c r="W52">
        <f>HYPERLINK("https://klasma.github.io/Logging_1380/kartor/A 32822-2025 karta.png", "A 32822-2025")</f>
        <v/>
      </c>
      <c r="Y52">
        <f>HYPERLINK("https://klasma.github.io/Logging_1380/klagomål/A 32822-2025 FSC-klagomål.docx", "A 32822-2025")</f>
        <v/>
      </c>
      <c r="Z52">
        <f>HYPERLINK("https://klasma.github.io/Logging_1380/klagomålsmail/A 32822-2025 FSC-klagomål mail.docx", "A 32822-2025")</f>
        <v/>
      </c>
      <c r="AA52">
        <f>HYPERLINK("https://klasma.github.io/Logging_1380/tillsyn/A 32822-2025 tillsynsbegäran.docx", "A 32822-2025")</f>
        <v/>
      </c>
      <c r="AB52">
        <f>HYPERLINK("https://klasma.github.io/Logging_1380/tillsynsmail/A 32822-2025 tillsynsbegäran mail.docx", "A 32822-2025")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46221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Hårginst</t>
        </is>
      </c>
      <c r="V53">
        <f>HYPERLINK("https://klasma.github.io/Logging_1380/artfynd/A 40623-2023 artfynd.xlsx", "A 40623-2023")</f>
        <v/>
      </c>
      <c r="W53">
        <f>HYPERLINK("https://klasma.github.io/Logging_1380/kartor/A 40623-2023 karta.png", "A 40623-2023")</f>
        <v/>
      </c>
      <c r="Y53">
        <f>HYPERLINK("https://klasma.github.io/Logging_1380/klagomål/A 40623-2023 FSC-klagomål.docx", "A 40623-2023")</f>
        <v/>
      </c>
      <c r="Z53">
        <f>HYPERLINK("https://klasma.github.io/Logging_1380/klagomålsmail/A 40623-2023 FSC-klagomål mail.docx", "A 40623-2023")</f>
        <v/>
      </c>
      <c r="AA53">
        <f>HYPERLINK("https://klasma.github.io/Logging_1380/tillsyn/A 40623-2023 tillsynsbegäran.docx", "A 40623-2023")</f>
        <v/>
      </c>
      <c r="AB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46221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Kambräken</t>
        </is>
      </c>
      <c r="V54">
        <f>HYPERLINK("https://klasma.github.io/Logging_1380/artfynd/A 40659-2023 artfynd.xlsx", "A 40659-2023")</f>
        <v/>
      </c>
      <c r="W54">
        <f>HYPERLINK("https://klasma.github.io/Logging_1380/kartor/A 40659-2023 karta.png", "A 40659-2023")</f>
        <v/>
      </c>
      <c r="Y54">
        <f>HYPERLINK("https://klasma.github.io/Logging_1380/klagomål/A 40659-2023 FSC-klagomål.docx", "A 40659-2023")</f>
        <v/>
      </c>
      <c r="Z54">
        <f>HYPERLINK("https://klasma.github.io/Logging_1380/klagomålsmail/A 40659-2023 FSC-klagomål mail.docx", "A 40659-2023")</f>
        <v/>
      </c>
      <c r="AA54">
        <f>HYPERLINK("https://klasma.github.io/Logging_1380/tillsyn/A 40659-2023 tillsynsbegäran.docx", "A 40659-2023")</f>
        <v/>
      </c>
      <c r="AB54">
        <f>HYPERLINK("https://klasma.github.io/Logging_1380/tillsynsmail/A 40659-2023 tillsynsbegäran mail.docx", "A 40659-2023")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46221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Igelkott</t>
        </is>
      </c>
      <c r="V55">
        <f>HYPERLINK("https://klasma.github.io/Logging_1380/artfynd/A 9816-2025 artfynd.xlsx", "A 9816-2025")</f>
        <v/>
      </c>
      <c r="W55">
        <f>HYPERLINK("https://klasma.github.io/Logging_1380/kartor/A 9816-2025 karta.png", "A 9816-2025")</f>
        <v/>
      </c>
      <c r="Y55">
        <f>HYPERLINK("https://klasma.github.io/Logging_1380/klagomål/A 9816-2025 FSC-klagomål.docx", "A 9816-2025")</f>
        <v/>
      </c>
      <c r="Z55">
        <f>HYPERLINK("https://klasma.github.io/Logging_1380/klagomålsmail/A 9816-2025 FSC-klagomål mail.docx", "A 9816-2025")</f>
        <v/>
      </c>
      <c r="AA55">
        <f>HYPERLINK("https://klasma.github.io/Logging_1380/tillsyn/A 9816-2025 tillsynsbegäran.docx", "A 9816-2025")</f>
        <v/>
      </c>
      <c r="AB55">
        <f>HYPERLINK("https://klasma.github.io/Logging_1380/tillsynsmail/A 9816-2025 tillsynsbegäran mail.docx", "A 9816-2025")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46221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Grönvit nattviol</t>
        </is>
      </c>
      <c r="V56">
        <f>HYPERLINK("https://klasma.github.io/Logging_1380/artfynd/A 2994-2024 artfynd.xlsx", "A 2994-2024")</f>
        <v/>
      </c>
      <c r="W56">
        <f>HYPERLINK("https://klasma.github.io/Logging_1380/kartor/A 2994-2024 karta.png", "A 2994-2024")</f>
        <v/>
      </c>
      <c r="Y56">
        <f>HYPERLINK("https://klasma.github.io/Logging_1380/klagomål/A 2994-2024 FSC-klagomål.docx", "A 2994-2024")</f>
        <v/>
      </c>
      <c r="Z56">
        <f>HYPERLINK("https://klasma.github.io/Logging_1380/klagomålsmail/A 2994-2024 FSC-klagomål mail.docx", "A 2994-2024")</f>
        <v/>
      </c>
      <c r="AA56">
        <f>HYPERLINK("https://klasma.github.io/Logging_1380/tillsyn/A 2994-2024 tillsynsbegäran.docx", "A 2994-2024")</f>
        <v/>
      </c>
      <c r="AB56">
        <f>HYPERLINK("https://klasma.github.io/Logging_1380/tillsynsmail/A 2994-2024 tillsynsbegäran mail.docx", "A 2994-2024")</f>
        <v/>
      </c>
    </row>
    <row r="57" ht="15" customHeight="1">
      <c r="A57" t="inlineStr">
        <is>
          <t>A 6987-2026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46057</v>
      </c>
      <c r="E57" s="1" t="n">
        <v>46221</v>
      </c>
      <c r="F57" t="inlineStr">
        <is>
          <t>HALLANDS LÄN</t>
        </is>
      </c>
      <c r="G57" t="inlineStr">
        <is>
          <t>HALMSTAD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Dvärgpipistrell</t>
        </is>
      </c>
      <c r="V57">
        <f>HYPERLINK("https://klasma.github.io/Logging_1380/artfynd/A 6987-2026 artfynd.xlsx", "A 6987-2026")</f>
        <v/>
      </c>
      <c r="W57">
        <f>HYPERLINK("https://klasma.github.io/Logging_1380/kartor/A 6987-2026 karta.png", "A 6987-2026")</f>
        <v/>
      </c>
      <c r="Y57">
        <f>HYPERLINK("https://klasma.github.io/Logging_1380/klagomål/A 6987-2026 FSC-klagomål.docx", "A 6987-2026")</f>
        <v/>
      </c>
      <c r="Z57">
        <f>HYPERLINK("https://klasma.github.io/Logging_1380/klagomålsmail/A 6987-2026 FSC-klagomål mail.docx", "A 6987-2026")</f>
        <v/>
      </c>
      <c r="AA57">
        <f>HYPERLINK("https://klasma.github.io/Logging_1380/tillsyn/A 6987-2026 tillsynsbegäran.docx", "A 6987-2026")</f>
        <v/>
      </c>
      <c r="AB57">
        <f>HYPERLINK("https://klasma.github.io/Logging_1380/tillsynsmail/A 6987-2026 tillsynsbegäran mail.docx", "A 6987-2026")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46221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Ljungögontröst</t>
        </is>
      </c>
      <c r="V58">
        <f>HYPERLINK("https://klasma.github.io/Logging_1380/artfynd/A 19588-2023 artfynd.xlsx", "A 19588-2023")</f>
        <v/>
      </c>
      <c r="W58">
        <f>HYPERLINK("https://klasma.github.io/Logging_1380/kartor/A 19588-2023 karta.png", "A 19588-2023")</f>
        <v/>
      </c>
      <c r="Y58">
        <f>HYPERLINK("https://klasma.github.io/Logging_1380/klagomål/A 19588-2023 FSC-klagomål.docx", "A 19588-2023")</f>
        <v/>
      </c>
      <c r="Z58">
        <f>HYPERLINK("https://klasma.github.io/Logging_1380/klagomålsmail/A 19588-2023 FSC-klagomål mail.docx", "A 19588-2023")</f>
        <v/>
      </c>
      <c r="AA58">
        <f>HYPERLINK("https://klasma.github.io/Logging_1380/tillsyn/A 19588-2023 tillsynsbegäran.docx", "A 19588-2023")</f>
        <v/>
      </c>
      <c r="AB58">
        <f>HYPERLINK("https://klasma.github.io/Logging_1380/tillsynsmail/A 19588-2023 tillsynsbegäran mail.docx", "A 19588-2023")</f>
        <v/>
      </c>
    </row>
    <row r="59" ht="15" customHeight="1">
      <c r="A59" t="inlineStr">
        <is>
          <t>A 24383-2023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46221</v>
      </c>
      <c r="F59" t="inlineStr">
        <is>
          <t>HALLANDS LÄN</t>
        </is>
      </c>
      <c r="G59" t="inlineStr">
        <is>
          <t>HALMSTAD</t>
        </is>
      </c>
      <c r="I59" t="n">
        <v>3.2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Kambräken</t>
        </is>
      </c>
      <c r="V59">
        <f>HYPERLINK("https://klasma.github.io/Logging_1380/artfynd/A 24383-2023 artfynd.xlsx", "A 24383-2023")</f>
        <v/>
      </c>
      <c r="W59">
        <f>HYPERLINK("https://klasma.github.io/Logging_1380/kartor/A 24383-2023 karta.png", "A 24383-2023")</f>
        <v/>
      </c>
      <c r="Y59">
        <f>HYPERLINK("https://klasma.github.io/Logging_1380/klagomål/A 24383-2023 FSC-klagomål.docx", "A 24383-2023")</f>
        <v/>
      </c>
      <c r="Z59">
        <f>HYPERLINK("https://klasma.github.io/Logging_1380/klagomålsmail/A 24383-2023 FSC-klagomål mail.docx", "A 24383-2023")</f>
        <v/>
      </c>
      <c r="AA59">
        <f>HYPERLINK("https://klasma.github.io/Logging_1380/tillsyn/A 24383-2023 tillsynsbegäran.docx", "A 24383-2023")</f>
        <v/>
      </c>
      <c r="AB59">
        <f>HYPERLINK("https://klasma.github.io/Logging_1380/tillsynsmail/A 24383-2023 tillsynsbegäran mail.docx", "A 24383-2023")</f>
        <v/>
      </c>
    </row>
    <row r="60" ht="15" customHeight="1">
      <c r="A60" t="inlineStr">
        <is>
          <t>A 16387-2023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46221</v>
      </c>
      <c r="F60" t="inlineStr">
        <is>
          <t>HALLANDS LÄN</t>
        </is>
      </c>
      <c r="G60" t="inlineStr">
        <is>
          <t>HALMSTAD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HYPERLINK("https://klasma.github.io/Logging_1380/artfynd/A 16387-2023 artfynd.xlsx", "A 16387-2023")</f>
        <v/>
      </c>
      <c r="W60">
        <f>HYPERLINK("https://klasma.github.io/Logging_1380/kartor/A 16387-2023 karta.png", "A 16387-2023")</f>
        <v/>
      </c>
      <c r="Y60">
        <f>HYPERLINK("https://klasma.github.io/Logging_1380/klagomål/A 16387-2023 FSC-klagomål.docx", "A 16387-2023")</f>
        <v/>
      </c>
      <c r="Z60">
        <f>HYPERLINK("https://klasma.github.io/Logging_1380/klagomålsmail/A 16387-2023 FSC-klagomål mail.docx", "A 16387-2023")</f>
        <v/>
      </c>
      <c r="AA60">
        <f>HYPERLINK("https://klasma.github.io/Logging_1380/tillsyn/A 16387-2023 tillsynsbegäran.docx", "A 16387-2023")</f>
        <v/>
      </c>
      <c r="AB60">
        <f>HYPERLINK("https://klasma.github.io/Logging_1380/tillsynsmail/A 16387-2023 tillsynsbegäran mail.docx", "A 16387-2023")</f>
        <v/>
      </c>
      <c r="AC60">
        <f>HYPERLINK("https://klasma.github.io/Logging_1380/fåglar/A 16387-2023 prioriterade fågelarter.docx", "A 16387-2023")</f>
        <v/>
      </c>
    </row>
    <row r="61" ht="15" customHeight="1">
      <c r="A61" t="inlineStr">
        <is>
          <t>A 10063-2022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46221</v>
      </c>
      <c r="F61" t="inlineStr">
        <is>
          <t>HALLANDS LÄN</t>
        </is>
      </c>
      <c r="G61" t="inlineStr">
        <is>
          <t>HALMSTAD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Hasselmus</t>
        </is>
      </c>
      <c r="V61">
        <f>HYPERLINK("https://klasma.github.io/Logging_1380/artfynd/A 10063-2022 artfynd.xlsx", "A 10063-2022")</f>
        <v/>
      </c>
      <c r="W61">
        <f>HYPERLINK("https://klasma.github.io/Logging_1380/kartor/A 10063-2022 karta.png", "A 10063-2022")</f>
        <v/>
      </c>
      <c r="Y61">
        <f>HYPERLINK("https://klasma.github.io/Logging_1380/klagomål/A 10063-2022 FSC-klagomål.docx", "A 10063-2022")</f>
        <v/>
      </c>
      <c r="Z61">
        <f>HYPERLINK("https://klasma.github.io/Logging_1380/klagomålsmail/A 10063-2022 FSC-klagomål mail.docx", "A 10063-2022")</f>
        <v/>
      </c>
      <c r="AA61">
        <f>HYPERLINK("https://klasma.github.io/Logging_1380/tillsyn/A 10063-2022 tillsynsbegäran.docx", "A 10063-2022")</f>
        <v/>
      </c>
      <c r="AB61">
        <f>HYPERLINK("https://klasma.github.io/Logging_1380/tillsynsmail/A 10063-2022 tillsynsbegäran mail.docx", "A 10063-2022")</f>
        <v/>
      </c>
    </row>
    <row r="62" ht="15" customHeight="1">
      <c r="A62" t="inlineStr">
        <is>
          <t>A 20419-2022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46221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6.5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</t>
        </is>
      </c>
      <c r="V62">
        <f>HYPERLINK("https://klasma.github.io/Logging_1380/artfynd/A 20419-2022 artfynd.xlsx", "A 20419-2022")</f>
        <v/>
      </c>
      <c r="W62">
        <f>HYPERLINK("https://klasma.github.io/Logging_1380/kartor/A 20419-2022 karta.png", "A 20419-2022")</f>
        <v/>
      </c>
      <c r="Y62">
        <f>HYPERLINK("https://klasma.github.io/Logging_1380/klagomål/A 20419-2022 FSC-klagomål.docx", "A 20419-2022")</f>
        <v/>
      </c>
      <c r="Z62">
        <f>HYPERLINK("https://klasma.github.io/Logging_1380/klagomålsmail/A 20419-2022 FSC-klagomål mail.docx", "A 20419-2022")</f>
        <v/>
      </c>
      <c r="AA62">
        <f>HYPERLINK("https://klasma.github.io/Logging_1380/tillsyn/A 20419-2022 tillsynsbegäran.docx", "A 20419-2022")</f>
        <v/>
      </c>
      <c r="AB62">
        <f>HYPERLINK("https://klasma.github.io/Logging_1380/tillsynsmail/A 20419-2022 tillsynsbegäran mail.docx", "A 20419-2022")</f>
        <v/>
      </c>
    </row>
    <row r="63" ht="15" customHeight="1">
      <c r="A63" t="inlineStr">
        <is>
          <t>A 37139-2025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46221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Kornknutmossa</t>
        </is>
      </c>
      <c r="V63">
        <f>HYPERLINK("https://klasma.github.io/Logging_1380/artfynd/A 37139-2025 artfynd.xlsx", "A 37139-2025")</f>
        <v/>
      </c>
      <c r="W63">
        <f>HYPERLINK("https://klasma.github.io/Logging_1380/kartor/A 37139-2025 karta.png", "A 37139-2025")</f>
        <v/>
      </c>
      <c r="Y63">
        <f>HYPERLINK("https://klasma.github.io/Logging_1380/klagomål/A 37139-2025 FSC-klagomål.docx", "A 37139-2025")</f>
        <v/>
      </c>
      <c r="Z63">
        <f>HYPERLINK("https://klasma.github.io/Logging_1380/klagomålsmail/A 37139-2025 FSC-klagomål mail.docx", "A 37139-2025")</f>
        <v/>
      </c>
      <c r="AA63">
        <f>HYPERLINK("https://klasma.github.io/Logging_1380/tillsyn/A 37139-2025 tillsynsbegäran.docx", "A 37139-2025")</f>
        <v/>
      </c>
      <c r="AB63">
        <f>HYPERLINK("https://klasma.github.io/Logging_1380/tillsynsmail/A 37139-2025 tillsynsbegäran mail.docx", "A 37139-2025")</f>
        <v/>
      </c>
    </row>
    <row r="64" ht="15" customHeight="1">
      <c r="A64" t="inlineStr">
        <is>
          <t>A 5240-2025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45692</v>
      </c>
      <c r="E64" s="1" t="n">
        <v>46221</v>
      </c>
      <c r="F64" t="inlineStr">
        <is>
          <t>HALLANDS LÄN</t>
        </is>
      </c>
      <c r="G64" t="inlineStr">
        <is>
          <t>HALMSTAD</t>
        </is>
      </c>
      <c r="I64" t="n">
        <v>8.300000000000001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Mussellav</t>
        </is>
      </c>
      <c r="V64">
        <f>HYPERLINK("https://klasma.github.io/Logging_1380/artfynd/A 5240-2025 artfynd.xlsx", "A 5240-2025")</f>
        <v/>
      </c>
      <c r="W64">
        <f>HYPERLINK("https://klasma.github.io/Logging_1380/kartor/A 5240-2025 karta.png", "A 5240-2025")</f>
        <v/>
      </c>
      <c r="Y64">
        <f>HYPERLINK("https://klasma.github.io/Logging_1380/klagomål/A 5240-2025 FSC-klagomål.docx", "A 5240-2025")</f>
        <v/>
      </c>
      <c r="Z64">
        <f>HYPERLINK("https://klasma.github.io/Logging_1380/klagomålsmail/A 5240-2025 FSC-klagomål mail.docx", "A 5240-2025")</f>
        <v/>
      </c>
      <c r="AA64">
        <f>HYPERLINK("https://klasma.github.io/Logging_1380/tillsyn/A 5240-2025 tillsynsbegäran.docx", "A 5240-2025")</f>
        <v/>
      </c>
      <c r="AB64">
        <f>HYPERLINK("https://klasma.github.io/Logging_1380/tillsynsmail/A 5240-2025 tillsynsbegäran mail.docx", "A 5240-2025")</f>
        <v/>
      </c>
    </row>
    <row r="65" ht="15" customHeight="1">
      <c r="A65" t="inlineStr">
        <is>
          <t>A 53797-2024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46221</v>
      </c>
      <c r="F65" t="inlineStr">
        <is>
          <t>HALLANDS LÄN</t>
        </is>
      </c>
      <c r="G65" t="inlineStr">
        <is>
          <t>HALMSTAD</t>
        </is>
      </c>
      <c r="I65" t="n">
        <v>3.5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Dvärglin</t>
        </is>
      </c>
      <c r="V65">
        <f>HYPERLINK("https://klasma.github.io/Logging_1380/artfynd/A 53797-2024 artfynd.xlsx", "A 53797-2024")</f>
        <v/>
      </c>
      <c r="W65">
        <f>HYPERLINK("https://klasma.github.io/Logging_1380/kartor/A 53797-2024 karta.png", "A 53797-2024")</f>
        <v/>
      </c>
      <c r="Y65">
        <f>HYPERLINK("https://klasma.github.io/Logging_1380/klagomål/A 53797-2024 FSC-klagomål.docx", "A 53797-2024")</f>
        <v/>
      </c>
      <c r="Z65">
        <f>HYPERLINK("https://klasma.github.io/Logging_1380/klagomålsmail/A 53797-2024 FSC-klagomål mail.docx", "A 53797-2024")</f>
        <v/>
      </c>
      <c r="AA65">
        <f>HYPERLINK("https://klasma.github.io/Logging_1380/tillsyn/A 53797-2024 tillsynsbegäran.docx", "A 53797-2024")</f>
        <v/>
      </c>
      <c r="AB65">
        <f>HYPERLINK("https://klasma.github.io/Logging_1380/tillsynsmail/A 53797-2024 tillsynsbegäran mail.docx", "A 53797-2024")</f>
        <v/>
      </c>
    </row>
    <row r="66" ht="15" customHeight="1">
      <c r="A66" t="inlineStr">
        <is>
          <t>A 6767-2026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46221</v>
      </c>
      <c r="F66" t="inlineStr">
        <is>
          <t>HALLANDS LÄN</t>
        </is>
      </c>
      <c r="G66" t="inlineStr">
        <is>
          <t>HALMSTAD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Kambräken</t>
        </is>
      </c>
      <c r="V66">
        <f>HYPERLINK("https://klasma.github.io/Logging_1380/artfynd/A 6767-2026 artfynd.xlsx", "A 6767-2026")</f>
        <v/>
      </c>
      <c r="W66">
        <f>HYPERLINK("https://klasma.github.io/Logging_1380/kartor/A 6767-2026 karta.png", "A 6767-2026")</f>
        <v/>
      </c>
      <c r="Y66">
        <f>HYPERLINK("https://klasma.github.io/Logging_1380/klagomål/A 6767-2026 FSC-klagomål.docx", "A 6767-2026")</f>
        <v/>
      </c>
      <c r="Z66">
        <f>HYPERLINK("https://klasma.github.io/Logging_1380/klagomålsmail/A 6767-2026 FSC-klagomål mail.docx", "A 6767-2026")</f>
        <v/>
      </c>
      <c r="AA66">
        <f>HYPERLINK("https://klasma.github.io/Logging_1380/tillsyn/A 6767-2026 tillsynsbegäran.docx", "A 6767-2026")</f>
        <v/>
      </c>
      <c r="AB66">
        <f>HYPERLINK("https://klasma.github.io/Logging_1380/tillsynsmail/A 6767-2026 tillsynsbegäran mail.docx", "A 6767-2026")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46221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Tibast</t>
        </is>
      </c>
      <c r="V67">
        <f>HYPERLINK("https://klasma.github.io/Logging_1380/artfynd/A 17266-2023 artfynd.xlsx", "A 17266-2023")</f>
        <v/>
      </c>
      <c r="W67">
        <f>HYPERLINK("https://klasma.github.io/Logging_1380/kartor/A 17266-2023 karta.png", "A 17266-2023")</f>
        <v/>
      </c>
      <c r="Y67">
        <f>HYPERLINK("https://klasma.github.io/Logging_1380/klagomål/A 17266-2023 FSC-klagomål.docx", "A 17266-2023")</f>
        <v/>
      </c>
      <c r="Z67">
        <f>HYPERLINK("https://klasma.github.io/Logging_1380/klagomålsmail/A 17266-2023 FSC-klagomål mail.docx", "A 17266-2023")</f>
        <v/>
      </c>
      <c r="AA67">
        <f>HYPERLINK("https://klasma.github.io/Logging_1380/tillsyn/A 17266-2023 tillsynsbegäran.docx", "A 17266-2023")</f>
        <v/>
      </c>
      <c r="AB67">
        <f>HYPERLINK("https://klasma.github.io/Logging_1380/tillsynsmail/A 17266-2023 tillsynsbegäran mail.docx", "A 17266-2023")</f>
        <v/>
      </c>
    </row>
    <row r="68" ht="15" customHeight="1">
      <c r="A68" t="inlineStr">
        <is>
          <t>A 15579-2026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46221</v>
      </c>
      <c r="F68" t="inlineStr">
        <is>
          <t>HALLANDS LÄN</t>
        </is>
      </c>
      <c r="G68" t="inlineStr">
        <is>
          <t>HALMSTAD</t>
        </is>
      </c>
      <c r="I68" t="n">
        <v>3.7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Åkerrättika</t>
        </is>
      </c>
      <c r="V68">
        <f>HYPERLINK("https://klasma.github.io/Logging_1380/artfynd/A 15579-2026 artfynd.xlsx", "A 15579-2026")</f>
        <v/>
      </c>
      <c r="W68">
        <f>HYPERLINK("https://klasma.github.io/Logging_1380/kartor/A 15579-2026 karta.png", "A 15579-2026")</f>
        <v/>
      </c>
      <c r="Y68">
        <f>HYPERLINK("https://klasma.github.io/Logging_1380/klagomål/A 15579-2026 FSC-klagomål.docx", "A 15579-2026")</f>
        <v/>
      </c>
      <c r="Z68">
        <f>HYPERLINK("https://klasma.github.io/Logging_1380/klagomålsmail/A 15579-2026 FSC-klagomål mail.docx", "A 15579-2026")</f>
        <v/>
      </c>
      <c r="AA68">
        <f>HYPERLINK("https://klasma.github.io/Logging_1380/tillsyn/A 15579-2026 tillsynsbegäran.docx", "A 15579-2026")</f>
        <v/>
      </c>
      <c r="AB68">
        <f>HYPERLINK("https://klasma.github.io/Logging_1380/tillsynsmail/A 15579-2026 tillsynsbegäran mail.docx", "A 15579-2026")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46221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Entita</t>
        </is>
      </c>
      <c r="V69">
        <f>HYPERLINK("https://klasma.github.io/Logging_1380/artfynd/A 32753-2023 artfynd.xlsx", "A 32753-2023")</f>
        <v/>
      </c>
      <c r="W69">
        <f>HYPERLINK("https://klasma.github.io/Logging_1380/kartor/A 32753-2023 karta.png", "A 32753-2023")</f>
        <v/>
      </c>
      <c r="Y69">
        <f>HYPERLINK("https://klasma.github.io/Logging_1380/klagomål/A 32753-2023 FSC-klagomål.docx", "A 32753-2023")</f>
        <v/>
      </c>
      <c r="Z69">
        <f>HYPERLINK("https://klasma.github.io/Logging_1380/klagomålsmail/A 32753-2023 FSC-klagomål mail.docx", "A 32753-2023")</f>
        <v/>
      </c>
      <c r="AA69">
        <f>HYPERLINK("https://klasma.github.io/Logging_1380/tillsyn/A 32753-2023 tillsynsbegäran.docx", "A 32753-2023")</f>
        <v/>
      </c>
      <c r="AB69">
        <f>HYPERLINK("https://klasma.github.io/Logging_1380/tillsynsmail/A 32753-2023 tillsynsbegäran mail.docx", "A 32753-2023")</f>
        <v/>
      </c>
      <c r="AC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46221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Slåttergubbe</t>
        </is>
      </c>
      <c r="V70">
        <f>HYPERLINK("https://klasma.github.io/Logging_1380/artfynd/A 40650-2023 artfynd.xlsx", "A 40650-2023")</f>
        <v/>
      </c>
      <c r="W70">
        <f>HYPERLINK("https://klasma.github.io/Logging_1380/kartor/A 40650-2023 karta.png", "A 40650-2023")</f>
        <v/>
      </c>
      <c r="Y70">
        <f>HYPERLINK("https://klasma.github.io/Logging_1380/klagomål/A 40650-2023 FSC-klagomål.docx", "A 40650-2023")</f>
        <v/>
      </c>
      <c r="Z70">
        <f>HYPERLINK("https://klasma.github.io/Logging_1380/klagomålsmail/A 40650-2023 FSC-klagomål mail.docx", "A 40650-2023")</f>
        <v/>
      </c>
      <c r="AA70">
        <f>HYPERLINK("https://klasma.github.io/Logging_1380/tillsyn/A 40650-2023 tillsynsbegäran.docx", "A 40650-2023")</f>
        <v/>
      </c>
      <c r="AB70">
        <f>HYPERLINK("https://klasma.github.io/Logging_1380/tillsynsmail/A 40650-2023 tillsynsbegäran mail.docx", "A 40650-2023")</f>
        <v/>
      </c>
    </row>
    <row r="71" ht="15" customHeight="1">
      <c r="A71" t="inlineStr">
        <is>
          <t>A 26330-2026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46221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Revlummer</t>
        </is>
      </c>
      <c r="V71">
        <f>HYPERLINK("https://klasma.github.io/Logging_1380/artfynd/A 26330-2026 artfynd.xlsx", "A 26330-2026")</f>
        <v/>
      </c>
      <c r="W71">
        <f>HYPERLINK("https://klasma.github.io/Logging_1380/kartor/A 26330-2026 karta.png", "A 26330-2026")</f>
        <v/>
      </c>
      <c r="Y71">
        <f>HYPERLINK("https://klasma.github.io/Logging_1380/klagomål/A 26330-2026 FSC-klagomål.docx", "A 26330-2026")</f>
        <v/>
      </c>
      <c r="Z71">
        <f>HYPERLINK("https://klasma.github.io/Logging_1380/klagomålsmail/A 26330-2026 FSC-klagomål mail.docx", "A 26330-2026")</f>
        <v/>
      </c>
      <c r="AA71">
        <f>HYPERLINK("https://klasma.github.io/Logging_1380/tillsyn/A 26330-2026 tillsynsbegäran.docx", "A 26330-2026")</f>
        <v/>
      </c>
      <c r="AB71">
        <f>HYPERLINK("https://klasma.github.io/Logging_1380/tillsynsmail/A 26330-2026 tillsynsbegäran mail.docx", "A 26330-2026")</f>
        <v/>
      </c>
    </row>
    <row r="72" ht="15" customHeight="1">
      <c r="A72" t="inlineStr">
        <is>
          <t>A 21626-2026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46221</v>
      </c>
      <c r="F72" t="inlineStr">
        <is>
          <t>HALLANDS LÄN</t>
        </is>
      </c>
      <c r="G72" t="inlineStr">
        <is>
          <t>HALMSTAD</t>
        </is>
      </c>
      <c r="I72" t="n">
        <v>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Hårginst</t>
        </is>
      </c>
      <c r="V72">
        <f>HYPERLINK("https://klasma.github.io/Logging_1380/artfynd/A 21626-2026 artfynd.xlsx", "A 21626-2026")</f>
        <v/>
      </c>
      <c r="W72">
        <f>HYPERLINK("https://klasma.github.io/Logging_1380/kartor/A 21626-2026 karta.png", "A 21626-2026")</f>
        <v/>
      </c>
      <c r="Y72">
        <f>HYPERLINK("https://klasma.github.io/Logging_1380/klagomål/A 21626-2026 FSC-klagomål.docx", "A 21626-2026")</f>
        <v/>
      </c>
      <c r="Z72">
        <f>HYPERLINK("https://klasma.github.io/Logging_1380/klagomålsmail/A 21626-2026 FSC-klagomål mail.docx", "A 21626-2026")</f>
        <v/>
      </c>
      <c r="AA72">
        <f>HYPERLINK("https://klasma.github.io/Logging_1380/tillsyn/A 21626-2026 tillsynsbegäran.docx", "A 21626-2026")</f>
        <v/>
      </c>
      <c r="AB72">
        <f>HYPERLINK("https://klasma.github.io/Logging_1380/tillsynsmail/A 21626-2026 tillsynsbegäran mail.docx", "A 21626-2026")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46221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Kambräken</t>
        </is>
      </c>
      <c r="V73">
        <f>HYPERLINK("https://klasma.github.io/Logging_1380/artfynd/A 23305-2026 artfynd.xlsx", "A 23305-2026")</f>
        <v/>
      </c>
      <c r="W73">
        <f>HYPERLINK("https://klasma.github.io/Logging_1380/kartor/A 23305-2026 karta.png", "A 23305-2026")</f>
        <v/>
      </c>
      <c r="Y73">
        <f>HYPERLINK("https://klasma.github.io/Logging_1380/klagomål/A 23305-2026 FSC-klagomål.docx", "A 23305-2026")</f>
        <v/>
      </c>
      <c r="Z73">
        <f>HYPERLINK("https://klasma.github.io/Logging_1380/klagomålsmail/A 23305-2026 FSC-klagomål mail.docx", "A 23305-2026")</f>
        <v/>
      </c>
      <c r="AA73">
        <f>HYPERLINK("https://klasma.github.io/Logging_1380/tillsyn/A 23305-2026 tillsynsbegäran.docx", "A 23305-2026")</f>
        <v/>
      </c>
      <c r="AB73">
        <f>HYPERLINK("https://klasma.github.io/Logging_1380/tillsynsmail/A 23305-2026 tillsynsbegäran mail.docx", "A 23305-2026")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46221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Grönvit nattviol</t>
        </is>
      </c>
      <c r="V74">
        <f>HYPERLINK("https://klasma.github.io/Logging_1380/artfynd/A 9045-2026 artfynd.xlsx", "A 9045-2026")</f>
        <v/>
      </c>
      <c r="W74">
        <f>HYPERLINK("https://klasma.github.io/Logging_1380/kartor/A 9045-2026 karta.png", "A 9045-2026")</f>
        <v/>
      </c>
      <c r="Y74">
        <f>HYPERLINK("https://klasma.github.io/Logging_1380/klagomål/A 9045-2026 FSC-klagomål.docx", "A 9045-2026")</f>
        <v/>
      </c>
      <c r="Z74">
        <f>HYPERLINK("https://klasma.github.io/Logging_1380/klagomålsmail/A 9045-2026 FSC-klagomål mail.docx", "A 9045-2026")</f>
        <v/>
      </c>
      <c r="AA74">
        <f>HYPERLINK("https://klasma.github.io/Logging_1380/tillsyn/A 9045-2026 tillsynsbegäran.docx", "A 9045-2026")</f>
        <v/>
      </c>
      <c r="AB74">
        <f>HYPERLINK("https://klasma.github.io/Logging_1380/tillsynsmail/A 9045-2026 tillsynsbegäran mail.docx", "A 9045-2026")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46221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Barbastell</t>
        </is>
      </c>
      <c r="V75">
        <f>HYPERLINK("https://klasma.github.io/Logging_1380/artfynd/A 6775-2026 artfynd.xlsx", "A 6775-2026")</f>
        <v/>
      </c>
      <c r="W75">
        <f>HYPERLINK("https://klasma.github.io/Logging_1380/kartor/A 6775-2026 karta.png", "A 6775-2026")</f>
        <v/>
      </c>
      <c r="Y75">
        <f>HYPERLINK("https://klasma.github.io/Logging_1380/klagomål/A 6775-2026 FSC-klagomål.docx", "A 6775-2026")</f>
        <v/>
      </c>
      <c r="Z75">
        <f>HYPERLINK("https://klasma.github.io/Logging_1380/klagomålsmail/A 6775-2026 FSC-klagomål mail.docx", "A 6775-2026")</f>
        <v/>
      </c>
      <c r="AA75">
        <f>HYPERLINK("https://klasma.github.io/Logging_1380/tillsyn/A 6775-2026 tillsynsbegäran.docx", "A 6775-2026")</f>
        <v/>
      </c>
      <c r="AB75">
        <f>HYPERLINK("https://klasma.github.io/Logging_1380/tillsynsmail/A 6775-2026 tillsynsbegäran mail.docx", "A 6775-2026")</f>
        <v/>
      </c>
    </row>
    <row r="76" ht="15" customHeight="1">
      <c r="A76" t="inlineStr">
        <is>
          <t>A 40589-2023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46221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s="2" t="inlineStr">
        <is>
          <t>Kungsfågel</t>
        </is>
      </c>
      <c r="V76">
        <f>HYPERLINK("https://klasma.github.io/Logging_1380/artfynd/A 40589-2023 artfynd.xlsx", "A 40589-2023")</f>
        <v/>
      </c>
      <c r="W76">
        <f>HYPERLINK("https://klasma.github.io/Logging_1380/kartor/A 40589-2023 karta.png", "A 40589-2023")</f>
        <v/>
      </c>
      <c r="Y76">
        <f>HYPERLINK("https://klasma.github.io/Logging_1380/klagomål/A 40589-2023 FSC-klagomål.docx", "A 40589-2023")</f>
        <v/>
      </c>
      <c r="Z76">
        <f>HYPERLINK("https://klasma.github.io/Logging_1380/klagomålsmail/A 40589-2023 FSC-klagomål mail.docx", "A 40589-2023")</f>
        <v/>
      </c>
      <c r="AA76">
        <f>HYPERLINK("https://klasma.github.io/Logging_1380/tillsyn/A 40589-2023 tillsynsbegäran.docx", "A 40589-2023")</f>
        <v/>
      </c>
      <c r="AB76">
        <f>HYPERLINK("https://klasma.github.io/Logging_1380/tillsynsmail/A 40589-2023 tillsynsbegäran mail.docx", "A 40589-2023")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46221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Månlåsbräken</t>
        </is>
      </c>
      <c r="V77">
        <f>HYPERLINK("https://klasma.github.io/Logging_1380/artfynd/A 1610-2024 artfynd.xlsx", "A 1610-2024")</f>
        <v/>
      </c>
      <c r="W77">
        <f>HYPERLINK("https://klasma.github.io/Logging_1380/kartor/A 1610-2024 karta.png", "A 1610-2024")</f>
        <v/>
      </c>
      <c r="Y77">
        <f>HYPERLINK("https://klasma.github.io/Logging_1380/klagomål/A 1610-2024 FSC-klagomål.docx", "A 1610-2024")</f>
        <v/>
      </c>
      <c r="Z77">
        <f>HYPERLINK("https://klasma.github.io/Logging_1380/klagomålsmail/A 1610-2024 FSC-klagomål mail.docx", "A 1610-2024")</f>
        <v/>
      </c>
      <c r="AA77">
        <f>HYPERLINK("https://klasma.github.io/Logging_1380/tillsyn/A 1610-2024 tillsynsbegäran.docx", "A 1610-2024")</f>
        <v/>
      </c>
      <c r="AB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46221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s="2" t="inlineStr">
        <is>
          <t>Spillkråka</t>
        </is>
      </c>
      <c r="V78">
        <f>HYPERLINK("https://klasma.github.io/Logging_1380/artfynd/A 22842-2022 artfynd.xlsx", "A 22842-2022")</f>
        <v/>
      </c>
      <c r="W78">
        <f>HYPERLINK("https://klasma.github.io/Logging_1380/kartor/A 22842-2022 karta.png", "A 22842-2022")</f>
        <v/>
      </c>
      <c r="Y78">
        <f>HYPERLINK("https://klasma.github.io/Logging_1380/klagomål/A 22842-2022 FSC-klagomål.docx", "A 22842-2022")</f>
        <v/>
      </c>
      <c r="Z78">
        <f>HYPERLINK("https://klasma.github.io/Logging_1380/klagomålsmail/A 22842-2022 FSC-klagomål mail.docx", "A 22842-2022")</f>
        <v/>
      </c>
      <c r="AA78">
        <f>HYPERLINK("https://klasma.github.io/Logging_1380/tillsyn/A 22842-2022 tillsynsbegäran.docx", "A 22842-2022")</f>
        <v/>
      </c>
      <c r="AB78">
        <f>HYPERLINK("https://klasma.github.io/Logging_1380/tillsynsmail/A 22842-2022 tillsynsbegäran mail.docx", "A 22842-2022")</f>
        <v/>
      </c>
      <c r="AC78">
        <f>HYPERLINK("https://klasma.github.io/Logging_1380/fåglar/A 22842-2022 prioriterade fågelarter.docx", "A 22842-2022")</f>
        <v/>
      </c>
    </row>
    <row r="79" ht="15" customHeight="1">
      <c r="A79" t="inlineStr">
        <is>
          <t>A 25382-2026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46221</v>
      </c>
      <c r="F79" t="inlineStr">
        <is>
          <t>HALLANDS LÄN</t>
        </is>
      </c>
      <c r="G79" t="inlineStr">
        <is>
          <t>HALMSTAD</t>
        </is>
      </c>
      <c r="I79" t="n">
        <v>10.9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Svinrot</t>
        </is>
      </c>
      <c r="V79">
        <f>HYPERLINK("https://klasma.github.io/Logging_1380/artfynd/A 25382-2026 artfynd.xlsx", "A 25382-2026")</f>
        <v/>
      </c>
      <c r="W79">
        <f>HYPERLINK("https://klasma.github.io/Logging_1380/kartor/A 25382-2026 karta.png", "A 25382-2026")</f>
        <v/>
      </c>
      <c r="Y79">
        <f>HYPERLINK("https://klasma.github.io/Logging_1380/klagomål/A 25382-2026 FSC-klagomål.docx", "A 25382-2026")</f>
        <v/>
      </c>
      <c r="Z79">
        <f>HYPERLINK("https://klasma.github.io/Logging_1380/klagomålsmail/A 25382-2026 FSC-klagomål mail.docx", "A 25382-2026")</f>
        <v/>
      </c>
      <c r="AA79">
        <f>HYPERLINK("https://klasma.github.io/Logging_1380/tillsyn/A 25382-2026 tillsynsbegäran.docx", "A 25382-2026")</f>
        <v/>
      </c>
      <c r="AB79">
        <f>HYPERLINK("https://klasma.github.io/Logging_1380/tillsynsmail/A 25382-2026 tillsynsbegäran mail.docx", "A 25382-2026")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46221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Igelkott</t>
        </is>
      </c>
      <c r="V80">
        <f>HYPERLINK("https://klasma.github.io/Logging_1380/artfynd/A 5530-2025 artfynd.xlsx", "A 5530-2025")</f>
        <v/>
      </c>
      <c r="W80">
        <f>HYPERLINK("https://klasma.github.io/Logging_1380/kartor/A 5530-2025 karta.png", "A 5530-2025")</f>
        <v/>
      </c>
      <c r="Y80">
        <f>HYPERLINK("https://klasma.github.io/Logging_1380/klagomål/A 5530-2025 FSC-klagomål.docx", "A 5530-2025")</f>
        <v/>
      </c>
      <c r="Z80">
        <f>HYPERLINK("https://klasma.github.io/Logging_1380/klagomålsmail/A 5530-2025 FSC-klagomål mail.docx", "A 5530-2025")</f>
        <v/>
      </c>
      <c r="AA80">
        <f>HYPERLINK("https://klasma.github.io/Logging_1380/tillsyn/A 5530-2025 tillsynsbegäran.docx", "A 5530-2025")</f>
        <v/>
      </c>
      <c r="AB80">
        <f>HYPERLINK("https://klasma.github.io/Logging_1380/tillsynsmail/A 5530-2025 tillsynsbegäran mail.docx", "A 5530-2025")</f>
        <v/>
      </c>
    </row>
    <row r="81" ht="15" customHeight="1">
      <c r="A81" t="inlineStr">
        <is>
          <t>A 46505-2025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46221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Kambräken</t>
        </is>
      </c>
      <c r="V81">
        <f>HYPERLINK("https://klasma.github.io/Logging_1380/artfynd/A 46505-2025 artfynd.xlsx", "A 46505-2025")</f>
        <v/>
      </c>
      <c r="W81">
        <f>HYPERLINK("https://klasma.github.io/Logging_1380/kartor/A 46505-2025 karta.png", "A 46505-2025")</f>
        <v/>
      </c>
      <c r="Y81">
        <f>HYPERLINK("https://klasma.github.io/Logging_1380/klagomål/A 46505-2025 FSC-klagomål.docx", "A 46505-2025")</f>
        <v/>
      </c>
      <c r="Z81">
        <f>HYPERLINK("https://klasma.github.io/Logging_1380/klagomålsmail/A 46505-2025 FSC-klagomål mail.docx", "A 46505-2025")</f>
        <v/>
      </c>
      <c r="AA81">
        <f>HYPERLINK("https://klasma.github.io/Logging_1380/tillsyn/A 46505-2025 tillsynsbegäran.docx", "A 46505-2025")</f>
        <v/>
      </c>
      <c r="AB81">
        <f>HYPERLINK("https://klasma.github.io/Logging_1380/tillsynsmail/A 46505-2025 tillsynsbegäran mail.docx", "A 46505-2025")</f>
        <v/>
      </c>
    </row>
    <row r="82" ht="15" customHeight="1">
      <c r="A82" t="inlineStr">
        <is>
          <t>A 25887-2026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46221</v>
      </c>
      <c r="F82" t="inlineStr">
        <is>
          <t>HALLANDS LÄN</t>
        </is>
      </c>
      <c r="G82" t="inlineStr">
        <is>
          <t>HALMSTAD</t>
        </is>
      </c>
      <c r="I82" t="n">
        <v>14.9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Vanlig snok</t>
        </is>
      </c>
      <c r="V82">
        <f>HYPERLINK("https://klasma.github.io/Logging_1380/artfynd/A 25887-2026 artfynd.xlsx", "A 25887-2026")</f>
        <v/>
      </c>
      <c r="W82">
        <f>HYPERLINK("https://klasma.github.io/Logging_1380/kartor/A 25887-2026 karta.png", "A 25887-2026")</f>
        <v/>
      </c>
      <c r="Y82">
        <f>HYPERLINK("https://klasma.github.io/Logging_1380/klagomål/A 25887-2026 FSC-klagomål.docx", "A 25887-2026")</f>
        <v/>
      </c>
      <c r="Z82">
        <f>HYPERLINK("https://klasma.github.io/Logging_1380/klagomålsmail/A 25887-2026 FSC-klagomål mail.docx", "A 25887-2026")</f>
        <v/>
      </c>
      <c r="AA82">
        <f>HYPERLINK("https://klasma.github.io/Logging_1380/tillsyn/A 25887-2026 tillsynsbegäran.docx", "A 25887-2026")</f>
        <v/>
      </c>
      <c r="AB82">
        <f>HYPERLINK("https://klasma.github.io/Logging_1380/tillsynsmail/A 25887-2026 tillsynsbegäran mail.docx", "A 25887-2026")</f>
        <v/>
      </c>
    </row>
    <row r="83" ht="15" customHeight="1">
      <c r="A83" t="inlineStr">
        <is>
          <t>A 21483-2024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46221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Kambräken</t>
        </is>
      </c>
      <c r="V83">
        <f>HYPERLINK("https://klasma.github.io/Logging_1380/artfynd/A 21483-2024 artfynd.xlsx", "A 21483-2024")</f>
        <v/>
      </c>
      <c r="W83">
        <f>HYPERLINK("https://klasma.github.io/Logging_1380/kartor/A 21483-2024 karta.png", "A 21483-2024")</f>
        <v/>
      </c>
      <c r="Y83">
        <f>HYPERLINK("https://klasma.github.io/Logging_1380/klagomål/A 21483-2024 FSC-klagomål.docx", "A 21483-2024")</f>
        <v/>
      </c>
      <c r="Z83">
        <f>HYPERLINK("https://klasma.github.io/Logging_1380/klagomålsmail/A 21483-2024 FSC-klagomål mail.docx", "A 21483-2024")</f>
        <v/>
      </c>
      <c r="AA83">
        <f>HYPERLINK("https://klasma.github.io/Logging_1380/tillsyn/A 21483-2024 tillsynsbegäran.docx", "A 21483-2024")</f>
        <v/>
      </c>
      <c r="AB83">
        <f>HYPERLINK("https://klasma.github.io/Logging_1380/tillsynsmail/A 21483-2024 tillsynsbegäran mail.docx", "A 21483-2024")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Lungrot</t>
        </is>
      </c>
      <c r="V84">
        <f>HYPERLINK("https://klasma.github.io/Logging_1380/artfynd/S 2587-2025 artfynd.xlsx", "S 2587-2025")</f>
        <v/>
      </c>
      <c r="W84">
        <f>HYPERLINK("https://klasma.github.io/Logging_1380/kartor/S 2587-2025 karta.png", "S 2587-2025")</f>
        <v/>
      </c>
      <c r="Y84">
        <f>HYPERLINK("https://klasma.github.io/Logging_1380/klagomål/S 2587-2025 FSC-klagomål.docx", "S 2587-2025")</f>
        <v/>
      </c>
      <c r="Z84">
        <f>HYPERLINK("https://klasma.github.io/Logging_1380/klagomålsmail/S 2587-2025 FSC-klagomål mail.docx", "S 2587-2025")</f>
        <v/>
      </c>
      <c r="AA84">
        <f>HYPERLINK("https://klasma.github.io/Logging_1380/tillsyn/S 2587-2025 tillsynsbegäran.docx", "S 2587-2025")</f>
        <v/>
      </c>
      <c r="AB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46221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s="2" t="inlineStr">
        <is>
          <t>Borsttåg</t>
        </is>
      </c>
      <c r="V85">
        <f>HYPERLINK("https://klasma.github.io/Logging_1380/artfynd/S 1213-2026 artfynd.xlsx", "S 1213-2026")</f>
        <v/>
      </c>
      <c r="W85">
        <f>HYPERLINK("https://klasma.github.io/Logging_1380/kartor/S 1213-2026 karta.png", "S 1213-2026")</f>
        <v/>
      </c>
      <c r="Y85">
        <f>HYPERLINK("https://klasma.github.io/Logging_1380/klagomål/S 1213-2026 FSC-klagomål.docx", "S 1213-2026")</f>
        <v/>
      </c>
      <c r="Z85">
        <f>HYPERLINK("https://klasma.github.io/Logging_1380/klagomålsmail/S 1213-2026 FSC-klagomål mail.docx", "S 1213-2026")</f>
        <v/>
      </c>
      <c r="AA85">
        <f>HYPERLINK("https://klasma.github.io/Logging_1380/tillsyn/S 1213-2026 tillsynsbegäran.docx", "S 1213-2026")</f>
        <v/>
      </c>
      <c r="AB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46221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46221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46221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44398</v>
      </c>
      <c r="E89" s="1" t="n">
        <v>46221</v>
      </c>
      <c r="F89" t="inlineStr">
        <is>
          <t>HALLANDS LÄN</t>
        </is>
      </c>
      <c r="G89" t="inlineStr">
        <is>
          <t>HALMSTAD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46221</v>
      </c>
      <c r="F90" t="inlineStr">
        <is>
          <t>HALLANDS LÄN</t>
        </is>
      </c>
      <c r="G90" t="inlineStr">
        <is>
          <t>HALMSTAD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46221</v>
      </c>
      <c r="F91" t="inlineStr">
        <is>
          <t>HALLANDS LÄN</t>
        </is>
      </c>
      <c r="G91" t="inlineStr">
        <is>
          <t>HALMSTAD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46465-2021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44445</v>
      </c>
      <c r="E92" s="1" t="n">
        <v>46221</v>
      </c>
      <c r="F92" t="inlineStr">
        <is>
          <t>HALLANDS LÄN</t>
        </is>
      </c>
      <c r="G92" t="inlineStr">
        <is>
          <t>HALMSTAD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22015-2022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46221</v>
      </c>
      <c r="F93" t="inlineStr">
        <is>
          <t>HALLANDS LÄN</t>
        </is>
      </c>
      <c r="G93" t="inlineStr">
        <is>
          <t>HALMSTAD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46221</v>
      </c>
      <c r="F94" t="inlineStr">
        <is>
          <t>HALLANDS LÄN</t>
        </is>
      </c>
      <c r="G94" t="inlineStr">
        <is>
          <t>HALMSTAD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54105-2021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46221</v>
      </c>
      <c r="F95" t="inlineStr">
        <is>
          <t>HALLANDS LÄN</t>
        </is>
      </c>
      <c r="G95" t="inlineStr">
        <is>
          <t>HALMSTAD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46221</v>
      </c>
      <c r="F96" t="inlineStr">
        <is>
          <t>HALLANDS LÄN</t>
        </is>
      </c>
      <c r="G96" t="inlineStr">
        <is>
          <t>HALMSTAD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70731-2021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46221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46221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46221</v>
      </c>
      <c r="F99" t="inlineStr">
        <is>
          <t>HALLANDS LÄN</t>
        </is>
      </c>
      <c r="G99" t="inlineStr">
        <is>
          <t>HALMSTAD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49800-2021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46221</v>
      </c>
      <c r="F100" t="inlineStr">
        <is>
          <t>HALLANDS LÄN</t>
        </is>
      </c>
      <c r="G100" t="inlineStr">
        <is>
          <t>HALMSTAD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51807-2022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46221</v>
      </c>
      <c r="F101" t="inlineStr">
        <is>
          <t>HALLANDS LÄN</t>
        </is>
      </c>
      <c r="G101" t="inlineStr">
        <is>
          <t>HALMSTAD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70834-2021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46221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46221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46221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13725-2022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46221</v>
      </c>
      <c r="F105" t="inlineStr">
        <is>
          <t>HALLANDS LÄN</t>
        </is>
      </c>
      <c r="G105" t="inlineStr">
        <is>
          <t>HALMSTAD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54838-2021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46221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30386-2022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46221</v>
      </c>
      <c r="F107" t="inlineStr">
        <is>
          <t>HALLANDS LÄN</t>
        </is>
      </c>
      <c r="G107" t="inlineStr">
        <is>
          <t>HALMSTAD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30383-2022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46221</v>
      </c>
      <c r="F108" t="inlineStr">
        <is>
          <t>HALLANDS LÄN</t>
        </is>
      </c>
      <c r="G108" t="inlineStr">
        <is>
          <t>HALMSTAD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46221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49792-2021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46221</v>
      </c>
      <c r="F110" t="inlineStr">
        <is>
          <t>HALLANDS LÄN</t>
        </is>
      </c>
      <c r="G110" t="inlineStr">
        <is>
          <t>HALMSTAD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44677</v>
      </c>
      <c r="E111" s="1" t="n">
        <v>46221</v>
      </c>
      <c r="F111" t="inlineStr">
        <is>
          <t>HALLANDS LÄN</t>
        </is>
      </c>
      <c r="G111" t="inlineStr">
        <is>
          <t>HALMSTAD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46221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46221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70724-2021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46221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46221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46221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46221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46221</v>
      </c>
      <c r="F118" t="inlineStr">
        <is>
          <t>HALLANDS LÄN</t>
        </is>
      </c>
      <c r="G118" t="inlineStr">
        <is>
          <t>HALMSTAD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46221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72139-2021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46221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13212-2025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46221</v>
      </c>
      <c r="F121" t="inlineStr">
        <is>
          <t>HALLANDS LÄN</t>
        </is>
      </c>
      <c r="G121" t="inlineStr">
        <is>
          <t>HALMSTAD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50791-2023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45217</v>
      </c>
      <c r="E122" s="1" t="n">
        <v>46221</v>
      </c>
      <c r="F122" t="inlineStr">
        <is>
          <t>HALLANDS LÄN</t>
        </is>
      </c>
      <c r="G122" t="inlineStr">
        <is>
          <t>HALMSTAD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46221</v>
      </c>
      <c r="F123" t="inlineStr">
        <is>
          <t>HALLANDS LÄN</t>
        </is>
      </c>
      <c r="G123" t="inlineStr">
        <is>
          <t>HALMSTAD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44922</v>
      </c>
      <c r="E124" s="1" t="n">
        <v>46221</v>
      </c>
      <c r="F124" t="inlineStr">
        <is>
          <t>HALLANDS LÄN</t>
        </is>
      </c>
      <c r="G124" t="inlineStr">
        <is>
          <t>HALMSTAD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53642-2023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45230</v>
      </c>
      <c r="E125" s="1" t="n">
        <v>46221</v>
      </c>
      <c r="F125" t="inlineStr">
        <is>
          <t>HALLANDS LÄN</t>
        </is>
      </c>
      <c r="G125" t="inlineStr">
        <is>
          <t>HALMSTAD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60396-2023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45259</v>
      </c>
      <c r="E126" s="1" t="n">
        <v>46221</v>
      </c>
      <c r="F126" t="inlineStr">
        <is>
          <t>HALLANDS LÄN</t>
        </is>
      </c>
      <c r="G126" t="inlineStr">
        <is>
          <t>HALMSTAD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45321</v>
      </c>
      <c r="E127" s="1" t="n">
        <v>46221</v>
      </c>
      <c r="F127" t="inlineStr">
        <is>
          <t>HALLANDS LÄN</t>
        </is>
      </c>
      <c r="G127" t="inlineStr">
        <is>
          <t>HALMSTAD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46221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46221</v>
      </c>
      <c r="F129" t="inlineStr">
        <is>
          <t>HALLANDS LÄN</t>
        </is>
      </c>
      <c r="G129" t="inlineStr">
        <is>
          <t>HALMSTAD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38174-2022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46221</v>
      </c>
      <c r="F130" t="inlineStr">
        <is>
          <t>HALLANDS LÄN</t>
        </is>
      </c>
      <c r="G130" t="inlineStr">
        <is>
          <t>HALMSTAD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46221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45306</v>
      </c>
      <c r="E132" s="1" t="n">
        <v>46221</v>
      </c>
      <c r="F132" t="inlineStr">
        <is>
          <t>HALLANDS LÄN</t>
        </is>
      </c>
      <c r="G132" t="inlineStr">
        <is>
          <t>HALMSTAD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55006-2022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46221</v>
      </c>
      <c r="F133" t="inlineStr">
        <is>
          <t>HALLANDS LÄN</t>
        </is>
      </c>
      <c r="G133" t="inlineStr">
        <is>
          <t>HALMSTAD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36714-2024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46221</v>
      </c>
      <c r="F134" t="inlineStr">
        <is>
          <t>HALLANDS LÄN</t>
        </is>
      </c>
      <c r="G134" t="inlineStr">
        <is>
          <t>HALMSTAD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46221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40702-2023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46221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28031-2024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45476</v>
      </c>
      <c r="E137" s="1" t="n">
        <v>46221</v>
      </c>
      <c r="F137" t="inlineStr">
        <is>
          <t>HALLANDS LÄN</t>
        </is>
      </c>
      <c r="G137" t="inlineStr">
        <is>
          <t>HALMSTAD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29996-2024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46221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45485</v>
      </c>
      <c r="E139" s="1" t="n">
        <v>46221</v>
      </c>
      <c r="F139" t="inlineStr">
        <is>
          <t>HALLANDS LÄN</t>
        </is>
      </c>
      <c r="G139" t="inlineStr">
        <is>
          <t>HALMSTAD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70720-2021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46221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44885</v>
      </c>
      <c r="E141" s="1" t="n">
        <v>46221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46221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41777-2024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46221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45586-2023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46221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46221</v>
      </c>
      <c r="F145" t="inlineStr">
        <is>
          <t>HALLANDS LÄN</t>
        </is>
      </c>
      <c r="G145" t="inlineStr">
        <is>
          <t>HALMSTAD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46221</v>
      </c>
      <c r="F146" t="inlineStr">
        <is>
          <t>HALLANDS LÄN</t>
        </is>
      </c>
      <c r="G146" t="inlineStr">
        <is>
          <t>HALMSTAD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46221</v>
      </c>
      <c r="F147" t="inlineStr">
        <is>
          <t>HALLANDS LÄN</t>
        </is>
      </c>
      <c r="G147" t="inlineStr">
        <is>
          <t>HALMSTAD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46221</v>
      </c>
      <c r="F148" t="inlineStr">
        <is>
          <t>HALLANDS LÄN</t>
        </is>
      </c>
      <c r="G148" t="inlineStr">
        <is>
          <t>HALMSTAD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8284-2022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46221</v>
      </c>
      <c r="F149" t="inlineStr">
        <is>
          <t>HALLANDS LÄN</t>
        </is>
      </c>
      <c r="G149" t="inlineStr">
        <is>
          <t>HALMSTAD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13224-2025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46221</v>
      </c>
      <c r="F150" t="inlineStr">
        <is>
          <t>HALLANDS LÄN</t>
        </is>
      </c>
      <c r="G150" t="inlineStr">
        <is>
          <t>HALMSTAD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9546-2024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46221</v>
      </c>
      <c r="F151" t="inlineStr">
        <is>
          <t>HALLANDS LÄN</t>
        </is>
      </c>
      <c r="G151" t="inlineStr">
        <is>
          <t>HALMSTAD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46221</v>
      </c>
      <c r="F152" t="inlineStr">
        <is>
          <t>HALLANDS LÄN</t>
        </is>
      </c>
      <c r="G152" t="inlineStr">
        <is>
          <t>HALMSTAD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27848-2025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46221</v>
      </c>
      <c r="F153" t="inlineStr">
        <is>
          <t>HALLANDS LÄN</t>
        </is>
      </c>
      <c r="G153" t="inlineStr">
        <is>
          <t>HALMSTAD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22070-2022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44711</v>
      </c>
      <c r="E154" s="1" t="n">
        <v>46221</v>
      </c>
      <c r="F154" t="inlineStr">
        <is>
          <t>HALLANDS LÄN</t>
        </is>
      </c>
      <c r="G154" t="inlineStr">
        <is>
          <t>HALMSTAD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60234-2024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46221</v>
      </c>
      <c r="F155" t="inlineStr">
        <is>
          <t>HALLANDS LÄN</t>
        </is>
      </c>
      <c r="G155" t="inlineStr">
        <is>
          <t>HALMSTAD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46221</v>
      </c>
      <c r="F156" t="inlineStr">
        <is>
          <t>HALLANDS LÄN</t>
        </is>
      </c>
      <c r="G156" t="inlineStr">
        <is>
          <t>HALMSTAD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46221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46221</v>
      </c>
      <c r="F158" t="inlineStr">
        <is>
          <t>HALLANDS LÄN</t>
        </is>
      </c>
      <c r="G158" t="inlineStr">
        <is>
          <t>HALMSTAD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19305-2025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46221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46221</v>
      </c>
      <c r="F160" t="inlineStr">
        <is>
          <t>HALLANDS LÄN</t>
        </is>
      </c>
      <c r="G160" t="inlineStr">
        <is>
          <t>HALMSTAD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46221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56011-2023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46221</v>
      </c>
      <c r="F162" t="inlineStr">
        <is>
          <t>HALLANDS LÄN</t>
        </is>
      </c>
      <c r="G162" t="inlineStr">
        <is>
          <t>HALMSTAD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18598-2022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44687</v>
      </c>
      <c r="E163" s="1" t="n">
        <v>46221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45677</v>
      </c>
      <c r="E164" s="1" t="n">
        <v>46221</v>
      </c>
      <c r="F164" t="inlineStr">
        <is>
          <t>HALLANDS LÄN</t>
        </is>
      </c>
      <c r="G164" t="inlineStr">
        <is>
          <t>HALMSTAD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44461</v>
      </c>
      <c r="E165" s="1" t="n">
        <v>46221</v>
      </c>
      <c r="F165" t="inlineStr">
        <is>
          <t>HALLANDS LÄN</t>
        </is>
      </c>
      <c r="G165" t="inlineStr">
        <is>
          <t>HALMSTAD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40047-2025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46221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29316-2025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46221</v>
      </c>
      <c r="F167" t="inlineStr">
        <is>
          <t>HALLANDS LÄN</t>
        </is>
      </c>
      <c r="G167" t="inlineStr">
        <is>
          <t>HALMSTAD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50113-2023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46221</v>
      </c>
      <c r="F168" t="inlineStr">
        <is>
          <t>HALLANDS LÄN</t>
        </is>
      </c>
      <c r="G168" t="inlineStr">
        <is>
          <t>HALMSTAD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8114-2023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46221</v>
      </c>
      <c r="F169" t="inlineStr">
        <is>
          <t>HALLANDS LÄN</t>
        </is>
      </c>
      <c r="G169" t="inlineStr">
        <is>
          <t>HALMSTAD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48015-2024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46221</v>
      </c>
      <c r="F170" t="inlineStr">
        <is>
          <t>HALLANDS LÄN</t>
        </is>
      </c>
      <c r="G170" t="inlineStr">
        <is>
          <t>HALMSTAD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30740-2025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46221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46221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46221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46221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56706-2024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45627</v>
      </c>
      <c r="E175" s="1" t="n">
        <v>46221</v>
      </c>
      <c r="F175" t="inlineStr">
        <is>
          <t>HALLANDS LÄN</t>
        </is>
      </c>
      <c r="G175" t="inlineStr">
        <is>
          <t>HALMSTAD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31112-2025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46221</v>
      </c>
      <c r="F176" t="inlineStr">
        <is>
          <t>HALLANDS LÄN</t>
        </is>
      </c>
      <c r="G176" t="inlineStr">
        <is>
          <t>HALMSTAD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46221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46221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12890-2022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44642</v>
      </c>
      <c r="E179" s="1" t="n">
        <v>46221</v>
      </c>
      <c r="F179" t="inlineStr">
        <is>
          <t>HALLANDS LÄN</t>
        </is>
      </c>
      <c r="G179" t="inlineStr">
        <is>
          <t>HALMSTAD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14001-2025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46221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8142-2023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46221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41778-2024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46221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25698-2023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46221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7639-2022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46221</v>
      </c>
      <c r="F184" t="inlineStr">
        <is>
          <t>HALLANDS LÄN</t>
        </is>
      </c>
      <c r="G184" t="inlineStr">
        <is>
          <t>HALMSTAD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13594-2023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45006</v>
      </c>
      <c r="E185" s="1" t="n">
        <v>46221</v>
      </c>
      <c r="F185" t="inlineStr">
        <is>
          <t>HALLANDS LÄN</t>
        </is>
      </c>
      <c r="G185" t="inlineStr">
        <is>
          <t>HALMSTAD</t>
        </is>
      </c>
      <c r="H185" t="inlineStr">
        <is>
          <t>Bergvik skog väst AB</t>
        </is>
      </c>
      <c r="I185" t="n">
        <v>8.6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27365-2022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46221</v>
      </c>
      <c r="F186" t="inlineStr">
        <is>
          <t>HALLANDS LÄN</t>
        </is>
      </c>
      <c r="G186" t="inlineStr">
        <is>
          <t>HALMSTAD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46221</v>
      </c>
      <c r="F187" t="inlineStr">
        <is>
          <t>HALLANDS LÄN</t>
        </is>
      </c>
      <c r="G187" t="inlineStr">
        <is>
          <t>HALMSTAD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46221</v>
      </c>
      <c r="F188" t="inlineStr">
        <is>
          <t>HALLANDS LÄN</t>
        </is>
      </c>
      <c r="G188" t="inlineStr">
        <is>
          <t>HALMSTAD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46221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46221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46221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46221</v>
      </c>
      <c r="F192" t="inlineStr">
        <is>
          <t>HALLANDS LÄN</t>
        </is>
      </c>
      <c r="G192" t="inlineStr">
        <is>
          <t>HALMSTAD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46221</v>
      </c>
      <c r="F193" t="inlineStr">
        <is>
          <t>HALLANDS LÄN</t>
        </is>
      </c>
      <c r="G193" t="inlineStr">
        <is>
          <t>HALMSTAD</t>
        </is>
      </c>
      <c r="H193" t="inlineStr">
        <is>
          <t>Övriga statliga verk och myndigheter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42205-2024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46221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46221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50319-2024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46221</v>
      </c>
      <c r="F196" t="inlineStr">
        <is>
          <t>HALLANDS LÄN</t>
        </is>
      </c>
      <c r="G196" t="inlineStr">
        <is>
          <t>HALMSTAD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47904-2024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46221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8676-2025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45712</v>
      </c>
      <c r="E198" s="1" t="n">
        <v>46221</v>
      </c>
      <c r="F198" t="inlineStr">
        <is>
          <t>HALLANDS LÄN</t>
        </is>
      </c>
      <c r="G198" t="inlineStr">
        <is>
          <t>HALMSTAD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45863-2025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46221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23785-2025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45793</v>
      </c>
      <c r="E200" s="1" t="n">
        <v>46221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63608-2023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45275</v>
      </c>
      <c r="E201" s="1" t="n">
        <v>46221</v>
      </c>
      <c r="F201" t="inlineStr">
        <is>
          <t>HALLANDS LÄN</t>
        </is>
      </c>
      <c r="G201" t="inlineStr">
        <is>
          <t>HALMSTAD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8211-2025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46221</v>
      </c>
      <c r="F202" t="inlineStr">
        <is>
          <t>HALLANDS LÄN</t>
        </is>
      </c>
      <c r="G202" t="inlineStr">
        <is>
          <t>HALMSTAD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46221</v>
      </c>
      <c r="F203" t="inlineStr">
        <is>
          <t>HALLANDS LÄN</t>
        </is>
      </c>
      <c r="G203" t="inlineStr">
        <is>
          <t>HALMSTAD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60831-2023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46221</v>
      </c>
      <c r="F204" t="inlineStr">
        <is>
          <t>HALLANDS LÄN</t>
        </is>
      </c>
      <c r="G204" t="inlineStr">
        <is>
          <t>HALMSTAD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45681</v>
      </c>
      <c r="E205" s="1" t="n">
        <v>46221</v>
      </c>
      <c r="F205" t="inlineStr">
        <is>
          <t>HALLANDS LÄN</t>
        </is>
      </c>
      <c r="G205" t="inlineStr">
        <is>
          <t>HALMSTAD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46221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46221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16198-2025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46221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14521-2025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46221</v>
      </c>
      <c r="F209" t="inlineStr">
        <is>
          <t>HALLANDS LÄN</t>
        </is>
      </c>
      <c r="G209" t="inlineStr">
        <is>
          <t>HALMSTAD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47556-2025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46221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46221</v>
      </c>
      <c r="F211" t="inlineStr">
        <is>
          <t>HALLANDS LÄN</t>
        </is>
      </c>
      <c r="G211" t="inlineStr">
        <is>
          <t>HALMSTAD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47561-2025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46221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47552-2025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46221</v>
      </c>
      <c r="F213" t="inlineStr">
        <is>
          <t>HALLANDS LÄN</t>
        </is>
      </c>
      <c r="G213" t="inlineStr">
        <is>
          <t>HALMSTAD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51302-2021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46221</v>
      </c>
      <c r="F214" t="inlineStr">
        <is>
          <t>HALLANDS LÄN</t>
        </is>
      </c>
      <c r="G214" t="inlineStr">
        <is>
          <t>HALMSTAD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30599-2024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45493</v>
      </c>
      <c r="E215" s="1" t="n">
        <v>46221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46221</v>
      </c>
      <c r="F216" t="inlineStr">
        <is>
          <t>HALLANDS LÄN</t>
        </is>
      </c>
      <c r="G216" t="inlineStr">
        <is>
          <t>HALMSTAD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39331-2025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46221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61775-2022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46221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61783-2022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44917</v>
      </c>
      <c r="E219" s="1" t="n">
        <v>46221</v>
      </c>
      <c r="F219" t="inlineStr">
        <is>
          <t>HALLANDS LÄN</t>
        </is>
      </c>
      <c r="G219" t="inlineStr">
        <is>
          <t>HALMSTAD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28069-2023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46221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12762-2023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46221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46221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46221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24266-2025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46221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49403-2025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46221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39274-2022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46221</v>
      </c>
      <c r="F226" t="inlineStr">
        <is>
          <t>HALLANDS LÄN</t>
        </is>
      </c>
      <c r="G226" t="inlineStr">
        <is>
          <t>HALMSTAD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53109-2024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45611</v>
      </c>
      <c r="E227" s="1" t="n">
        <v>46221</v>
      </c>
      <c r="F227" t="inlineStr">
        <is>
          <t>HALLANDS LÄN</t>
        </is>
      </c>
      <c r="G227" t="inlineStr">
        <is>
          <t>HALMSTAD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13538-2025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46221</v>
      </c>
      <c r="F228" t="inlineStr">
        <is>
          <t>HALLANDS LÄN</t>
        </is>
      </c>
      <c r="G228" t="inlineStr">
        <is>
          <t>HALMSTAD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45692</v>
      </c>
      <c r="E229" s="1" t="n">
        <v>46221</v>
      </c>
      <c r="F229" t="inlineStr">
        <is>
          <t>HALLANDS LÄN</t>
        </is>
      </c>
      <c r="G229" t="inlineStr">
        <is>
          <t>HALMSTAD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53539-2022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44879</v>
      </c>
      <c r="E230" s="1" t="n">
        <v>46221</v>
      </c>
      <c r="F230" t="inlineStr">
        <is>
          <t>HALLANDS LÄN</t>
        </is>
      </c>
      <c r="G230" t="inlineStr">
        <is>
          <t>HALMSTAD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53550-2022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44879</v>
      </c>
      <c r="E231" s="1" t="n">
        <v>46221</v>
      </c>
      <c r="F231" t="inlineStr">
        <is>
          <t>HALLANDS LÄN</t>
        </is>
      </c>
      <c r="G231" t="inlineStr">
        <is>
          <t>HALMSTAD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61778-2022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46221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21869-2023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46221</v>
      </c>
      <c r="F233" t="inlineStr">
        <is>
          <t>HALLANDS LÄN</t>
        </is>
      </c>
      <c r="G233" t="inlineStr">
        <is>
          <t>HALMSTAD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37748-2023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46221</v>
      </c>
      <c r="F234" t="inlineStr">
        <is>
          <t>HALLANDS LÄN</t>
        </is>
      </c>
      <c r="G234" t="inlineStr">
        <is>
          <t>HALMSTAD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20414-2022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44699</v>
      </c>
      <c r="E235" s="1" t="n">
        <v>46221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46221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60442-2024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46221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45299</v>
      </c>
      <c r="E238" s="1" t="n">
        <v>46221</v>
      </c>
      <c r="F238" t="inlineStr">
        <is>
          <t>HALLANDS LÄN</t>
        </is>
      </c>
      <c r="G238" t="inlineStr">
        <is>
          <t>HALMSTAD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2438-2024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45311</v>
      </c>
      <c r="E239" s="1" t="n">
        <v>46221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10061-2022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44621</v>
      </c>
      <c r="E240" s="1" t="n">
        <v>46221</v>
      </c>
      <c r="F240" t="inlineStr">
        <is>
          <t>HALLANDS LÄN</t>
        </is>
      </c>
      <c r="G240" t="inlineStr">
        <is>
          <t>HALMSTAD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12717-2023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45000</v>
      </c>
      <c r="E241" s="1" t="n">
        <v>46221</v>
      </c>
      <c r="F241" t="inlineStr">
        <is>
          <t>HALLANDS LÄN</t>
        </is>
      </c>
      <c r="G241" t="inlineStr">
        <is>
          <t>HALMSTAD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13532-2023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46221</v>
      </c>
      <c r="F242" t="inlineStr">
        <is>
          <t>HALLANDS LÄN</t>
        </is>
      </c>
      <c r="G242" t="inlineStr">
        <is>
          <t>HALMSTAD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6766-2026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46221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53126-2023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46221</v>
      </c>
      <c r="F244" t="inlineStr">
        <is>
          <t>HALLANDS LÄN</t>
        </is>
      </c>
      <c r="G244" t="inlineStr">
        <is>
          <t>HALMSTAD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46221</v>
      </c>
      <c r="F245" t="inlineStr">
        <is>
          <t>HALLANDS LÄN</t>
        </is>
      </c>
      <c r="G245" t="inlineStr">
        <is>
          <t>HALMSTAD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61835-2023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46221</v>
      </c>
      <c r="F246" t="inlineStr">
        <is>
          <t>HALLANDS LÄN</t>
        </is>
      </c>
      <c r="G246" t="inlineStr">
        <is>
          <t>HALMSTAD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63823-2023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45278</v>
      </c>
      <c r="E247" s="1" t="n">
        <v>46221</v>
      </c>
      <c r="F247" t="inlineStr">
        <is>
          <t>HALLANDS LÄN</t>
        </is>
      </c>
      <c r="G247" t="inlineStr">
        <is>
          <t>HALMSTAD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14987-2023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45015</v>
      </c>
      <c r="E248" s="1" t="n">
        <v>46221</v>
      </c>
      <c r="F248" t="inlineStr">
        <is>
          <t>HALLANDS LÄN</t>
        </is>
      </c>
      <c r="G248" t="inlineStr">
        <is>
          <t>HALMSTAD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9092-2024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46221</v>
      </c>
      <c r="F249" t="inlineStr">
        <is>
          <t>HALLANDS LÄN</t>
        </is>
      </c>
      <c r="G249" t="inlineStr">
        <is>
          <t>HALMSTAD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46295-2024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46221</v>
      </c>
      <c r="F250" t="inlineStr">
        <is>
          <t>HALLANDS LÄN</t>
        </is>
      </c>
      <c r="G250" t="inlineStr">
        <is>
          <t>HALMSTAD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52820-2024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46221</v>
      </c>
      <c r="F251" t="inlineStr">
        <is>
          <t>HALLANDS LÄN</t>
        </is>
      </c>
      <c r="G251" t="inlineStr">
        <is>
          <t>HALMSTAD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45836-2024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46221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24087-2023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46221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16268-2025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46221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37571-2023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46221</v>
      </c>
      <c r="F255" t="inlineStr">
        <is>
          <t>HALLANDS LÄN</t>
        </is>
      </c>
      <c r="G255" t="inlineStr">
        <is>
          <t>HALMSTAD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46221</v>
      </c>
      <c r="F256" t="inlineStr">
        <is>
          <t>HALLANDS LÄN</t>
        </is>
      </c>
      <c r="G256" t="inlineStr">
        <is>
          <t>HALMSTAD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46316-2024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46221</v>
      </c>
      <c r="F257" t="inlineStr">
        <is>
          <t>HALLANDS LÄN</t>
        </is>
      </c>
      <c r="G257" t="inlineStr">
        <is>
          <t>HALMSTAD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53873-2022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46221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37136-2025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46221</v>
      </c>
      <c r="F259" t="inlineStr">
        <is>
          <t>HALLANDS LÄN</t>
        </is>
      </c>
      <c r="G259" t="inlineStr">
        <is>
          <t>HALMSTAD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46221</v>
      </c>
      <c r="F260" t="inlineStr">
        <is>
          <t>HALLANDS LÄN</t>
        </is>
      </c>
      <c r="G260" t="inlineStr">
        <is>
          <t>HALMSTAD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61779-2022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44917</v>
      </c>
      <c r="E261" s="1" t="n">
        <v>46221</v>
      </c>
      <c r="F261" t="inlineStr">
        <is>
          <t>HALLANDS LÄN</t>
        </is>
      </c>
      <c r="G261" t="inlineStr">
        <is>
          <t>HALMSTAD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45172</v>
      </c>
      <c r="E262" s="1" t="n">
        <v>46221</v>
      </c>
      <c r="F262" t="inlineStr">
        <is>
          <t>HALLANDS LÄN</t>
        </is>
      </c>
      <c r="G262" t="inlineStr">
        <is>
          <t>HALMSTAD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24375-2023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45082</v>
      </c>
      <c r="E263" s="1" t="n">
        <v>46221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59254-2022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46221</v>
      </c>
      <c r="F264" t="inlineStr">
        <is>
          <t>HALLANDS LÄN</t>
        </is>
      </c>
      <c r="G264" t="inlineStr">
        <is>
          <t>HALMSTAD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6983-2026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46221</v>
      </c>
      <c r="F265" t="inlineStr">
        <is>
          <t>HALLANDS LÄN</t>
        </is>
      </c>
      <c r="G265" t="inlineStr">
        <is>
          <t>HALMSTAD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37270-2025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46221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37745-2025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46221</v>
      </c>
      <c r="F267" t="inlineStr">
        <is>
          <t>HALLANDS LÄN</t>
        </is>
      </c>
      <c r="G267" t="inlineStr">
        <is>
          <t>HALMSTAD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29471-2022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44753</v>
      </c>
      <c r="E268" s="1" t="n">
        <v>46221</v>
      </c>
      <c r="F268" t="inlineStr">
        <is>
          <t>HALLANDS LÄN</t>
        </is>
      </c>
      <c r="G268" t="inlineStr">
        <is>
          <t>HALMSTAD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7705-2026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46221</v>
      </c>
      <c r="F269" t="inlineStr">
        <is>
          <t>HALLANDS LÄN</t>
        </is>
      </c>
      <c r="G269" t="inlineStr">
        <is>
          <t>HALMSTAD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7542-2026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46221</v>
      </c>
      <c r="F270" t="inlineStr">
        <is>
          <t>HALLANDS LÄN</t>
        </is>
      </c>
      <c r="G270" t="inlineStr">
        <is>
          <t>HALMSTAD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46221</v>
      </c>
      <c r="F271" t="inlineStr">
        <is>
          <t>HALLANDS LÄN</t>
        </is>
      </c>
      <c r="G271" t="inlineStr">
        <is>
          <t>HALMSTAD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38467-2025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46221</v>
      </c>
      <c r="F272" t="inlineStr">
        <is>
          <t>HALLANDS LÄN</t>
        </is>
      </c>
      <c r="G272" t="inlineStr">
        <is>
          <t>HALMSTAD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46221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40658-2023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46221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7538-2026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46221</v>
      </c>
      <c r="F275" t="inlineStr">
        <is>
          <t>HALLANDS LÄN</t>
        </is>
      </c>
      <c r="G275" t="inlineStr">
        <is>
          <t>HALMSTAD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7428-2026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46221</v>
      </c>
      <c r="F276" t="inlineStr">
        <is>
          <t>HALLANDS LÄN</t>
        </is>
      </c>
      <c r="G276" t="inlineStr">
        <is>
          <t>HALMSTAD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52013-2025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46221</v>
      </c>
      <c r="F277" t="inlineStr">
        <is>
          <t>HALLANDS LÄN</t>
        </is>
      </c>
      <c r="G277" t="inlineStr">
        <is>
          <t>HALMSTAD</t>
        </is>
      </c>
      <c r="H277" t="inlineStr">
        <is>
          <t>Bergvik skog väst AB</t>
        </is>
      </c>
      <c r="I277" t="n">
        <v>19.5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31543-2022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44775</v>
      </c>
      <c r="E278" s="1" t="n">
        <v>46221</v>
      </c>
      <c r="F278" t="inlineStr">
        <is>
          <t>HALLANDS LÄN</t>
        </is>
      </c>
      <c r="G278" t="inlineStr">
        <is>
          <t>HALMSTAD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8617-2026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46221</v>
      </c>
      <c r="F279" t="inlineStr">
        <is>
          <t>HALLANDS LÄN</t>
        </is>
      </c>
      <c r="G279" t="inlineStr">
        <is>
          <t>HALMSTAD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40398-2022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44823</v>
      </c>
      <c r="E280" s="1" t="n">
        <v>46221</v>
      </c>
      <c r="F280" t="inlineStr">
        <is>
          <t>HALLANDS LÄN</t>
        </is>
      </c>
      <c r="G280" t="inlineStr">
        <is>
          <t>HALMSTAD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46221</v>
      </c>
      <c r="F281" t="inlineStr">
        <is>
          <t>HALLANDS LÄN</t>
        </is>
      </c>
      <c r="G281" t="inlineStr">
        <is>
          <t>HALMSTAD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29993-2024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45488</v>
      </c>
      <c r="E282" s="1" t="n">
        <v>46221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12637-2025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45733</v>
      </c>
      <c r="E283" s="1" t="n">
        <v>46221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40708-2023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46221</v>
      </c>
      <c r="F284" t="inlineStr">
        <is>
          <t>HALLANDS LÄN</t>
        </is>
      </c>
      <c r="G284" t="inlineStr">
        <is>
          <t>HALMSTAD</t>
        </is>
      </c>
      <c r="H284" t="inlineStr">
        <is>
          <t>Kommuner</t>
        </is>
      </c>
      <c r="I284" t="n">
        <v>13.4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53392-2025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46221</v>
      </c>
      <c r="F285" t="inlineStr">
        <is>
          <t>HALLANDS LÄN</t>
        </is>
      </c>
      <c r="G285" t="inlineStr">
        <is>
          <t>HALMSTAD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26049-2023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45091</v>
      </c>
      <c r="E286" s="1" t="n">
        <v>46221</v>
      </c>
      <c r="F286" t="inlineStr">
        <is>
          <t>HALLANDS LÄN</t>
        </is>
      </c>
      <c r="G286" t="inlineStr">
        <is>
          <t>HALMSTAD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57031-2021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44482</v>
      </c>
      <c r="E287" s="1" t="n">
        <v>46221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41626-2022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46221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53211-2023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46221</v>
      </c>
      <c r="F289" t="inlineStr">
        <is>
          <t>HALLANDS LÄN</t>
        </is>
      </c>
      <c r="G289" t="inlineStr">
        <is>
          <t>HALMSTAD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55050-2025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46221</v>
      </c>
      <c r="F290" t="inlineStr">
        <is>
          <t>HALLANDS LÄN</t>
        </is>
      </c>
      <c r="G290" t="inlineStr">
        <is>
          <t>HALMSTAD</t>
        </is>
      </c>
      <c r="H290" t="inlineStr">
        <is>
          <t>Kyrkan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45660</v>
      </c>
      <c r="E291" s="1" t="n">
        <v>46221</v>
      </c>
      <c r="F291" t="inlineStr">
        <is>
          <t>HALLANDS LÄN</t>
        </is>
      </c>
      <c r="G291" t="inlineStr">
        <is>
          <t>HALMSTAD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45660</v>
      </c>
      <c r="E292" s="1" t="n">
        <v>46221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11085-2026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46221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40385-2025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46221</v>
      </c>
      <c r="F294" t="inlineStr">
        <is>
          <t>HALLANDS LÄN</t>
        </is>
      </c>
      <c r="G294" t="inlineStr">
        <is>
          <t>HALMSTAD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55078-2025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46221</v>
      </c>
      <c r="F295" t="inlineStr">
        <is>
          <t>HALLANDS LÄN</t>
        </is>
      </c>
      <c r="G295" t="inlineStr">
        <is>
          <t>HALMSTAD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54870-2022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44885</v>
      </c>
      <c r="E296" s="1" t="n">
        <v>46221</v>
      </c>
      <c r="F296" t="inlineStr">
        <is>
          <t>HALLANDS LÄN</t>
        </is>
      </c>
      <c r="G296" t="inlineStr">
        <is>
          <t>HALMSTAD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46221</v>
      </c>
      <c r="F297" t="inlineStr">
        <is>
          <t>HALLANDS LÄN</t>
        </is>
      </c>
      <c r="G297" t="inlineStr">
        <is>
          <t>HALMSTAD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55966-2025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46221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61663-2023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46221</v>
      </c>
      <c r="F299" t="inlineStr">
        <is>
          <t>HALLANDS LÄN</t>
        </is>
      </c>
      <c r="G299" t="inlineStr">
        <is>
          <t>HALMSTAD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36805-2023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46221</v>
      </c>
      <c r="F300" t="inlineStr">
        <is>
          <t>HALLANDS LÄN</t>
        </is>
      </c>
      <c r="G300" t="inlineStr">
        <is>
          <t>HALMSTAD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57922-2025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46221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20436-2025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45775</v>
      </c>
      <c r="E302" s="1" t="n">
        <v>46221</v>
      </c>
      <c r="F302" t="inlineStr">
        <is>
          <t>HALLANDS LÄN</t>
        </is>
      </c>
      <c r="G302" t="inlineStr">
        <is>
          <t>HALMSTAD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59070-2025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46221</v>
      </c>
      <c r="F303" t="inlineStr">
        <is>
          <t>HALLANDS LÄN</t>
        </is>
      </c>
      <c r="G303" t="inlineStr">
        <is>
          <t>HALMSTAD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19304-2023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46221</v>
      </c>
      <c r="F304" t="inlineStr">
        <is>
          <t>HALLANDS LÄN</t>
        </is>
      </c>
      <c r="G304" t="inlineStr">
        <is>
          <t>HALMSTAD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45585-2022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44845</v>
      </c>
      <c r="E305" s="1" t="n">
        <v>46221</v>
      </c>
      <c r="F305" t="inlineStr">
        <is>
          <t>HALLANDS LÄN</t>
        </is>
      </c>
      <c r="G305" t="inlineStr">
        <is>
          <t>HALMSTAD</t>
        </is>
      </c>
      <c r="H305" t="inlineStr">
        <is>
          <t>Kyrkan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46221</v>
      </c>
      <c r="F306" t="inlineStr">
        <is>
          <t>HALLANDS LÄN</t>
        </is>
      </c>
      <c r="G306" t="inlineStr">
        <is>
          <t>HALMSTAD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12593-2026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46221</v>
      </c>
      <c r="F307" t="inlineStr">
        <is>
          <t>HALLANDS LÄN</t>
        </is>
      </c>
      <c r="G307" t="inlineStr">
        <is>
          <t>HALMSTAD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46221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39746-2023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46221</v>
      </c>
      <c r="F309" t="inlineStr">
        <is>
          <t>HALLANDS LÄN</t>
        </is>
      </c>
      <c r="G309" t="inlineStr">
        <is>
          <t>HALMSTAD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46221</v>
      </c>
      <c r="F310" t="inlineStr">
        <is>
          <t>HALLANDS LÄN</t>
        </is>
      </c>
      <c r="G310" t="inlineStr">
        <is>
          <t>HALMSTAD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46027</v>
      </c>
      <c r="E311" s="1" t="n">
        <v>46221</v>
      </c>
      <c r="F311" t="inlineStr">
        <is>
          <t>HALLANDS LÄN</t>
        </is>
      </c>
      <c r="G311" t="inlineStr">
        <is>
          <t>HALMSTAD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62268-2025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46221</v>
      </c>
      <c r="F312" t="inlineStr">
        <is>
          <t>HALLANDS LÄN</t>
        </is>
      </c>
      <c r="G312" t="inlineStr">
        <is>
          <t>HALMSTAD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62662-2025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46221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46008</v>
      </c>
      <c r="E314" s="1" t="n">
        <v>46221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62583-2025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46221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63609-2023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45275</v>
      </c>
      <c r="E316" s="1" t="n">
        <v>46221</v>
      </c>
      <c r="F316" t="inlineStr">
        <is>
          <t>HALLANDS LÄN</t>
        </is>
      </c>
      <c r="G316" t="inlineStr">
        <is>
          <t>HALMSTAD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41786-2024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46221</v>
      </c>
      <c r="F317" t="inlineStr">
        <is>
          <t>HALLANDS LÄN</t>
        </is>
      </c>
      <c r="G317" t="inlineStr">
        <is>
          <t>HALMSTAD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46221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15028-2023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45015</v>
      </c>
      <c r="E319" s="1" t="n">
        <v>46221</v>
      </c>
      <c r="F319" t="inlineStr">
        <is>
          <t>HALLANDS LÄN</t>
        </is>
      </c>
      <c r="G319" t="inlineStr">
        <is>
          <t>HALMSTAD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15029-2023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45015</v>
      </c>
      <c r="E320" s="1" t="n">
        <v>46221</v>
      </c>
      <c r="F320" t="inlineStr">
        <is>
          <t>HALLANDS LÄN</t>
        </is>
      </c>
      <c r="G320" t="inlineStr">
        <is>
          <t>HALMSTAD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66311-2021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44518</v>
      </c>
      <c r="E321" s="1" t="n">
        <v>46221</v>
      </c>
      <c r="F321" t="inlineStr">
        <is>
          <t>HALLANDS LÄN</t>
        </is>
      </c>
      <c r="G321" t="inlineStr">
        <is>
          <t>HALMSTAD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15189-2026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46221</v>
      </c>
      <c r="F322" t="inlineStr">
        <is>
          <t>HALLANDS LÄN</t>
        </is>
      </c>
      <c r="G322" t="inlineStr">
        <is>
          <t>HALMSTAD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15190-2026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46221</v>
      </c>
      <c r="F323" t="inlineStr">
        <is>
          <t>HALLANDS LÄN</t>
        </is>
      </c>
      <c r="G323" t="inlineStr">
        <is>
          <t>HALMSTAD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17637-2025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46221</v>
      </c>
      <c r="F324" t="inlineStr">
        <is>
          <t>HALLANDS LÄN</t>
        </is>
      </c>
      <c r="G324" t="inlineStr">
        <is>
          <t>HALMSTAD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59766-2023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46221</v>
      </c>
      <c r="F325" t="inlineStr">
        <is>
          <t>HALLANDS LÄN</t>
        </is>
      </c>
      <c r="G325" t="inlineStr">
        <is>
          <t>HALMSTAD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15109-2026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46221</v>
      </c>
      <c r="F326" t="inlineStr">
        <is>
          <t>HALLANDS LÄN</t>
        </is>
      </c>
      <c r="G326" t="inlineStr">
        <is>
          <t>HALMSTAD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8709-2024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46221</v>
      </c>
      <c r="F327" t="inlineStr">
        <is>
          <t>HALLANDS LÄN</t>
        </is>
      </c>
      <c r="G327" t="inlineStr">
        <is>
          <t>HALMSTAD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55963-2025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46221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15574-2026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46221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9839-2024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46221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46221</v>
      </c>
      <c r="F331" t="inlineStr">
        <is>
          <t>HALLANDS LÄN</t>
        </is>
      </c>
      <c r="G331" t="inlineStr">
        <is>
          <t>HALMSTAD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41836-2024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46221</v>
      </c>
      <c r="F332" t="inlineStr">
        <is>
          <t>HALLANDS LÄN</t>
        </is>
      </c>
      <c r="G332" t="inlineStr">
        <is>
          <t>HALMSTAD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46221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15833-2026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46107</v>
      </c>
      <c r="E334" s="1" t="n">
        <v>46221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60391-2023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45259</v>
      </c>
      <c r="E335" s="1" t="n">
        <v>46221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74038-2021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44557</v>
      </c>
      <c r="E336" s="1" t="n">
        <v>46221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46221</v>
      </c>
      <c r="F337" t="inlineStr">
        <is>
          <t>HALLANDS LÄN</t>
        </is>
      </c>
      <c r="G337" t="inlineStr">
        <is>
          <t>HALMSTAD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46221</v>
      </c>
      <c r="F338" t="inlineStr">
        <is>
          <t>HALLANDS LÄN</t>
        </is>
      </c>
      <c r="G338" t="inlineStr">
        <is>
          <t>HALMSTAD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17582-2026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46221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20481-2024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45435</v>
      </c>
      <c r="E340" s="1" t="n">
        <v>46221</v>
      </c>
      <c r="F340" t="inlineStr">
        <is>
          <t>HALLANDS LÄN</t>
        </is>
      </c>
      <c r="G340" t="inlineStr">
        <is>
          <t>HALMSTAD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46221</v>
      </c>
      <c r="F341" t="inlineStr">
        <is>
          <t>HALLANDS LÄN</t>
        </is>
      </c>
      <c r="G341" t="inlineStr">
        <is>
          <t>HALMSTAD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37301-2023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46221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46221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46221</v>
      </c>
      <c r="F344" t="inlineStr">
        <is>
          <t>HALLANDS LÄN</t>
        </is>
      </c>
      <c r="G344" t="inlineStr">
        <is>
          <t>HALMSTAD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18686-2026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46221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40513-2024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46221</v>
      </c>
      <c r="F346" t="inlineStr">
        <is>
          <t>HALLANDS LÄN</t>
        </is>
      </c>
      <c r="G346" t="inlineStr">
        <is>
          <t>HALMSTAD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47813-2024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45588</v>
      </c>
      <c r="E347" s="1" t="n">
        <v>46221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7633-2024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46221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40735-2023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46221</v>
      </c>
      <c r="F349" t="inlineStr">
        <is>
          <t>HALLANDS LÄN</t>
        </is>
      </c>
      <c r="G349" t="inlineStr">
        <is>
          <t>HALMSTAD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44594</v>
      </c>
      <c r="E350" s="1" t="n">
        <v>46221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12263-2025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46221</v>
      </c>
      <c r="F351" t="inlineStr">
        <is>
          <t>HALLANDS LÄN</t>
        </is>
      </c>
      <c r="G351" t="inlineStr">
        <is>
          <t>HALMSTAD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11091-2022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44628</v>
      </c>
      <c r="E352" s="1" t="n">
        <v>46221</v>
      </c>
      <c r="F352" t="inlineStr">
        <is>
          <t>HALLANDS LÄN</t>
        </is>
      </c>
      <c r="G352" t="inlineStr">
        <is>
          <t>HALMSTAD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58193-2024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46221</v>
      </c>
      <c r="F353" t="inlineStr">
        <is>
          <t>HALLANDS LÄN</t>
        </is>
      </c>
      <c r="G353" t="inlineStr">
        <is>
          <t>HALMSTAD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46221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46221</v>
      </c>
      <c r="F355" t="inlineStr">
        <is>
          <t>HALLANDS LÄN</t>
        </is>
      </c>
      <c r="G355" t="inlineStr">
        <is>
          <t>HALMSTAD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45660</v>
      </c>
      <c r="E356" s="1" t="n">
        <v>46221</v>
      </c>
      <c r="F356" t="inlineStr">
        <is>
          <t>HALLANDS LÄN</t>
        </is>
      </c>
      <c r="G356" t="inlineStr">
        <is>
          <t>HALMSTAD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46221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45681</v>
      </c>
      <c r="E358" s="1" t="n">
        <v>46221</v>
      </c>
      <c r="F358" t="inlineStr">
        <is>
          <t>HALLANDS LÄN</t>
        </is>
      </c>
      <c r="G358" t="inlineStr">
        <is>
          <t>HALMSTAD</t>
        </is>
      </c>
      <c r="H358" t="inlineStr">
        <is>
          <t>Kommuner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46221</v>
      </c>
      <c r="F359" t="inlineStr">
        <is>
          <t>HALLANDS LÄN</t>
        </is>
      </c>
      <c r="G359" t="inlineStr">
        <is>
          <t>HALMSTAD</t>
        </is>
      </c>
      <c r="H359" t="inlineStr">
        <is>
          <t>Kommuner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26024-2023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46221</v>
      </c>
      <c r="F360" t="inlineStr">
        <is>
          <t>HALLANDS LÄN</t>
        </is>
      </c>
      <c r="G360" t="inlineStr">
        <is>
          <t>HALMSTAD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30692-2025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46221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25986-2026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46221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50593-2023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46221</v>
      </c>
      <c r="F363" t="inlineStr">
        <is>
          <t>HALLANDS LÄN</t>
        </is>
      </c>
      <c r="G363" t="inlineStr">
        <is>
          <t>HALMSTAD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50603-2023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46221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23483-2022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44721</v>
      </c>
      <c r="E365" s="1" t="n">
        <v>46221</v>
      </c>
      <c r="F365" t="inlineStr">
        <is>
          <t>HALLANDS LÄN</t>
        </is>
      </c>
      <c r="G365" t="inlineStr">
        <is>
          <t>HALMSTAD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58980-2024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45636</v>
      </c>
      <c r="E366" s="1" t="n">
        <v>46221</v>
      </c>
      <c r="F366" t="inlineStr">
        <is>
          <t>HALLANDS LÄN</t>
        </is>
      </c>
      <c r="G366" t="inlineStr">
        <is>
          <t>HALMSTAD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58983-2024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45636</v>
      </c>
      <c r="E367" s="1" t="n">
        <v>46221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29865-2025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46221</v>
      </c>
      <c r="F368" t="inlineStr">
        <is>
          <t>HALLANDS LÄN</t>
        </is>
      </c>
      <c r="G368" t="inlineStr">
        <is>
          <t>HALMSTAD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26335-2026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46221</v>
      </c>
      <c r="F369" t="inlineStr">
        <is>
          <t>HALLANDS LÄN</t>
        </is>
      </c>
      <c r="G369" t="inlineStr">
        <is>
          <t>HALMSTAD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15545-2022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44662</v>
      </c>
      <c r="E370" s="1" t="n">
        <v>46221</v>
      </c>
      <c r="F370" t="inlineStr">
        <is>
          <t>HALLANDS LÄN</t>
        </is>
      </c>
      <c r="G370" t="inlineStr">
        <is>
          <t>HALMSTAD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15550-2024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45401</v>
      </c>
      <c r="E371" s="1" t="n">
        <v>46221</v>
      </c>
      <c r="F371" t="inlineStr">
        <is>
          <t>HALLANDS LÄN</t>
        </is>
      </c>
      <c r="G371" t="inlineStr">
        <is>
          <t>HALMSTAD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45323</v>
      </c>
      <c r="E372" s="1" t="n">
        <v>46221</v>
      </c>
      <c r="F372" t="inlineStr">
        <is>
          <t>HALLANDS LÄN</t>
        </is>
      </c>
      <c r="G372" t="inlineStr">
        <is>
          <t>HALMSTAD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46221</v>
      </c>
      <c r="F373" t="inlineStr">
        <is>
          <t>HALLANDS LÄN</t>
        </is>
      </c>
      <c r="G373" t="inlineStr">
        <is>
          <t>HALMSTAD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23772-2022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44722</v>
      </c>
      <c r="E374" s="1" t="n">
        <v>46221</v>
      </c>
      <c r="F374" t="inlineStr">
        <is>
          <t>HALLANDS LÄN</t>
        </is>
      </c>
      <c r="G374" t="inlineStr">
        <is>
          <t>HALMSTAD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36808-2023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45154</v>
      </c>
      <c r="E375" s="1" t="n">
        <v>46221</v>
      </c>
      <c r="F375" t="inlineStr">
        <is>
          <t>HALLANDS LÄN</t>
        </is>
      </c>
      <c r="G375" t="inlineStr">
        <is>
          <t>HALMSTAD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48859-2023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46221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46221</v>
      </c>
      <c r="F377" t="inlineStr">
        <is>
          <t>HALLANDS LÄN</t>
        </is>
      </c>
      <c r="G377" t="inlineStr">
        <is>
          <t>HALMSTAD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43264-2023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45183</v>
      </c>
      <c r="E378" s="1" t="n">
        <v>46221</v>
      </c>
      <c r="F378" t="inlineStr">
        <is>
          <t>HALLANDS LÄN</t>
        </is>
      </c>
      <c r="G378" t="inlineStr">
        <is>
          <t>HALMSTAD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35376-2024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46221</v>
      </c>
      <c r="F379" t="inlineStr">
        <is>
          <t>HALLANDS LÄN</t>
        </is>
      </c>
      <c r="G379" t="inlineStr">
        <is>
          <t>HALMSTAD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27505-2022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46221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43269-2023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45183</v>
      </c>
      <c r="E381" s="1" t="n">
        <v>46221</v>
      </c>
      <c r="F381" t="inlineStr">
        <is>
          <t>HALLANDS LÄN</t>
        </is>
      </c>
      <c r="G381" t="inlineStr">
        <is>
          <t>HALMSTAD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55596-2023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46221</v>
      </c>
      <c r="F382" t="inlineStr">
        <is>
          <t>HALLANDS LÄN</t>
        </is>
      </c>
      <c r="G382" t="inlineStr">
        <is>
          <t>HALMSTAD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55770-2023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46221</v>
      </c>
      <c r="F383" t="inlineStr">
        <is>
          <t>HALLANDS LÄN</t>
        </is>
      </c>
      <c r="G383" t="inlineStr">
        <is>
          <t>HALMSTAD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40345-2023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46221</v>
      </c>
      <c r="F384" t="inlineStr">
        <is>
          <t>HALLANDS LÄN</t>
        </is>
      </c>
      <c r="G384" t="inlineStr">
        <is>
          <t>HALMSTAD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60323-2022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46221</v>
      </c>
      <c r="F385" t="inlineStr">
        <is>
          <t>HALLANDS LÄN</t>
        </is>
      </c>
      <c r="G385" t="inlineStr">
        <is>
          <t>HALMSTAD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60139-2023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46221</v>
      </c>
      <c r="F386" t="inlineStr">
        <is>
          <t>HALLANDS LÄN</t>
        </is>
      </c>
      <c r="G386" t="inlineStr">
        <is>
          <t>HALMSTAD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45126</v>
      </c>
      <c r="E387" s="1" t="n">
        <v>46221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22149-2022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44712</v>
      </c>
      <c r="E388" s="1" t="n">
        <v>46221</v>
      </c>
      <c r="F388" t="inlineStr">
        <is>
          <t>HALLANDS LÄN</t>
        </is>
      </c>
      <c r="G388" t="inlineStr">
        <is>
          <t>HALMSTAD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27202-2026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46221</v>
      </c>
      <c r="F389" t="inlineStr">
        <is>
          <t>HALLANDS LÄN</t>
        </is>
      </c>
      <c r="G389" t="inlineStr">
        <is>
          <t>HALMSTAD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27176-2026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46221</v>
      </c>
      <c r="F390" t="inlineStr">
        <is>
          <t>HALLANDS LÄN</t>
        </is>
      </c>
      <c r="G390" t="inlineStr">
        <is>
          <t>HALMSTAD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27180-2026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46221</v>
      </c>
      <c r="F391" t="inlineStr">
        <is>
          <t>HALLANDS LÄN</t>
        </is>
      </c>
      <c r="G391" t="inlineStr">
        <is>
          <t>HALMSTAD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27182-2026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46221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27191-2026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46221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27200-2026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46221</v>
      </c>
      <c r="F394" t="inlineStr">
        <is>
          <t>HALLANDS LÄN</t>
        </is>
      </c>
      <c r="G394" t="inlineStr">
        <is>
          <t>HALMSTAD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27175-2026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46221</v>
      </c>
      <c r="F395" t="inlineStr">
        <is>
          <t>HALLANDS LÄN</t>
        </is>
      </c>
      <c r="G395" t="inlineStr">
        <is>
          <t>HALMSTAD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27189-2026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46221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46221</v>
      </c>
      <c r="F397" t="inlineStr">
        <is>
          <t>HALLANDS LÄN</t>
        </is>
      </c>
      <c r="G397" t="inlineStr">
        <is>
          <t>HALMSTAD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27185-2026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46221</v>
      </c>
      <c r="F398" t="inlineStr">
        <is>
          <t>HALLANDS LÄN</t>
        </is>
      </c>
      <c r="G398" t="inlineStr">
        <is>
          <t>HALMSTAD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27205-2026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46221</v>
      </c>
      <c r="F399" t="inlineStr">
        <is>
          <t>HALLANDS LÄN</t>
        </is>
      </c>
      <c r="G399" t="inlineStr">
        <is>
          <t>HALMSTAD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59913-2023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46221</v>
      </c>
      <c r="F400" t="inlineStr">
        <is>
          <t>HALLANDS LÄN</t>
        </is>
      </c>
      <c r="G400" t="inlineStr">
        <is>
          <t>HALMSTAD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27499-2026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46221</v>
      </c>
      <c r="F401" t="inlineStr">
        <is>
          <t>HALLANDS LÄN</t>
        </is>
      </c>
      <c r="G401" t="inlineStr">
        <is>
          <t>HALMSTAD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62187-2023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46221</v>
      </c>
      <c r="F402" t="inlineStr">
        <is>
          <t>HALLANDS LÄN</t>
        </is>
      </c>
      <c r="G402" t="inlineStr">
        <is>
          <t>HALMSTAD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60394-2023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45259</v>
      </c>
      <c r="E403" s="1" t="n">
        <v>46221</v>
      </c>
      <c r="F403" t="inlineStr">
        <is>
          <t>HALLANDS LÄN</t>
        </is>
      </c>
      <c r="G403" t="inlineStr">
        <is>
          <t>HALMSTAD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41951-2022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46221</v>
      </c>
      <c r="F404" t="inlineStr">
        <is>
          <t>HALLANDS LÄN</t>
        </is>
      </c>
      <c r="G404" t="inlineStr">
        <is>
          <t>HALMSTAD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64136-2023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45279</v>
      </c>
      <c r="E405" s="1" t="n">
        <v>46221</v>
      </c>
      <c r="F405" t="inlineStr">
        <is>
          <t>HALLANDS LÄN</t>
        </is>
      </c>
      <c r="G405" t="inlineStr">
        <is>
          <t>HALMSTAD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40542-2023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46221</v>
      </c>
      <c r="F406" t="inlineStr">
        <is>
          <t>HALLANDS LÄN</t>
        </is>
      </c>
      <c r="G406" t="inlineStr">
        <is>
          <t>HALMSTAD</t>
        </is>
      </c>
      <c r="H406" t="inlineStr">
        <is>
          <t>Kommuner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28202-2026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46221</v>
      </c>
      <c r="F407" t="inlineStr">
        <is>
          <t>HALLANDS LÄN</t>
        </is>
      </c>
      <c r="G407" t="inlineStr">
        <is>
          <t>HALMSTAD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51190-2022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44868</v>
      </c>
      <c r="E408" s="1" t="n">
        <v>46221</v>
      </c>
      <c r="F408" t="inlineStr">
        <is>
          <t>HALLANDS LÄN</t>
        </is>
      </c>
      <c r="G408" t="inlineStr">
        <is>
          <t>HALMSTAD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22181-2026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46221</v>
      </c>
      <c r="F409" t="inlineStr">
        <is>
          <t>HALLANDS LÄN</t>
        </is>
      </c>
      <c r="G409" t="inlineStr">
        <is>
          <t>HALMSTAD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46221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46221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13331-2024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46221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23147-2024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45450</v>
      </c>
      <c r="E413" s="1" t="n">
        <v>46221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62131-2023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46221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4903-2024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46221</v>
      </c>
      <c r="F415" t="inlineStr">
        <is>
          <t>HALLANDS LÄN</t>
        </is>
      </c>
      <c r="G415" t="inlineStr">
        <is>
          <t>HALMSTAD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15198-2026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46221</v>
      </c>
      <c r="F416" t="inlineStr">
        <is>
          <t>HALLANDS LÄN</t>
        </is>
      </c>
      <c r="G416" t="inlineStr">
        <is>
          <t>HALMSTAD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28538-2026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46197</v>
      </c>
      <c r="E417" s="1" t="n">
        <v>46221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57037-2021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46221</v>
      </c>
      <c r="F418" t="inlineStr">
        <is>
          <t>HALLANDS LÄN</t>
        </is>
      </c>
      <c r="G418" t="inlineStr">
        <is>
          <t>HALMSTAD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54114-2021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46221</v>
      </c>
      <c r="F419" t="inlineStr">
        <is>
          <t>HALLANDS LÄN</t>
        </is>
      </c>
      <c r="G419" t="inlineStr">
        <is>
          <t>HALMSTAD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19468-2024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46221</v>
      </c>
      <c r="F420" t="inlineStr">
        <is>
          <t>HALLANDS LÄN</t>
        </is>
      </c>
      <c r="G420" t="inlineStr">
        <is>
          <t>HALMSTAD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62766-2023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45268</v>
      </c>
      <c r="E421" s="1" t="n">
        <v>46221</v>
      </c>
      <c r="F421" t="inlineStr">
        <is>
          <t>HALLANDS LÄN</t>
        </is>
      </c>
      <c r="G421" t="inlineStr">
        <is>
          <t>HALMSTAD</t>
        </is>
      </c>
      <c r="H421" t="inlineStr">
        <is>
          <t>Sveaskog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53763-2022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44875</v>
      </c>
      <c r="E422" s="1" t="n">
        <v>46221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5522-2022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44595</v>
      </c>
      <c r="E423" s="1" t="n">
        <v>46221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15678-2024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45404</v>
      </c>
      <c r="E424" s="1" t="n">
        <v>46221</v>
      </c>
      <c r="F424" t="inlineStr">
        <is>
          <t>HALLANDS LÄN</t>
        </is>
      </c>
      <c r="G424" t="inlineStr">
        <is>
          <t>HALMSTAD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64231-2023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45279</v>
      </c>
      <c r="E425" s="1" t="n">
        <v>46221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41612-2022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44827</v>
      </c>
      <c r="E426" s="1" t="n">
        <v>46221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45257</v>
      </c>
      <c r="E427" s="1" t="n">
        <v>46221</v>
      </c>
      <c r="F427" t="inlineStr">
        <is>
          <t>HALLANDS LÄN</t>
        </is>
      </c>
      <c r="G427" t="inlineStr">
        <is>
          <t>HALMSTAD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11790-2025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46221</v>
      </c>
      <c r="F428" t="inlineStr">
        <is>
          <t>HALLANDS LÄN</t>
        </is>
      </c>
      <c r="G428" t="inlineStr">
        <is>
          <t>HALMSTAD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37161-2022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44806</v>
      </c>
      <c r="E429" s="1" t="n">
        <v>46221</v>
      </c>
      <c r="F429" t="inlineStr">
        <is>
          <t>HALLANDS LÄN</t>
        </is>
      </c>
      <c r="G429" t="inlineStr">
        <is>
          <t>HALMSTAD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19087-2022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44691</v>
      </c>
      <c r="E430" s="1" t="n">
        <v>46221</v>
      </c>
      <c r="F430" t="inlineStr">
        <is>
          <t>HALLANDS LÄN</t>
        </is>
      </c>
      <c r="G430" t="inlineStr">
        <is>
          <t>HALMSTAD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22710-2023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46221</v>
      </c>
      <c r="F431" t="inlineStr">
        <is>
          <t>HALLANDS LÄN</t>
        </is>
      </c>
      <c r="G431" t="inlineStr">
        <is>
          <t>HALMSTAD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23299-2026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46221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46221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40974-2025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45897</v>
      </c>
      <c r="E434" s="1" t="n">
        <v>46221</v>
      </c>
      <c r="F434" t="inlineStr">
        <is>
          <t>HALLANDS LÄN</t>
        </is>
      </c>
      <c r="G434" t="inlineStr">
        <is>
          <t>HALMSTAD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57013-2021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46221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57021-2021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44482</v>
      </c>
      <c r="E436" s="1" t="n">
        <v>46221</v>
      </c>
      <c r="F436" t="inlineStr">
        <is>
          <t>HALLANDS LÄN</t>
        </is>
      </c>
      <c r="G436" t="inlineStr">
        <is>
          <t>HALMSTAD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23315-2026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46221</v>
      </c>
      <c r="F437" t="inlineStr">
        <is>
          <t>HALLANDS LÄN</t>
        </is>
      </c>
      <c r="G437" t="inlineStr">
        <is>
          <t>HALMSTAD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52469-2021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44466</v>
      </c>
      <c r="E438" s="1" t="n">
        <v>46221</v>
      </c>
      <c r="F438" t="inlineStr">
        <is>
          <t>HALLANDS LÄN</t>
        </is>
      </c>
      <c r="G438" t="inlineStr">
        <is>
          <t>HALMSTAD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6947-2023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46221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6951-2023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46221</v>
      </c>
      <c r="F440" t="inlineStr">
        <is>
          <t>HALLANDS LÄN</t>
        </is>
      </c>
      <c r="G440" t="inlineStr">
        <is>
          <t>HALMSTAD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16646-2024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45408</v>
      </c>
      <c r="E441" s="1" t="n">
        <v>46221</v>
      </c>
      <c r="F441" t="inlineStr">
        <is>
          <t>HALLANDS LÄN</t>
        </is>
      </c>
      <c r="G441" t="inlineStr">
        <is>
          <t>HALMSTAD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50387-2023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45216</v>
      </c>
      <c r="E442" s="1" t="n">
        <v>46221</v>
      </c>
      <c r="F442" t="inlineStr">
        <is>
          <t>HALLANDS LÄN</t>
        </is>
      </c>
      <c r="G442" t="inlineStr">
        <is>
          <t>HALMSTAD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23312-2026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46221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46221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44713</v>
      </c>
      <c r="E445" s="1" t="n">
        <v>46221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40639-2023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46221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30028-2026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46221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10263-2022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44622</v>
      </c>
      <c r="E448" s="1" t="n">
        <v>46221</v>
      </c>
      <c r="F448" t="inlineStr">
        <is>
          <t>HALLANDS LÄN</t>
        </is>
      </c>
      <c r="G448" t="inlineStr">
        <is>
          <t>HALMSTAD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29866-2026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46221</v>
      </c>
      <c r="F449" t="inlineStr">
        <is>
          <t>HALLANDS LÄN</t>
        </is>
      </c>
      <c r="G449" t="inlineStr">
        <is>
          <t>HALMSTAD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30508-2026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46221</v>
      </c>
      <c r="F450" t="inlineStr">
        <is>
          <t>HALLANDS LÄN</t>
        </is>
      </c>
      <c r="G450" t="inlineStr">
        <is>
          <t>HALMSTAD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54008-2023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46221</v>
      </c>
      <c r="F451" t="inlineStr">
        <is>
          <t>HALLANDS LÄN</t>
        </is>
      </c>
      <c r="G451" t="inlineStr">
        <is>
          <t>HALMSTAD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24168-2026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46221</v>
      </c>
      <c r="F452" t="inlineStr">
        <is>
          <t>HALLANDS LÄN</t>
        </is>
      </c>
      <c r="G452" t="inlineStr">
        <is>
          <t>HALMSTAD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62170-2023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46221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47198-2022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44852</v>
      </c>
      <c r="E454" s="1" t="n">
        <v>46221</v>
      </c>
      <c r="F454" t="inlineStr">
        <is>
          <t>HALLANDS LÄN</t>
        </is>
      </c>
      <c r="G454" t="inlineStr">
        <is>
          <t>HALMSTAD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30499-2026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46221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23892-2026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46221</v>
      </c>
      <c r="F456" t="inlineStr">
        <is>
          <t>HALLANDS LÄN</t>
        </is>
      </c>
      <c r="G456" t="inlineStr">
        <is>
          <t>HALMSTAD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46221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46221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8230-2023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46221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45323</v>
      </c>
      <c r="E460" s="1" t="n">
        <v>46221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30510-2026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46210</v>
      </c>
      <c r="E461" s="1" t="n">
        <v>46221</v>
      </c>
      <c r="F461" t="inlineStr">
        <is>
          <t>HALLANDS LÄN</t>
        </is>
      </c>
      <c r="G461" t="inlineStr">
        <is>
          <t>HALMSTAD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23883-2026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46221</v>
      </c>
      <c r="F462" t="inlineStr">
        <is>
          <t>HALLANDS LÄN</t>
        </is>
      </c>
      <c r="G462" t="inlineStr">
        <is>
          <t>HALMSTAD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58080-2024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46221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30489-2026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46210</v>
      </c>
      <c r="E464" s="1" t="n">
        <v>46221</v>
      </c>
      <c r="F464" t="inlineStr">
        <is>
          <t>HALLANDS LÄN</t>
        </is>
      </c>
      <c r="G464" t="inlineStr">
        <is>
          <t>HALMSTAD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30498-2026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46210</v>
      </c>
      <c r="E465" s="1" t="n">
        <v>46221</v>
      </c>
      <c r="F465" t="inlineStr">
        <is>
          <t>HALLANDS LÄN</t>
        </is>
      </c>
      <c r="G465" t="inlineStr">
        <is>
          <t>HALMSTAD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30503-2026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46221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22146-2022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44712</v>
      </c>
      <c r="E467" s="1" t="n">
        <v>46221</v>
      </c>
      <c r="F467" t="inlineStr">
        <is>
          <t>HALLANDS LÄN</t>
        </is>
      </c>
      <c r="G467" t="inlineStr">
        <is>
          <t>HALMSTAD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23888-2026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46221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19572-2023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45050</v>
      </c>
      <c r="E469" s="1" t="n">
        <v>46221</v>
      </c>
      <c r="F469" t="inlineStr">
        <is>
          <t>HALLANDS LÄN</t>
        </is>
      </c>
      <c r="G469" t="inlineStr">
        <is>
          <t>HALMSTAD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30496-2026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46221</v>
      </c>
      <c r="F470" t="inlineStr">
        <is>
          <t>HALLANDS LÄN</t>
        </is>
      </c>
      <c r="G470" t="inlineStr">
        <is>
          <t>HALMSTAD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30093-2023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46221</v>
      </c>
      <c r="F471" t="inlineStr">
        <is>
          <t>HALLANDS LÄN</t>
        </is>
      </c>
      <c r="G471" t="inlineStr">
        <is>
          <t>HALMSTAD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6942-2023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46221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12009-2026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46221</v>
      </c>
      <c r="F473" t="inlineStr">
        <is>
          <t>HALLANDS LÄN</t>
        </is>
      </c>
      <c r="G473" t="inlineStr">
        <is>
          <t>HALMSTAD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46221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40561-2023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46221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40595-2023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46221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45988-2025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46221</v>
      </c>
      <c r="F477" t="inlineStr">
        <is>
          <t>HALLANDS LÄN</t>
        </is>
      </c>
      <c r="G477" t="inlineStr">
        <is>
          <t>HALMSTAD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40359-2023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46221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56028-2023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46221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40669-2023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46221</v>
      </c>
      <c r="F480" t="inlineStr">
        <is>
          <t>HALLANDS LÄN</t>
        </is>
      </c>
      <c r="G480" t="inlineStr">
        <is>
          <t>HALMSTAD</t>
        </is>
      </c>
      <c r="H480" t="inlineStr">
        <is>
          <t>Kommuner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64230-2023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46221</v>
      </c>
      <c r="F481" t="inlineStr">
        <is>
          <t>HALLANDS LÄN</t>
        </is>
      </c>
      <c r="G481" t="inlineStr">
        <is>
          <t>HALMSTAD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24817-2026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46173</v>
      </c>
      <c r="E482" s="1" t="n">
        <v>46221</v>
      </c>
      <c r="F482" t="inlineStr">
        <is>
          <t>HALLANDS LÄN</t>
        </is>
      </c>
      <c r="G482" t="inlineStr">
        <is>
          <t>HALMSTAD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24818-2026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46173</v>
      </c>
      <c r="E483" s="1" t="n">
        <v>46221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58737-2023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45251</v>
      </c>
      <c r="E484" s="1" t="n">
        <v>46221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46104-2023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46221</v>
      </c>
      <c r="F485" t="inlineStr">
        <is>
          <t>HALLANDS LÄN</t>
        </is>
      </c>
      <c r="G485" t="inlineStr">
        <is>
          <t>HALMSTAD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25383-2026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46221</v>
      </c>
      <c r="F486" t="inlineStr">
        <is>
          <t>HALLANDS LÄN</t>
        </is>
      </c>
      <c r="G486" t="inlineStr">
        <is>
          <t>HALMSTAD</t>
        </is>
      </c>
      <c r="I486" t="n">
        <v>17.8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46221</v>
      </c>
      <c r="F487" t="inlineStr">
        <is>
          <t>HALLANDS LÄN</t>
        </is>
      </c>
      <c r="G487" t="inlineStr">
        <is>
          <t>HALMSTAD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45316</v>
      </c>
      <c r="E488" s="1" t="n">
        <v>46221</v>
      </c>
      <c r="F488" t="inlineStr">
        <is>
          <t>HALLANDS LÄN</t>
        </is>
      </c>
      <c r="G488" t="inlineStr">
        <is>
          <t>HALMSTAD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42201-2024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46221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42204-2024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45562</v>
      </c>
      <c r="E490" s="1" t="n">
        <v>46221</v>
      </c>
      <c r="F490" t="inlineStr">
        <is>
          <t>HALLANDS LÄN</t>
        </is>
      </c>
      <c r="G490" t="inlineStr">
        <is>
          <t>HALMSTAD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46221</v>
      </c>
      <c r="F491" t="inlineStr">
        <is>
          <t>HALLANDS LÄN</t>
        </is>
      </c>
      <c r="G491" t="inlineStr">
        <is>
          <t>HALMSTAD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21723-2023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45065</v>
      </c>
      <c r="E492" s="1" t="n">
        <v>46221</v>
      </c>
      <c r="F492" t="inlineStr">
        <is>
          <t>HALLANDS LÄN</t>
        </is>
      </c>
      <c r="G492" t="inlineStr">
        <is>
          <t>HALMSTAD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25886-2026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46221</v>
      </c>
      <c r="F493" t="inlineStr">
        <is>
          <t>HALLANDS LÄN</t>
        </is>
      </c>
      <c r="G493" t="inlineStr">
        <is>
          <t>HALMSTAD</t>
        </is>
      </c>
      <c r="I493" t="n">
        <v>12.6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25896-2026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46221</v>
      </c>
      <c r="F494" t="inlineStr">
        <is>
          <t>HALLANDS LÄN</t>
        </is>
      </c>
      <c r="G494" t="inlineStr">
        <is>
          <t>HALMSTAD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25286-2026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46221</v>
      </c>
      <c r="F495" t="inlineStr">
        <is>
          <t>HALLANDS LÄN</t>
        </is>
      </c>
      <c r="G495" t="inlineStr">
        <is>
          <t>HALMSTAD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24103-2023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45079</v>
      </c>
      <c r="E496" s="1" t="n">
        <v>46221</v>
      </c>
      <c r="F496" t="inlineStr">
        <is>
          <t>HALLANDS LÄN</t>
        </is>
      </c>
      <c r="G496" t="inlineStr">
        <is>
          <t>HALMSTAD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40629-2023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46221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8679-2025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45712</v>
      </c>
      <c r="E498" s="1" t="n">
        <v>46221</v>
      </c>
      <c r="F498" t="inlineStr">
        <is>
          <t>HALLANDS LÄN</t>
        </is>
      </c>
      <c r="G498" t="inlineStr">
        <is>
          <t>HALMSTAD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40741-2023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45170</v>
      </c>
      <c r="E499" s="1" t="n">
        <v>46221</v>
      </c>
      <c r="F499" t="inlineStr">
        <is>
          <t>HALLANDS LÄN</t>
        </is>
      </c>
      <c r="G499" t="inlineStr">
        <is>
          <t>HALMSTAD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60032-2023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46221</v>
      </c>
      <c r="F500" t="inlineStr">
        <is>
          <t>HALLANDS LÄN</t>
        </is>
      </c>
      <c r="G500" t="inlineStr">
        <is>
          <t>HALMSTAD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66730-2021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44520</v>
      </c>
      <c r="E501" s="1" t="n">
        <v>46221</v>
      </c>
      <c r="F501" t="inlineStr">
        <is>
          <t>HALLANDS LÄN</t>
        </is>
      </c>
      <c r="G501" t="inlineStr">
        <is>
          <t>HALMSTAD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3412-2025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45680</v>
      </c>
      <c r="E502" s="1" t="n">
        <v>46221</v>
      </c>
      <c r="F502" t="inlineStr">
        <is>
          <t>HALLANDS LÄN</t>
        </is>
      </c>
      <c r="G502" t="inlineStr">
        <is>
          <t>HALMSTAD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45329</v>
      </c>
      <c r="E503" s="1" t="n">
        <v>46221</v>
      </c>
      <c r="F503" t="inlineStr">
        <is>
          <t>HALLANDS LÄN</t>
        </is>
      </c>
      <c r="G503" t="inlineStr">
        <is>
          <t>HALMSTAD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12960-2025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45734</v>
      </c>
      <c r="E504" s="1" t="n">
        <v>46221</v>
      </c>
      <c r="F504" t="inlineStr">
        <is>
          <t>HALLANDS LÄN</t>
        </is>
      </c>
      <c r="G504" t="inlineStr">
        <is>
          <t>HALMSTAD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9149-2024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45358</v>
      </c>
      <c r="E505" s="1" t="n">
        <v>46221</v>
      </c>
      <c r="F505" t="inlineStr">
        <is>
          <t>HALLANDS LÄN</t>
        </is>
      </c>
      <c r="G505" t="inlineStr">
        <is>
          <t>HALMSTAD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17476-2024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45415</v>
      </c>
      <c r="E506" s="1" t="n">
        <v>46221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51901-2024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45607</v>
      </c>
      <c r="E507" s="1" t="n">
        <v>46221</v>
      </c>
      <c r="F507" t="inlineStr">
        <is>
          <t>HALLANDS LÄN</t>
        </is>
      </c>
      <c r="G507" t="inlineStr">
        <is>
          <t>HALMSTAD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21946-2024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45443</v>
      </c>
      <c r="E508" s="1" t="n">
        <v>46221</v>
      </c>
      <c r="F508" t="inlineStr">
        <is>
          <t>HALLANDS LÄN</t>
        </is>
      </c>
      <c r="G508" t="inlineStr">
        <is>
          <t>HALMSTAD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40418-2024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45555</v>
      </c>
      <c r="E509" s="1" t="n">
        <v>46221</v>
      </c>
      <c r="F509" t="inlineStr">
        <is>
          <t>HALLANDS LÄN</t>
        </is>
      </c>
      <c r="G509" t="inlineStr">
        <is>
          <t>HALMSTAD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46754-2024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45583</v>
      </c>
      <c r="E510" s="1" t="n">
        <v>46221</v>
      </c>
      <c r="F510" t="inlineStr">
        <is>
          <t>HALLANDS LÄN</t>
        </is>
      </c>
      <c r="G510" t="inlineStr">
        <is>
          <t>HALMSTAD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23609-2025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46221</v>
      </c>
      <c r="F511" t="inlineStr">
        <is>
          <t>HALLANDS LÄN</t>
        </is>
      </c>
      <c r="G511" t="inlineStr">
        <is>
          <t>HALMSTAD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46221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45694</v>
      </c>
      <c r="E513" s="1" t="n">
        <v>46221</v>
      </c>
      <c r="F513" t="inlineStr">
        <is>
          <t>HALLANDS LÄN</t>
        </is>
      </c>
      <c r="G513" t="inlineStr">
        <is>
          <t>HALMSTAD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56683-2024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45627</v>
      </c>
      <c r="E514" s="1" t="n">
        <v>46221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42190-2024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45562</v>
      </c>
      <c r="E515" s="1" t="n">
        <v>46221</v>
      </c>
      <c r="F515" t="inlineStr">
        <is>
          <t>HALLANDS LÄN</t>
        </is>
      </c>
      <c r="G515" t="inlineStr">
        <is>
          <t>HALMSTAD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17156-2022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44677</v>
      </c>
      <c r="E516" s="1" t="n">
        <v>46221</v>
      </c>
      <c r="F516" t="inlineStr">
        <is>
          <t>HALLANDS LÄN</t>
        </is>
      </c>
      <c r="G516" t="inlineStr">
        <is>
          <t>HALMSTAD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46221</v>
      </c>
      <c r="F517" t="inlineStr">
        <is>
          <t>HALLANDS LÄN</t>
        </is>
      </c>
      <c r="G517" t="inlineStr">
        <is>
          <t>HALMSTAD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9759-2025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45716</v>
      </c>
      <c r="E518" s="1" t="n">
        <v>46221</v>
      </c>
      <c r="F518" t="inlineStr">
        <is>
          <t>HALLANDS LÄN</t>
        </is>
      </c>
      <c r="G518" t="inlineStr">
        <is>
          <t>HALMSTAD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52913-2023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46221</v>
      </c>
      <c r="F519" t="inlineStr">
        <is>
          <t>HALLANDS LÄN</t>
        </is>
      </c>
      <c r="G519" t="inlineStr">
        <is>
          <t>HALMSTAD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24265-2025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45797</v>
      </c>
      <c r="E520" s="1" t="n">
        <v>46221</v>
      </c>
      <c r="F520" t="inlineStr">
        <is>
          <t>HALLANDS LÄN</t>
        </is>
      </c>
      <c r="G520" t="inlineStr">
        <is>
          <t>HALMSTAD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S 2307-2020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44132</v>
      </c>
      <c r="E521" s="1" t="n">
        <v>46221</v>
      </c>
      <c r="F521" t="inlineStr">
        <is>
          <t>HALLANDS LÄN</t>
        </is>
      </c>
      <c r="G521" t="inlineStr">
        <is>
          <t>HALMSTAD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46221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46221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4158-2022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44767</v>
      </c>
      <c r="E524" s="1" t="n">
        <v>46221</v>
      </c>
      <c r="F524" t="inlineStr">
        <is>
          <t>HALLANDS LÄN</t>
        </is>
      </c>
      <c r="G524" t="inlineStr">
        <is>
          <t>HALMSTAD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46221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7296-2021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44469</v>
      </c>
      <c r="E526" s="1" t="n">
        <v>46221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108-2025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45672</v>
      </c>
      <c r="E527" s="1" t="n">
        <v>46221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46221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46221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46221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46221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46221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46221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>
      <c r="A534" t="inlineStr">
        <is>
          <t>S 2016-2026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46212</v>
      </c>
      <c r="E534" s="1" t="n">
        <v>46221</v>
      </c>
      <c r="F534" t="inlineStr">
        <is>
          <t>HALLANDS LÄN</t>
        </is>
      </c>
      <c r="G534" t="inlineStr">
        <is>
          <t>HALMSTAD</t>
        </is>
      </c>
      <c r="I534" t="n">
        <v>18.8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2026-07-18T01:24:07Z</dcterms:created>
  <dcterms:modified xmlns:dcterms="http://purl.org/dc/terms/" xmlns:xsi="http://www.w3.org/2001/XMLSchema-instance" xsi:type="dcterms:W3CDTF">2026-07-18T01:24:07Z</dcterms:modified>
</cp:coreProperties>
</file>
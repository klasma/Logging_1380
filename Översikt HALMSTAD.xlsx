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46203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46203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46203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46203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8062-2023</t>
        </is>
      </c>
      <c r="B6" s="1" t="n">
        <v>44974</v>
      </c>
      <c r="C6" s="1" t="n">
        <v>46203</v>
      </c>
      <c r="D6" t="inlineStr">
        <is>
          <t>HALLANDS LÄN</t>
        </is>
      </c>
      <c r="E6" t="inlineStr">
        <is>
          <t>HALMSTAD</t>
        </is>
      </c>
      <c r="G6" t="n">
        <v>1.3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Barbastell
Brunlångöra
Nordfladdermus
Dvärgpipistrell
Vattenfladdermus</t>
        </is>
      </c>
      <c r="S6">
        <f>HYPERLINK("https://klasma.github.io/Logging_1380/artfynd/A 8062-2023 artfynd.xlsx", "A 8062-2023")</f>
        <v/>
      </c>
      <c r="T6">
        <f>HYPERLINK("https://klasma.github.io/Logging_1380/kartor/A 8062-2023 karta.png", "A 8062-2023")</f>
        <v/>
      </c>
      <c r="V6">
        <f>HYPERLINK("https://klasma.github.io/Logging_1380/klagomål/A 8062-2023 FSC-klagomål.docx", "A 8062-2023")</f>
        <v/>
      </c>
      <c r="W6">
        <f>HYPERLINK("https://klasma.github.io/Logging_1380/klagomålsmail/A 8062-2023 FSC-klagomål mail.docx", "A 8062-2023")</f>
        <v/>
      </c>
      <c r="X6">
        <f>HYPERLINK("https://klasma.github.io/Logging_1380/tillsyn/A 8062-2023 tillsynsbegäran.docx", "A 8062-2023")</f>
        <v/>
      </c>
      <c r="Y6">
        <f>HYPERLINK("https://klasma.github.io/Logging_1380/tillsynsmail/A 8062-2023 tillsynsbegäran mail.docx", "A 8062-2023")</f>
        <v/>
      </c>
    </row>
    <row r="7" ht="15" customHeight="1">
      <c r="A7" t="inlineStr">
        <is>
          <t>A 58739-2023</t>
        </is>
      </c>
      <c r="B7" s="1" t="n">
        <v>45251</v>
      </c>
      <c r="C7" s="1" t="n">
        <v>46203</v>
      </c>
      <c r="D7" t="inlineStr">
        <is>
          <t>HALLANDS LÄN</t>
        </is>
      </c>
      <c r="E7" t="inlineStr">
        <is>
          <t>HALMSTAD</t>
        </is>
      </c>
      <c r="G7" t="n">
        <v>2.4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Lax
Gröngöling
Grönsiska
Kungsfågel
Röd glada</t>
        </is>
      </c>
      <c r="S7">
        <f>HYPERLINK("https://klasma.github.io/Logging_1380/artfynd/A 58739-2023 artfynd.xlsx", "A 58739-2023")</f>
        <v/>
      </c>
      <c r="T7">
        <f>HYPERLINK("https://klasma.github.io/Logging_1380/kartor/A 58739-2023 karta.png", "A 58739-2023")</f>
        <v/>
      </c>
      <c r="V7">
        <f>HYPERLINK("https://klasma.github.io/Logging_1380/klagomål/A 58739-2023 FSC-klagomål.docx", "A 58739-2023")</f>
        <v/>
      </c>
      <c r="W7">
        <f>HYPERLINK("https://klasma.github.io/Logging_1380/klagomålsmail/A 58739-2023 FSC-klagomål mail.docx", "A 58739-2023")</f>
        <v/>
      </c>
      <c r="X7">
        <f>HYPERLINK("https://klasma.github.io/Logging_1380/tillsyn/A 58739-2023 tillsynsbegäran.docx", "A 58739-2023")</f>
        <v/>
      </c>
      <c r="Y7">
        <f>HYPERLINK("https://klasma.github.io/Logging_1380/tillsynsmail/A 58739-2023 tillsynsbegäran mail.docx", "A 58739-2023")</f>
        <v/>
      </c>
      <c r="Z7">
        <f>HYPERLINK("https://klasma.github.io/Logging_1380/fåglar/A 58739-2023 prioriterade fågelarter.docx", "A 58739-2023")</f>
        <v/>
      </c>
    </row>
    <row r="8" ht="15" customHeight="1">
      <c r="A8" t="inlineStr">
        <is>
          <t>A 30890-2022</t>
        </is>
      </c>
      <c r="B8" s="1" t="n">
        <v>44767</v>
      </c>
      <c r="C8" s="1" t="n">
        <v>46203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3.1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Hallandsfibbla
Narrklibbfibbla
Svinrot
Nattskärra</t>
        </is>
      </c>
      <c r="S8">
        <f>HYPERLINK("https://klasma.github.io/Logging_1380/artfynd/A 30890-2022 artfynd.xlsx", "A 30890-2022")</f>
        <v/>
      </c>
      <c r="T8">
        <f>HYPERLINK("https://klasma.github.io/Logging_1380/kartor/A 30890-2022 karta.png", "A 30890-2022")</f>
        <v/>
      </c>
      <c r="V8">
        <f>HYPERLINK("https://klasma.github.io/Logging_1380/klagomål/A 30890-2022 FSC-klagomål.docx", "A 30890-2022")</f>
        <v/>
      </c>
      <c r="W8">
        <f>HYPERLINK("https://klasma.github.io/Logging_1380/klagomålsmail/A 30890-2022 FSC-klagomål mail.docx", "A 30890-2022")</f>
        <v/>
      </c>
      <c r="X8">
        <f>HYPERLINK("https://klasma.github.io/Logging_1380/tillsyn/A 30890-2022 tillsynsbegäran.docx", "A 30890-2022")</f>
        <v/>
      </c>
      <c r="Y8">
        <f>HYPERLINK("https://klasma.github.io/Logging_1380/tillsynsmail/A 30890-2022 tillsynsbegäran mail.docx", "A 30890-2022")</f>
        <v/>
      </c>
      <c r="Z8">
        <f>HYPERLINK("https://klasma.github.io/Logging_1380/fåglar/A 30890-2022 prioriterade fågelarter.docx", "A 30890-2022")</f>
        <v/>
      </c>
    </row>
    <row r="9" ht="15" customHeight="1">
      <c r="A9" t="inlineStr">
        <is>
          <t>A 29302-2025</t>
        </is>
      </c>
      <c r="B9" s="1" t="n">
        <v>45824</v>
      </c>
      <c r="C9" s="1" t="n">
        <v>46203</v>
      </c>
      <c r="D9" t="inlineStr">
        <is>
          <t>HALLANDS LÄN</t>
        </is>
      </c>
      <c r="E9" t="inlineStr">
        <is>
          <t>HALMSTAD</t>
        </is>
      </c>
      <c r="G9" t="n">
        <v>5.5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Gulsparv
Mindre tåtelsmygare
Gröngöling
Kungsfågel</t>
        </is>
      </c>
      <c r="S9">
        <f>HYPERLINK("https://klasma.github.io/Logging_1380/artfynd/A 29302-2025 artfynd.xlsx", "A 29302-2025")</f>
        <v/>
      </c>
      <c r="T9">
        <f>HYPERLINK("https://klasma.github.io/Logging_1380/kartor/A 29302-2025 karta.png", "A 29302-2025")</f>
        <v/>
      </c>
      <c r="V9">
        <f>HYPERLINK("https://klasma.github.io/Logging_1380/klagomål/A 29302-2025 FSC-klagomål.docx", "A 29302-2025")</f>
        <v/>
      </c>
      <c r="W9">
        <f>HYPERLINK("https://klasma.github.io/Logging_1380/klagomålsmail/A 29302-2025 FSC-klagomål mail.docx", "A 29302-2025")</f>
        <v/>
      </c>
      <c r="X9">
        <f>HYPERLINK("https://klasma.github.io/Logging_1380/tillsyn/A 29302-2025 tillsynsbegäran.docx", "A 29302-2025")</f>
        <v/>
      </c>
      <c r="Y9">
        <f>HYPERLINK("https://klasma.github.io/Logging_1380/tillsynsmail/A 29302-2025 tillsynsbegäran mail.docx", "A 29302-2025")</f>
        <v/>
      </c>
      <c r="Z9">
        <f>HYPERLINK("https://klasma.github.io/Logging_1380/fåglar/A 29302-2025 prioriterade fågelarter.docx", "A 29302-2025")</f>
        <v/>
      </c>
    </row>
    <row r="10" ht="15" customHeight="1">
      <c r="A10" t="inlineStr">
        <is>
          <t>A 52209-2025</t>
        </is>
      </c>
      <c r="B10" s="1" t="n">
        <v>45952</v>
      </c>
      <c r="C10" s="1" t="n">
        <v>46203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6.7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Skuggorangelav
Fällmossa
Guldlockmossa
Gulpudrad spiklav</t>
        </is>
      </c>
      <c r="S10">
        <f>HYPERLINK("https://klasma.github.io/Logging_1380/artfynd/A 52209-2025 artfynd.xlsx", "A 52209-2025")</f>
        <v/>
      </c>
      <c r="T10">
        <f>HYPERLINK("https://klasma.github.io/Logging_1380/kartor/A 52209-2025 karta.png", "A 52209-2025")</f>
        <v/>
      </c>
      <c r="V10">
        <f>HYPERLINK("https://klasma.github.io/Logging_1380/klagomål/A 52209-2025 FSC-klagomål.docx", "A 52209-2025")</f>
        <v/>
      </c>
      <c r="W10">
        <f>HYPERLINK("https://klasma.github.io/Logging_1380/klagomålsmail/A 52209-2025 FSC-klagomål mail.docx", "A 52209-2025")</f>
        <v/>
      </c>
      <c r="X10">
        <f>HYPERLINK("https://klasma.github.io/Logging_1380/tillsyn/A 52209-2025 tillsynsbegäran.docx", "A 52209-2025")</f>
        <v/>
      </c>
      <c r="Y10">
        <f>HYPERLINK("https://klasma.github.io/Logging_1380/tillsynsmail/A 52209-2025 tillsynsbegäran mail.docx", "A 52209-2025")</f>
        <v/>
      </c>
    </row>
    <row r="11" ht="15" customHeight="1">
      <c r="A11" t="inlineStr">
        <is>
          <t>A 2006-2026</t>
        </is>
      </c>
      <c r="B11" s="1" t="n">
        <v>46035</v>
      </c>
      <c r="C11" s="1" t="n">
        <v>46203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8.1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Skuggorangelav
Fällmossa
Guldlockmossa
Gulpudrad spiklav</t>
        </is>
      </c>
      <c r="S11">
        <f>HYPERLINK("https://klasma.github.io/Logging_1380/artfynd/A 2006-2026 artfynd.xlsx", "A 2006-2026")</f>
        <v/>
      </c>
      <c r="T11">
        <f>HYPERLINK("https://klasma.github.io/Logging_1380/kartor/A 2006-2026 karta.png", "A 2006-2026")</f>
        <v/>
      </c>
      <c r="V11">
        <f>HYPERLINK("https://klasma.github.io/Logging_1380/klagomål/A 2006-2026 FSC-klagomål.docx", "A 2006-2026")</f>
        <v/>
      </c>
      <c r="W11">
        <f>HYPERLINK("https://klasma.github.io/Logging_1380/klagomålsmail/A 2006-2026 FSC-klagomål mail.docx", "A 2006-2026")</f>
        <v/>
      </c>
      <c r="X11">
        <f>HYPERLINK("https://klasma.github.io/Logging_1380/tillsyn/A 2006-2026 tillsynsbegäran.docx", "A 2006-2026")</f>
        <v/>
      </c>
      <c r="Y11">
        <f>HYPERLINK("https://klasma.github.io/Logging_1380/tillsynsmail/A 2006-2026 tillsynsbegäran mail.docx", "A 2006-2026")</f>
        <v/>
      </c>
    </row>
    <row r="12" ht="15" customHeight="1">
      <c r="A12" t="inlineStr">
        <is>
          <t>A 10224-2026</t>
        </is>
      </c>
      <c r="B12" s="1" t="n">
        <v>46076</v>
      </c>
      <c r="C12" s="1" t="n">
        <v>46203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Hallandsfibbla
Narrklibbfibbla
Svinrot
Nattskärra</t>
        </is>
      </c>
      <c r="S12">
        <f>HYPERLINK("https://klasma.github.io/Logging_1380/artfynd/A 10224-2026 artfynd.xlsx", "A 10224-2026")</f>
        <v/>
      </c>
      <c r="T12">
        <f>HYPERLINK("https://klasma.github.io/Logging_1380/kartor/A 10224-2026 karta.png", "A 10224-2026")</f>
        <v/>
      </c>
      <c r="V12">
        <f>HYPERLINK("https://klasma.github.io/Logging_1380/klagomål/A 10224-2026 FSC-klagomål.docx", "A 10224-2026")</f>
        <v/>
      </c>
      <c r="W12">
        <f>HYPERLINK("https://klasma.github.io/Logging_1380/klagomålsmail/A 10224-2026 FSC-klagomål mail.docx", "A 10224-2026")</f>
        <v/>
      </c>
      <c r="X12">
        <f>HYPERLINK("https://klasma.github.io/Logging_1380/tillsyn/A 10224-2026 tillsynsbegäran.docx", "A 10224-2026")</f>
        <v/>
      </c>
      <c r="Y12">
        <f>HYPERLINK("https://klasma.github.io/Logging_1380/tillsynsmail/A 10224-2026 tillsynsbegäran mail.docx", "A 10224-2026")</f>
        <v/>
      </c>
      <c r="Z12">
        <f>HYPERLINK("https://klasma.github.io/Logging_1380/fåglar/A 10224-2026 prioriterade fågelarter.docx", "A 10224-2026")</f>
        <v/>
      </c>
    </row>
    <row r="13" ht="15" customHeight="1">
      <c r="A13" t="inlineStr">
        <is>
          <t>A 40697-2023</t>
        </is>
      </c>
      <c r="B13" s="1" t="n">
        <v>45168</v>
      </c>
      <c r="C13" s="1" t="n">
        <v>46203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4.5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Jättesvampmal
Klippfrullania
Västlig hakmossa
Spillkråka</t>
        </is>
      </c>
      <c r="S13">
        <f>HYPERLINK("https://klasma.github.io/Logging_1380/artfynd/A 40697-2023 artfynd.xlsx", "A 40697-2023")</f>
        <v/>
      </c>
      <c r="T13">
        <f>HYPERLINK("https://klasma.github.io/Logging_1380/kartor/A 40697-2023 karta.png", "A 40697-2023")</f>
        <v/>
      </c>
      <c r="V13">
        <f>HYPERLINK("https://klasma.github.io/Logging_1380/klagomål/A 40697-2023 FSC-klagomål.docx", "A 40697-2023")</f>
        <v/>
      </c>
      <c r="W13">
        <f>HYPERLINK("https://klasma.github.io/Logging_1380/klagomålsmail/A 40697-2023 FSC-klagomål mail.docx", "A 40697-2023")</f>
        <v/>
      </c>
      <c r="X13">
        <f>HYPERLINK("https://klasma.github.io/Logging_1380/tillsyn/A 40697-2023 tillsynsbegäran.docx", "A 40697-2023")</f>
        <v/>
      </c>
      <c r="Y13">
        <f>HYPERLINK("https://klasma.github.io/Logging_1380/tillsynsmail/A 40697-2023 tillsynsbegäran mail.docx", "A 40697-2023")</f>
        <v/>
      </c>
      <c r="Z13">
        <f>HYPERLINK("https://klasma.github.io/Logging_1380/fåglar/A 40697-2023 prioriterade fågelarter.docx", "A 40697-2023")</f>
        <v/>
      </c>
    </row>
    <row r="14" ht="15" customHeight="1">
      <c r="A14" t="inlineStr">
        <is>
          <t>A 40491-2023</t>
        </is>
      </c>
      <c r="B14" s="1" t="n">
        <v>45168</v>
      </c>
      <c r="C14" s="1" t="n">
        <v>46203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1.2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Stor sotdyna
Blåmossa
Kambräken
Glansfläck</t>
        </is>
      </c>
      <c r="S14">
        <f>HYPERLINK("https://klasma.github.io/Logging_1380/artfynd/A 40491-2023 artfynd.xlsx", "A 40491-2023")</f>
        <v/>
      </c>
      <c r="T14">
        <f>HYPERLINK("https://klasma.github.io/Logging_1380/kartor/A 40491-2023 karta.png", "A 40491-2023")</f>
        <v/>
      </c>
      <c r="V14">
        <f>HYPERLINK("https://klasma.github.io/Logging_1380/klagomål/A 40491-2023 FSC-klagomål.docx", "A 40491-2023")</f>
        <v/>
      </c>
      <c r="W14">
        <f>HYPERLINK("https://klasma.github.io/Logging_1380/klagomålsmail/A 40491-2023 FSC-klagomål mail.docx", "A 40491-2023")</f>
        <v/>
      </c>
      <c r="X14">
        <f>HYPERLINK("https://klasma.github.io/Logging_1380/tillsyn/A 40491-2023 tillsynsbegäran.docx", "A 40491-2023")</f>
        <v/>
      </c>
      <c r="Y14">
        <f>HYPERLINK("https://klasma.github.io/Logging_1380/tillsynsmail/A 40491-2023 tillsynsbegäran mail.docx", "A 40491-2023")</f>
        <v/>
      </c>
    </row>
    <row r="15" ht="15" customHeight="1">
      <c r="A15" t="inlineStr">
        <is>
          <t>A 40686-2023</t>
        </is>
      </c>
      <c r="B15" s="1" t="n">
        <v>45168</v>
      </c>
      <c r="C15" s="1" t="n">
        <v>46203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8.4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Kambräken
Mattlummer
Åkergroda
Vanlig padda</t>
        </is>
      </c>
      <c r="S15">
        <f>HYPERLINK("https://klasma.github.io/Logging_1380/artfynd/A 40686-2023 artfynd.xlsx", "A 40686-2023")</f>
        <v/>
      </c>
      <c r="T15">
        <f>HYPERLINK("https://klasma.github.io/Logging_1380/kartor/A 40686-2023 karta.png", "A 40686-2023")</f>
        <v/>
      </c>
      <c r="V15">
        <f>HYPERLINK("https://klasma.github.io/Logging_1380/klagomål/A 40686-2023 FSC-klagomål.docx", "A 40686-2023")</f>
        <v/>
      </c>
      <c r="W15">
        <f>HYPERLINK("https://klasma.github.io/Logging_1380/klagomålsmail/A 40686-2023 FSC-klagomål mail.docx", "A 40686-2023")</f>
        <v/>
      </c>
      <c r="X15">
        <f>HYPERLINK("https://klasma.github.io/Logging_1380/tillsyn/A 40686-2023 tillsynsbegäran.docx", "A 40686-2023")</f>
        <v/>
      </c>
      <c r="Y15">
        <f>HYPERLINK("https://klasma.github.io/Logging_1380/tillsynsmail/A 40686-2023 tillsynsbegäran mail.docx", "A 40686-2023")</f>
        <v/>
      </c>
    </row>
    <row r="16" ht="15" customHeight="1">
      <c r="A16" t="inlineStr">
        <is>
          <t>A 38411-2022</t>
        </is>
      </c>
      <c r="B16" s="1" t="n">
        <v>44812</v>
      </c>
      <c r="C16" s="1" t="n">
        <v>46203</v>
      </c>
      <c r="D16" t="inlineStr">
        <is>
          <t>HALLANDS LÄN</t>
        </is>
      </c>
      <c r="E16" t="inlineStr">
        <is>
          <t>HALMSTAD</t>
        </is>
      </c>
      <c r="G16" t="n">
        <v>19.3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Kransrams
Rostfläck
Gröngöling</t>
        </is>
      </c>
      <c r="S16">
        <f>HYPERLINK("https://klasma.github.io/Logging_1380/artfynd/A 38411-2022 artfynd.xlsx", "A 38411-2022")</f>
        <v/>
      </c>
      <c r="T16">
        <f>HYPERLINK("https://klasma.github.io/Logging_1380/kartor/A 38411-2022 karta.png", "A 38411-2022")</f>
        <v/>
      </c>
      <c r="V16">
        <f>HYPERLINK("https://klasma.github.io/Logging_1380/klagomål/A 38411-2022 FSC-klagomål.docx", "A 38411-2022")</f>
        <v/>
      </c>
      <c r="W16">
        <f>HYPERLINK("https://klasma.github.io/Logging_1380/klagomålsmail/A 38411-2022 FSC-klagomål mail.docx", "A 38411-2022")</f>
        <v/>
      </c>
      <c r="X16">
        <f>HYPERLINK("https://klasma.github.io/Logging_1380/tillsyn/A 38411-2022 tillsynsbegäran.docx", "A 38411-2022")</f>
        <v/>
      </c>
      <c r="Y16">
        <f>HYPERLINK("https://klasma.github.io/Logging_1380/tillsynsmail/A 38411-2022 tillsynsbegäran mail.docx", "A 38411-2022")</f>
        <v/>
      </c>
    </row>
    <row r="17" ht="15" customHeight="1">
      <c r="A17" t="inlineStr">
        <is>
          <t>A 26108-2022</t>
        </is>
      </c>
      <c r="B17" s="1" t="n">
        <v>44734</v>
      </c>
      <c r="C17" s="1" t="n">
        <v>46203</v>
      </c>
      <c r="D17" t="inlineStr">
        <is>
          <t>HALLANDS LÄN</t>
        </is>
      </c>
      <c r="E17" t="inlineStr">
        <is>
          <t>HALMSTAD</t>
        </is>
      </c>
      <c r="G17" t="n">
        <v>2.6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Spillkråka
Röd glada
Lopplummer (aggregat)</t>
        </is>
      </c>
      <c r="S17">
        <f>HYPERLINK("https://klasma.github.io/Logging_1380/artfynd/A 26108-2022 artfynd.xlsx", "A 26108-2022")</f>
        <v/>
      </c>
      <c r="T17">
        <f>HYPERLINK("https://klasma.github.io/Logging_1380/kartor/A 26108-2022 karta.png", "A 26108-2022")</f>
        <v/>
      </c>
      <c r="V17">
        <f>HYPERLINK("https://klasma.github.io/Logging_1380/klagomål/A 26108-2022 FSC-klagomål.docx", "A 26108-2022")</f>
        <v/>
      </c>
      <c r="W17">
        <f>HYPERLINK("https://klasma.github.io/Logging_1380/klagomålsmail/A 26108-2022 FSC-klagomål mail.docx", "A 26108-2022")</f>
        <v/>
      </c>
      <c r="X17">
        <f>HYPERLINK("https://klasma.github.io/Logging_1380/tillsyn/A 26108-2022 tillsynsbegäran.docx", "A 26108-2022")</f>
        <v/>
      </c>
      <c r="Y17">
        <f>HYPERLINK("https://klasma.github.io/Logging_1380/tillsynsmail/A 26108-2022 tillsynsbegäran mail.docx", "A 26108-2022")</f>
        <v/>
      </c>
      <c r="Z17">
        <f>HYPERLINK("https://klasma.github.io/Logging_1380/fåglar/A 26108-2022 prioriterade fågelarter.docx", "A 26108-2022")</f>
        <v/>
      </c>
    </row>
    <row r="18" ht="15" customHeight="1">
      <c r="A18" t="inlineStr">
        <is>
          <t>A 40531-2023</t>
        </is>
      </c>
      <c r="B18" s="1" t="n">
        <v>45168</v>
      </c>
      <c r="C18" s="1" t="n">
        <v>46203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4.2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Kambräken
Spillkråka
Kungsfågel</t>
        </is>
      </c>
      <c r="S18">
        <f>HYPERLINK("https://klasma.github.io/Logging_1380/artfynd/A 40531-2023 artfynd.xlsx", "A 40531-2023")</f>
        <v/>
      </c>
      <c r="T18">
        <f>HYPERLINK("https://klasma.github.io/Logging_1380/kartor/A 40531-2023 karta.png", "A 40531-2023")</f>
        <v/>
      </c>
      <c r="V18">
        <f>HYPERLINK("https://klasma.github.io/Logging_1380/klagomål/A 40531-2023 FSC-klagomål.docx", "A 40531-2023")</f>
        <v/>
      </c>
      <c r="W18">
        <f>HYPERLINK("https://klasma.github.io/Logging_1380/klagomålsmail/A 40531-2023 FSC-klagomål mail.docx", "A 40531-2023")</f>
        <v/>
      </c>
      <c r="X18">
        <f>HYPERLINK("https://klasma.github.io/Logging_1380/tillsyn/A 40531-2023 tillsynsbegäran.docx", "A 40531-2023")</f>
        <v/>
      </c>
      <c r="Y18">
        <f>HYPERLINK("https://klasma.github.io/Logging_1380/tillsynsmail/A 40531-2023 tillsynsbegäran mail.docx", "A 40531-2023")</f>
        <v/>
      </c>
      <c r="Z18">
        <f>HYPERLINK("https://klasma.github.io/Logging_1380/fåglar/A 40531-2023 prioriterade fågelarter.docx", "A 40531-2023")</f>
        <v/>
      </c>
    </row>
    <row r="19" ht="15" customHeight="1">
      <c r="A19" t="inlineStr">
        <is>
          <t>A 40600-2023</t>
        </is>
      </c>
      <c r="B19" s="1" t="n">
        <v>45168</v>
      </c>
      <c r="C19" s="1" t="n">
        <v>46203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Kungsfågel
Vanlig snok</t>
        </is>
      </c>
      <c r="S19">
        <f>HYPERLINK("https://klasma.github.io/Logging_1380/artfynd/A 40600-2023 artfynd.xlsx", "A 40600-2023")</f>
        <v/>
      </c>
      <c r="T19">
        <f>HYPERLINK("https://klasma.github.io/Logging_1380/kartor/A 40600-2023 karta.png", "A 40600-2023")</f>
        <v/>
      </c>
      <c r="V19">
        <f>HYPERLINK("https://klasma.github.io/Logging_1380/klagomål/A 40600-2023 FSC-klagomål.docx", "A 40600-2023")</f>
        <v/>
      </c>
      <c r="W19">
        <f>HYPERLINK("https://klasma.github.io/Logging_1380/klagomålsmail/A 40600-2023 FSC-klagomål mail.docx", "A 40600-2023")</f>
        <v/>
      </c>
      <c r="X19">
        <f>HYPERLINK("https://klasma.github.io/Logging_1380/tillsyn/A 40600-2023 tillsynsbegäran.docx", "A 40600-2023")</f>
        <v/>
      </c>
      <c r="Y19">
        <f>HYPERLINK("https://klasma.github.io/Logging_1380/tillsynsmail/A 40600-2023 tillsynsbegäran mail.docx", "A 40600-2023")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46203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Loppstarr
Ängsstarr
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5512-2022</t>
        </is>
      </c>
      <c r="B21" s="1" t="n">
        <v>44595</v>
      </c>
      <c r="C21" s="1" t="n">
        <v>46203</v>
      </c>
      <c r="D21" t="inlineStr">
        <is>
          <t>HALLANDS LÄN</t>
        </is>
      </c>
      <c r="E21" t="inlineStr">
        <is>
          <t>HALMSTAD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Spillkråka</t>
        </is>
      </c>
      <c r="S21">
        <f>HYPERLINK("https://klasma.github.io/Logging_1380/artfynd/A 5512-2022 artfynd.xlsx", "A 5512-2022")</f>
        <v/>
      </c>
      <c r="T21">
        <f>HYPERLINK("https://klasma.github.io/Logging_1380/kartor/A 5512-2022 karta.png", "A 5512-2022")</f>
        <v/>
      </c>
      <c r="V21">
        <f>HYPERLINK("https://klasma.github.io/Logging_1380/klagomål/A 5512-2022 FSC-klagomål.docx", "A 5512-2022")</f>
        <v/>
      </c>
      <c r="W21">
        <f>HYPERLINK("https://klasma.github.io/Logging_1380/klagomålsmail/A 5512-2022 FSC-klagomål mail.docx", "A 5512-2022")</f>
        <v/>
      </c>
      <c r="X21">
        <f>HYPERLINK("https://klasma.github.io/Logging_1380/tillsyn/A 5512-2022 tillsynsbegäran.docx", "A 5512-2022")</f>
        <v/>
      </c>
      <c r="Y21">
        <f>HYPERLINK("https://klasma.github.io/Logging_1380/tillsynsmail/A 5512-2022 tillsynsbegäran mail.docx", "A 5512-2022")</f>
        <v/>
      </c>
      <c r="Z21">
        <f>HYPERLINK("https://klasma.github.io/Logging_1380/fåglar/A 5512-2022 prioriterade fågelarter.docx", "A 5512-2022")</f>
        <v/>
      </c>
    </row>
    <row r="22" ht="15" customHeight="1">
      <c r="A22" t="inlineStr">
        <is>
          <t>A 71006-2021</t>
        </is>
      </c>
      <c r="B22" s="1" t="n">
        <v>44538</v>
      </c>
      <c r="C22" s="1" t="n">
        <v>46203</v>
      </c>
      <c r="D22" t="inlineStr">
        <is>
          <t>HALLANDS LÄN</t>
        </is>
      </c>
      <c r="E22" t="inlineStr">
        <is>
          <t>HALMSTAD</t>
        </is>
      </c>
      <c r="F22" t="inlineStr">
        <is>
          <t>Bergvik skog väst AB</t>
        </is>
      </c>
      <c r="G22" t="n">
        <v>11.1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Hårginst
Trädlärka</t>
        </is>
      </c>
      <c r="S22">
        <f>HYPERLINK("https://klasma.github.io/Logging_1380/artfynd/A 71006-2021 artfynd.xlsx", "A 71006-2021")</f>
        <v/>
      </c>
      <c r="T22">
        <f>HYPERLINK("https://klasma.github.io/Logging_1380/kartor/A 71006-2021 karta.png", "A 71006-2021")</f>
        <v/>
      </c>
      <c r="V22">
        <f>HYPERLINK("https://klasma.github.io/Logging_1380/klagomål/A 71006-2021 FSC-klagomål.docx", "A 71006-2021")</f>
        <v/>
      </c>
      <c r="W22">
        <f>HYPERLINK("https://klasma.github.io/Logging_1380/klagomålsmail/A 71006-2021 FSC-klagomål mail.docx", "A 71006-2021")</f>
        <v/>
      </c>
      <c r="X22">
        <f>HYPERLINK("https://klasma.github.io/Logging_1380/tillsyn/A 71006-2021 tillsynsbegäran.docx", "A 71006-2021")</f>
        <v/>
      </c>
      <c r="Y22">
        <f>HYPERLINK("https://klasma.github.io/Logging_1380/tillsynsmail/A 71006-2021 tillsynsbegäran mail.docx", "A 71006-2021")</f>
        <v/>
      </c>
      <c r="Z22">
        <f>HYPERLINK("https://klasma.github.io/Logging_1380/fåglar/A 71006-2021 prioriterade fågelarter.docx", "A 71006-2021")</f>
        <v/>
      </c>
    </row>
    <row r="23" ht="15" customHeight="1">
      <c r="A23" t="inlineStr">
        <is>
          <t>A 70738-2021</t>
        </is>
      </c>
      <c r="B23" s="1" t="n">
        <v>44537</v>
      </c>
      <c r="C23" s="1" t="n">
        <v>46203</v>
      </c>
      <c r="D23" t="inlineStr">
        <is>
          <t>HALLANDS LÄN</t>
        </is>
      </c>
      <c r="E23" t="inlineStr">
        <is>
          <t>HALMSTAD</t>
        </is>
      </c>
      <c r="F23" t="inlineStr">
        <is>
          <t>Kyrkan</t>
        </is>
      </c>
      <c r="G23" t="n">
        <v>2.4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Entita
Hårginst</t>
        </is>
      </c>
      <c r="S23">
        <f>HYPERLINK("https://klasma.github.io/Logging_1380/artfynd/A 70738-2021 artfynd.xlsx", "A 70738-2021")</f>
        <v/>
      </c>
      <c r="T23">
        <f>HYPERLINK("https://klasma.github.io/Logging_1380/kartor/A 70738-2021 karta.png", "A 70738-2021")</f>
        <v/>
      </c>
      <c r="V23">
        <f>HYPERLINK("https://klasma.github.io/Logging_1380/klagomål/A 70738-2021 FSC-klagomål.docx", "A 70738-2021")</f>
        <v/>
      </c>
      <c r="W23">
        <f>HYPERLINK("https://klasma.github.io/Logging_1380/klagomålsmail/A 70738-2021 FSC-klagomål mail.docx", "A 70738-2021")</f>
        <v/>
      </c>
      <c r="X23">
        <f>HYPERLINK("https://klasma.github.io/Logging_1380/tillsyn/A 70738-2021 tillsynsbegäran.docx", "A 70738-2021")</f>
        <v/>
      </c>
      <c r="Y23">
        <f>HYPERLINK("https://klasma.github.io/Logging_1380/tillsynsmail/A 70738-2021 tillsynsbegäran mail.docx", "A 70738-2021")</f>
        <v/>
      </c>
      <c r="Z23">
        <f>HYPERLINK("https://klasma.github.io/Logging_1380/fåglar/A 70738-2021 prioriterade fågelarter.docx", "A 70738-2021")</f>
        <v/>
      </c>
    </row>
    <row r="24" ht="15" customHeight="1">
      <c r="A24" t="inlineStr">
        <is>
          <t>A 40045-2025</t>
        </is>
      </c>
      <c r="B24" s="1" t="n">
        <v>45894</v>
      </c>
      <c r="C24" s="1" t="n">
        <v>46203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Kambräken
Platt fjädermossa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33757-2023</t>
        </is>
      </c>
      <c r="B25" s="1" t="n">
        <v>45120</v>
      </c>
      <c r="C25" s="1" t="n">
        <v>46203</v>
      </c>
      <c r="D25" t="inlineStr">
        <is>
          <t>HALLANDS LÄN</t>
        </is>
      </c>
      <c r="E25" t="inlineStr">
        <is>
          <t>HALMSTAD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Guldlockmossa
Vanlig snok</t>
        </is>
      </c>
      <c r="S25">
        <f>HYPERLINK("https://klasma.github.io/Logging_1380/artfynd/A 33757-2023 artfynd.xlsx", "A 33757-2023")</f>
        <v/>
      </c>
      <c r="T25">
        <f>HYPERLINK("https://klasma.github.io/Logging_1380/kartor/A 33757-2023 karta.png", "A 33757-2023")</f>
        <v/>
      </c>
      <c r="V25">
        <f>HYPERLINK("https://klasma.github.io/Logging_1380/klagomål/A 33757-2023 FSC-klagomål.docx", "A 33757-2023")</f>
        <v/>
      </c>
      <c r="W25">
        <f>HYPERLINK("https://klasma.github.io/Logging_1380/klagomålsmail/A 33757-2023 FSC-klagomål mail.docx", "A 33757-2023")</f>
        <v/>
      </c>
      <c r="X25">
        <f>HYPERLINK("https://klasma.github.io/Logging_1380/tillsyn/A 33757-2023 tillsynsbegäran.docx", "A 33757-2023")</f>
        <v/>
      </c>
      <c r="Y25">
        <f>HYPERLINK("https://klasma.github.io/Logging_1380/tillsynsmail/A 33757-2023 tillsynsbegäran mail.docx", "A 33757-2023")</f>
        <v/>
      </c>
    </row>
    <row r="26" ht="15" customHeight="1">
      <c r="A26" t="inlineStr">
        <is>
          <t>A 37137-2025</t>
        </is>
      </c>
      <c r="B26" s="1" t="n">
        <v>45874</v>
      </c>
      <c r="C26" s="1" t="n">
        <v>46203</v>
      </c>
      <c r="D26" t="inlineStr">
        <is>
          <t>HALLANDS LÄN</t>
        </is>
      </c>
      <c r="E26" t="inlineStr">
        <is>
          <t>HALMSTAD</t>
        </is>
      </c>
      <c r="G26" t="n">
        <v>21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Dvärglin
Kambräken</t>
        </is>
      </c>
      <c r="S26">
        <f>HYPERLINK("https://klasma.github.io/Logging_1380/artfynd/A 37137-2025 artfynd.xlsx", "A 37137-2025")</f>
        <v/>
      </c>
      <c r="T26">
        <f>HYPERLINK("https://klasma.github.io/Logging_1380/kartor/A 37137-2025 karta.png", "A 37137-2025")</f>
        <v/>
      </c>
      <c r="V26">
        <f>HYPERLINK("https://klasma.github.io/Logging_1380/klagomål/A 37137-2025 FSC-klagomål.docx", "A 37137-2025")</f>
        <v/>
      </c>
      <c r="W26">
        <f>HYPERLINK("https://klasma.github.io/Logging_1380/klagomålsmail/A 37137-2025 FSC-klagomål mail.docx", "A 37137-2025")</f>
        <v/>
      </c>
      <c r="X26">
        <f>HYPERLINK("https://klasma.github.io/Logging_1380/tillsyn/A 37137-2025 tillsynsbegäran.docx", "A 37137-2025")</f>
        <v/>
      </c>
      <c r="Y26">
        <f>HYPERLINK("https://klasma.github.io/Logging_1380/tillsynsmail/A 37137-2025 tillsynsbegäran mail.docx", "A 37137-2025")</f>
        <v/>
      </c>
    </row>
    <row r="27" ht="15" customHeight="1">
      <c r="A27" t="inlineStr">
        <is>
          <t>A 9049-2026</t>
        </is>
      </c>
      <c r="B27" s="1" t="n">
        <v>46069</v>
      </c>
      <c r="C27" s="1" t="n">
        <v>46203</v>
      </c>
      <c r="D27" t="inlineStr">
        <is>
          <t>HALLANDS LÄN</t>
        </is>
      </c>
      <c r="E27" t="inlineStr">
        <is>
          <t>HALMSTAD</t>
        </is>
      </c>
      <c r="G27" t="n">
        <v>2.4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Sångsvan
Grönvit nattviol</t>
        </is>
      </c>
      <c r="S27">
        <f>HYPERLINK("https://klasma.github.io/Logging_1380/artfynd/A 9049-2026 artfynd.xlsx", "A 9049-2026")</f>
        <v/>
      </c>
      <c r="T27">
        <f>HYPERLINK("https://klasma.github.io/Logging_1380/kartor/A 9049-2026 karta.png", "A 9049-2026")</f>
        <v/>
      </c>
      <c r="V27">
        <f>HYPERLINK("https://klasma.github.io/Logging_1380/klagomål/A 9049-2026 FSC-klagomål.docx", "A 9049-2026")</f>
        <v/>
      </c>
      <c r="W27">
        <f>HYPERLINK("https://klasma.github.io/Logging_1380/klagomålsmail/A 9049-2026 FSC-klagomål mail.docx", "A 9049-2026")</f>
        <v/>
      </c>
      <c r="X27">
        <f>HYPERLINK("https://klasma.github.io/Logging_1380/tillsyn/A 9049-2026 tillsynsbegäran.docx", "A 9049-2026")</f>
        <v/>
      </c>
      <c r="Y27">
        <f>HYPERLINK("https://klasma.github.io/Logging_1380/tillsynsmail/A 9049-2026 tillsynsbegäran mail.docx", "A 9049-2026")</f>
        <v/>
      </c>
      <c r="Z27">
        <f>HYPERLINK("https://klasma.github.io/Logging_1380/fåglar/A 9049-2026 prioriterade fågelarter.docx", "A 9049-2026")</f>
        <v/>
      </c>
    </row>
    <row r="28" ht="15" customHeight="1">
      <c r="A28" t="inlineStr">
        <is>
          <t>A 25250-2026</t>
        </is>
      </c>
      <c r="B28" s="1" t="n">
        <v>46175</v>
      </c>
      <c r="C28" s="1" t="n">
        <v>46203</v>
      </c>
      <c r="D28" t="inlineStr">
        <is>
          <t>HALLANDS LÄN</t>
        </is>
      </c>
      <c r="E28" t="inlineStr">
        <is>
          <t>HALMSTAD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HYPERLINK("https://klasma.github.io/Logging_1380/artfynd/A 25250-2026 artfynd.xlsx", "A 25250-2026")</f>
        <v/>
      </c>
      <c r="T28">
        <f>HYPERLINK("https://klasma.github.io/Logging_1380/kartor/A 25250-2026 karta.png", "A 25250-2026")</f>
        <v/>
      </c>
      <c r="V28">
        <f>HYPERLINK("https://klasma.github.io/Logging_1380/klagomål/A 25250-2026 FSC-klagomål.docx", "A 25250-2026")</f>
        <v/>
      </c>
      <c r="W28">
        <f>HYPERLINK("https://klasma.github.io/Logging_1380/klagomålsmail/A 25250-2026 FSC-klagomål mail.docx", "A 25250-2026")</f>
        <v/>
      </c>
      <c r="X28">
        <f>HYPERLINK("https://klasma.github.io/Logging_1380/tillsyn/A 25250-2026 tillsynsbegäran.docx", "A 25250-2026")</f>
        <v/>
      </c>
      <c r="Y28">
        <f>HYPERLINK("https://klasma.github.io/Logging_1380/tillsynsmail/A 25250-2026 tillsynsbegäran mail.docx", "A 25250-2026")</f>
        <v/>
      </c>
    </row>
    <row r="29" ht="15" customHeight="1">
      <c r="A29" t="inlineStr">
        <is>
          <t>A 40716-2023</t>
        </is>
      </c>
      <c r="B29" s="1" t="n">
        <v>45168</v>
      </c>
      <c r="C29" s="1" t="n">
        <v>46203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Kambräken
Vanlig groda</t>
        </is>
      </c>
      <c r="S29">
        <f>HYPERLINK("https://klasma.github.io/Logging_1380/artfynd/A 40716-2023 artfynd.xlsx", "A 40716-2023")</f>
        <v/>
      </c>
      <c r="T29">
        <f>HYPERLINK("https://klasma.github.io/Logging_1380/kartor/A 40716-2023 karta.png", "A 40716-2023")</f>
        <v/>
      </c>
      <c r="V29">
        <f>HYPERLINK("https://klasma.github.io/Logging_1380/klagomål/A 40716-2023 FSC-klagomål.docx", "A 40716-2023")</f>
        <v/>
      </c>
      <c r="W29">
        <f>HYPERLINK("https://klasma.github.io/Logging_1380/klagomålsmail/A 40716-2023 FSC-klagomål mail.docx", "A 40716-2023")</f>
        <v/>
      </c>
      <c r="X29">
        <f>HYPERLINK("https://klasma.github.io/Logging_1380/tillsyn/A 40716-2023 tillsynsbegäran.docx", "A 40716-2023")</f>
        <v/>
      </c>
      <c r="Y29">
        <f>HYPERLINK("https://klasma.github.io/Logging_1380/tillsynsmail/A 40716-2023 tillsynsbegäran mail.docx", "A 40716-2023")</f>
        <v/>
      </c>
    </row>
    <row r="30" ht="15" customHeight="1">
      <c r="A30" t="inlineStr">
        <is>
          <t>A 61670-2023</t>
        </is>
      </c>
      <c r="B30" s="1" t="n">
        <v>45264</v>
      </c>
      <c r="C30" s="1" t="n">
        <v>46203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Nordfladdermus
Dvärgpipistrell</t>
        </is>
      </c>
      <c r="S30">
        <f>HYPERLINK("https://klasma.github.io/Logging_1380/artfynd/A 61670-2023 artfynd.xlsx", "A 61670-2023")</f>
        <v/>
      </c>
      <c r="T30">
        <f>HYPERLINK("https://klasma.github.io/Logging_1380/kartor/A 61670-2023 karta.png", "A 61670-2023")</f>
        <v/>
      </c>
      <c r="V30">
        <f>HYPERLINK("https://klasma.github.io/Logging_1380/klagomål/A 61670-2023 FSC-klagomål.docx", "A 61670-2023")</f>
        <v/>
      </c>
      <c r="W30">
        <f>HYPERLINK("https://klasma.github.io/Logging_1380/klagomålsmail/A 61670-2023 FSC-klagomål mail.docx", "A 61670-2023")</f>
        <v/>
      </c>
      <c r="X30">
        <f>HYPERLINK("https://klasma.github.io/Logging_1380/tillsyn/A 61670-2023 tillsynsbegäran.docx", "A 61670-2023")</f>
        <v/>
      </c>
      <c r="Y30">
        <f>HYPERLINK("https://klasma.github.io/Logging_1380/tillsynsmail/A 61670-2023 tillsynsbegäran mail.docx", "A 61670-2023")</f>
        <v/>
      </c>
    </row>
    <row r="31" ht="15" customHeight="1">
      <c r="A31" t="inlineStr">
        <is>
          <t>A 18427-2023</t>
        </is>
      </c>
      <c r="B31" s="1" t="n">
        <v>45042</v>
      </c>
      <c r="C31" s="1" t="n">
        <v>46203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Entita
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35502-2021</t>
        </is>
      </c>
      <c r="B32" s="1" t="n">
        <v>44385</v>
      </c>
      <c r="C32" s="1" t="n">
        <v>46203</v>
      </c>
      <c r="D32" t="inlineStr">
        <is>
          <t>HALLANDS LÄN</t>
        </is>
      </c>
      <c r="E32" t="inlineStr">
        <is>
          <t>HALMSTAD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1</v>
      </c>
      <c r="P32" t="n">
        <v>0</v>
      </c>
      <c r="Q32" t="n">
        <v>1</v>
      </c>
      <c r="R32" s="2" t="inlineStr">
        <is>
          <t>Praktgrusmossa</t>
        </is>
      </c>
      <c r="S32">
        <f>HYPERLINK("https://klasma.github.io/Logging_1380/artfynd/A 35502-2021 artfynd.xlsx", "A 35502-2021")</f>
        <v/>
      </c>
      <c r="T32">
        <f>HYPERLINK("https://klasma.github.io/Logging_1380/kartor/A 35502-2021 karta.png", "A 35502-2021")</f>
        <v/>
      </c>
      <c r="V32">
        <f>HYPERLINK("https://klasma.github.io/Logging_1380/klagomål/A 35502-2021 FSC-klagomål.docx", "A 35502-2021")</f>
        <v/>
      </c>
      <c r="W32">
        <f>HYPERLINK("https://klasma.github.io/Logging_1380/klagomålsmail/A 35502-2021 FSC-klagomål mail.docx", "A 35502-2021")</f>
        <v/>
      </c>
      <c r="X32">
        <f>HYPERLINK("https://klasma.github.io/Logging_1380/tillsyn/A 35502-2021 tillsynsbegäran.docx", "A 35502-2021")</f>
        <v/>
      </c>
      <c r="Y32">
        <f>HYPERLINK("https://klasma.github.io/Logging_1380/tillsynsmail/A 35502-2021 tillsynsbegäran mail.docx", "A 35502-2021")</f>
        <v/>
      </c>
    </row>
    <row r="33" ht="15" customHeight="1">
      <c r="A33" t="inlineStr">
        <is>
          <t>A 71022-2021</t>
        </is>
      </c>
      <c r="B33" s="1" t="n">
        <v>44537</v>
      </c>
      <c r="C33" s="1" t="n">
        <v>46203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HYPERLINK("https://klasma.github.io/Logging_1380/artfynd/A 71022-2021 artfynd.xlsx", "A 71022-2021")</f>
        <v/>
      </c>
      <c r="T33">
        <f>HYPERLINK("https://klasma.github.io/Logging_1380/kartor/A 71022-2021 karta.png", "A 71022-2021")</f>
        <v/>
      </c>
      <c r="V33">
        <f>HYPERLINK("https://klasma.github.io/Logging_1380/klagomål/A 71022-2021 FSC-klagomål.docx", "A 71022-2021")</f>
        <v/>
      </c>
      <c r="W33">
        <f>HYPERLINK("https://klasma.github.io/Logging_1380/klagomålsmail/A 71022-2021 FSC-klagomål mail.docx", "A 71022-2021")</f>
        <v/>
      </c>
      <c r="X33">
        <f>HYPERLINK("https://klasma.github.io/Logging_1380/tillsyn/A 71022-2021 tillsynsbegäran.docx", "A 71022-2021")</f>
        <v/>
      </c>
      <c r="Y33">
        <f>HYPERLINK("https://klasma.github.io/Logging_1380/tillsynsmail/A 71022-2021 tillsynsbegäran mail.docx", "A 71022-2021")</f>
        <v/>
      </c>
    </row>
    <row r="34" ht="15" customHeight="1">
      <c r="A34" t="inlineStr">
        <is>
          <t>A 46008-2021</t>
        </is>
      </c>
      <c r="B34" s="1" t="n">
        <v>44441</v>
      </c>
      <c r="C34" s="1" t="n">
        <v>46203</v>
      </c>
      <c r="D34" t="inlineStr">
        <is>
          <t>HALLANDS LÄN</t>
        </is>
      </c>
      <c r="E34" t="inlineStr">
        <is>
          <t>HALMSTAD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HYPERLINK("https://klasma.github.io/Logging_1380/artfynd/A 46008-2021 artfynd.xlsx", "A 46008-2021")</f>
        <v/>
      </c>
      <c r="T34">
        <f>HYPERLINK("https://klasma.github.io/Logging_1380/kartor/A 46008-2021 karta.png", "A 46008-2021")</f>
        <v/>
      </c>
      <c r="V34">
        <f>HYPERLINK("https://klasma.github.io/Logging_1380/klagomål/A 46008-2021 FSC-klagomål.docx", "A 46008-2021")</f>
        <v/>
      </c>
      <c r="W34">
        <f>HYPERLINK("https://klasma.github.io/Logging_1380/klagomålsmail/A 46008-2021 FSC-klagomål mail.docx", "A 46008-2021")</f>
        <v/>
      </c>
      <c r="X34">
        <f>HYPERLINK("https://klasma.github.io/Logging_1380/tillsyn/A 46008-2021 tillsynsbegäran.docx", "A 46008-2021")</f>
        <v/>
      </c>
      <c r="Y34">
        <f>HYPERLINK("https://klasma.github.io/Logging_1380/tillsynsmail/A 46008-2021 tillsynsbegäran mail.docx", "A 46008-2021")</f>
        <v/>
      </c>
      <c r="Z34">
        <f>HYPERLINK("https://klasma.github.io/Logging_1380/fåglar/A 46008-2021 prioriterade fågelarter.docx", "A 46008-2021")</f>
        <v/>
      </c>
    </row>
    <row r="35" ht="15" customHeight="1">
      <c r="A35" t="inlineStr">
        <is>
          <t>A 70769-2021</t>
        </is>
      </c>
      <c r="B35" s="1" t="n">
        <v>44537</v>
      </c>
      <c r="C35" s="1" t="n">
        <v>46203</v>
      </c>
      <c r="D35" t="inlineStr">
        <is>
          <t>HALLANDS LÄN</t>
        </is>
      </c>
      <c r="E35" t="inlineStr">
        <is>
          <t>HALMSTAD</t>
        </is>
      </c>
      <c r="F35" t="inlineStr">
        <is>
          <t>Kyrkan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HYPERLINK("https://klasma.github.io/Logging_1380/artfynd/A 70769-2021 artfynd.xlsx", "A 70769-2021")</f>
        <v/>
      </c>
      <c r="T35">
        <f>HYPERLINK("https://klasma.github.io/Logging_1380/kartor/A 70769-2021 karta.png", "A 70769-2021")</f>
        <v/>
      </c>
      <c r="V35">
        <f>HYPERLINK("https://klasma.github.io/Logging_1380/klagomål/A 70769-2021 FSC-klagomål.docx", "A 70769-2021")</f>
        <v/>
      </c>
      <c r="W35">
        <f>HYPERLINK("https://klasma.github.io/Logging_1380/klagomålsmail/A 70769-2021 FSC-klagomål mail.docx", "A 70769-2021")</f>
        <v/>
      </c>
      <c r="X35">
        <f>HYPERLINK("https://klasma.github.io/Logging_1380/tillsyn/A 70769-2021 tillsynsbegäran.docx", "A 70769-2021")</f>
        <v/>
      </c>
      <c r="Y35">
        <f>HYPERLINK("https://klasma.github.io/Logging_1380/tillsynsmail/A 70769-2021 tillsynsbegäran mail.docx", "A 70769-2021")</f>
        <v/>
      </c>
    </row>
    <row r="36" ht="15" customHeight="1">
      <c r="A36" t="inlineStr">
        <is>
          <t>A 14779-2022</t>
        </is>
      </c>
      <c r="B36" s="1" t="n">
        <v>44656</v>
      </c>
      <c r="C36" s="1" t="n">
        <v>46203</v>
      </c>
      <c r="D36" t="inlineStr">
        <is>
          <t>HALLANDS LÄN</t>
        </is>
      </c>
      <c r="E36" t="inlineStr">
        <is>
          <t>HALMSTAD</t>
        </is>
      </c>
      <c r="G36" t="n">
        <v>5.3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Slätbjörnbär</t>
        </is>
      </c>
      <c r="S36">
        <f>HYPERLINK("https://klasma.github.io/Logging_1380/artfynd/A 14779-2022 artfynd.xlsx", "A 14779-2022")</f>
        <v/>
      </c>
      <c r="T36">
        <f>HYPERLINK("https://klasma.github.io/Logging_1380/kartor/A 14779-2022 karta.png", "A 14779-2022")</f>
        <v/>
      </c>
      <c r="V36">
        <f>HYPERLINK("https://klasma.github.io/Logging_1380/klagomål/A 14779-2022 FSC-klagomål.docx", "A 14779-2022")</f>
        <v/>
      </c>
      <c r="W36">
        <f>HYPERLINK("https://klasma.github.io/Logging_1380/klagomålsmail/A 14779-2022 FSC-klagomål mail.docx", "A 14779-2022")</f>
        <v/>
      </c>
      <c r="X36">
        <f>HYPERLINK("https://klasma.github.io/Logging_1380/tillsyn/A 14779-2022 tillsynsbegäran.docx", "A 14779-2022")</f>
        <v/>
      </c>
      <c r="Y36">
        <f>HYPERLINK("https://klasma.github.io/Logging_1380/tillsynsmail/A 14779-2022 tillsynsbegäran mail.docx", "A 14779-2022")</f>
        <v/>
      </c>
    </row>
    <row r="37" ht="15" customHeight="1">
      <c r="A37" t="inlineStr">
        <is>
          <t>A 38318-2025</t>
        </is>
      </c>
      <c r="B37" s="1" t="n">
        <v>45883</v>
      </c>
      <c r="C37" s="1" t="n">
        <v>46203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38318-2025 artfynd.xlsx", "A 38318-2025")</f>
        <v/>
      </c>
      <c r="T37">
        <f>HYPERLINK("https://klasma.github.io/Logging_1380/kartor/A 38318-2025 karta.png", "A 38318-2025")</f>
        <v/>
      </c>
      <c r="V37">
        <f>HYPERLINK("https://klasma.github.io/Logging_1380/klagomål/A 38318-2025 FSC-klagomål.docx", "A 38318-2025")</f>
        <v/>
      </c>
      <c r="W37">
        <f>HYPERLINK("https://klasma.github.io/Logging_1380/klagomålsmail/A 38318-2025 FSC-klagomål mail.docx", "A 38318-2025")</f>
        <v/>
      </c>
      <c r="X37">
        <f>HYPERLINK("https://klasma.github.io/Logging_1380/tillsyn/A 38318-2025 tillsynsbegäran.docx", "A 38318-2025")</f>
        <v/>
      </c>
      <c r="Y37">
        <f>HYPERLINK("https://klasma.github.io/Logging_1380/tillsynsmail/A 38318-2025 tillsynsbegäran mail.docx", "A 38318-2025")</f>
        <v/>
      </c>
    </row>
    <row r="38" ht="15" customHeight="1">
      <c r="A38" t="inlineStr">
        <is>
          <t>A 55956-2025</t>
        </is>
      </c>
      <c r="B38" s="1" t="n">
        <v>45973</v>
      </c>
      <c r="C38" s="1" t="n">
        <v>46203</v>
      </c>
      <c r="D38" t="inlineStr">
        <is>
          <t>HALLANDS LÄN</t>
        </is>
      </c>
      <c r="E38" t="inlineStr">
        <is>
          <t>HALMSTAD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HYPERLINK("https://klasma.github.io/Logging_1380/artfynd/A 55956-2025 artfynd.xlsx", "A 55956-2025")</f>
        <v/>
      </c>
      <c r="T38">
        <f>HYPERLINK("https://klasma.github.io/Logging_1380/kartor/A 55956-2025 karta.png", "A 55956-2025")</f>
        <v/>
      </c>
      <c r="V38">
        <f>HYPERLINK("https://klasma.github.io/Logging_1380/klagomål/A 55956-2025 FSC-klagomål.docx", "A 55956-2025")</f>
        <v/>
      </c>
      <c r="W38">
        <f>HYPERLINK("https://klasma.github.io/Logging_1380/klagomålsmail/A 55956-2025 FSC-klagomål mail.docx", "A 55956-2025")</f>
        <v/>
      </c>
      <c r="X38">
        <f>HYPERLINK("https://klasma.github.io/Logging_1380/tillsyn/A 55956-2025 tillsynsbegäran.docx", "A 55956-2025")</f>
        <v/>
      </c>
      <c r="Y38">
        <f>HYPERLINK("https://klasma.github.io/Logging_1380/tillsynsmail/A 55956-2025 tillsynsbegäran mail.docx", "A 55956-2025")</f>
        <v/>
      </c>
    </row>
    <row r="39" ht="15" customHeight="1">
      <c r="A39" t="inlineStr">
        <is>
          <t>A 9816-2025</t>
        </is>
      </c>
      <c r="B39" s="1" t="n">
        <v>45715</v>
      </c>
      <c r="C39" s="1" t="n">
        <v>46203</v>
      </c>
      <c r="D39" t="inlineStr">
        <is>
          <t>HALLANDS LÄN</t>
        </is>
      </c>
      <c r="E39" t="inlineStr">
        <is>
          <t>HALMSTAD</t>
        </is>
      </c>
      <c r="F39" t="inlineStr">
        <is>
          <t>Övriga statliga verk och myndigheter</t>
        </is>
      </c>
      <c r="G39" t="n">
        <v>9.4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Igelkott</t>
        </is>
      </c>
      <c r="S39">
        <f>HYPERLINK("https://klasma.github.io/Logging_1380/artfynd/A 9816-2025 artfynd.xlsx", "A 9816-2025")</f>
        <v/>
      </c>
      <c r="T39">
        <f>HYPERLINK("https://klasma.github.io/Logging_1380/kartor/A 9816-2025 karta.png", "A 9816-2025")</f>
        <v/>
      </c>
      <c r="V39">
        <f>HYPERLINK("https://klasma.github.io/Logging_1380/klagomål/A 9816-2025 FSC-klagomål.docx", "A 9816-2025")</f>
        <v/>
      </c>
      <c r="W39">
        <f>HYPERLINK("https://klasma.github.io/Logging_1380/klagomålsmail/A 9816-2025 FSC-klagomål mail.docx", "A 9816-2025")</f>
        <v/>
      </c>
      <c r="X39">
        <f>HYPERLINK("https://klasma.github.io/Logging_1380/tillsyn/A 9816-2025 tillsynsbegäran.docx", "A 9816-2025")</f>
        <v/>
      </c>
      <c r="Y39">
        <f>HYPERLINK("https://klasma.github.io/Logging_1380/tillsynsmail/A 9816-2025 tillsynsbegäran mail.docx", "A 9816-2025")</f>
        <v/>
      </c>
    </row>
    <row r="40" ht="15" customHeight="1">
      <c r="A40" t="inlineStr">
        <is>
          <t>A 27386-2025</t>
        </is>
      </c>
      <c r="B40" s="1" t="n">
        <v>45812</v>
      </c>
      <c r="C40" s="1" t="n">
        <v>46203</v>
      </c>
      <c r="D40" t="inlineStr">
        <is>
          <t>HALLANDS LÄN</t>
        </is>
      </c>
      <c r="E40" t="inlineStr">
        <is>
          <t>HALMSTAD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HYPERLINK("https://klasma.github.io/Logging_1380/artfynd/A 27386-2025 artfynd.xlsx", "A 27386-2025")</f>
        <v/>
      </c>
      <c r="T40">
        <f>HYPERLINK("https://klasma.github.io/Logging_1380/kartor/A 27386-2025 karta.png", "A 27386-2025")</f>
        <v/>
      </c>
      <c r="V40">
        <f>HYPERLINK("https://klasma.github.io/Logging_1380/klagomål/A 27386-2025 FSC-klagomål.docx", "A 27386-2025")</f>
        <v/>
      </c>
      <c r="W40">
        <f>HYPERLINK("https://klasma.github.io/Logging_1380/klagomålsmail/A 27386-2025 FSC-klagomål mail.docx", "A 27386-2025")</f>
        <v/>
      </c>
      <c r="X40">
        <f>HYPERLINK("https://klasma.github.io/Logging_1380/tillsyn/A 27386-2025 tillsynsbegäran.docx", "A 27386-2025")</f>
        <v/>
      </c>
      <c r="Y40">
        <f>HYPERLINK("https://klasma.github.io/Logging_1380/tillsynsmail/A 27386-2025 tillsynsbegäran mail.docx", "A 27386-2025")</f>
        <v/>
      </c>
    </row>
    <row r="41" ht="15" customHeight="1">
      <c r="A41" t="inlineStr">
        <is>
          <t>A 57025-2021</t>
        </is>
      </c>
      <c r="B41" s="1" t="n">
        <v>44482</v>
      </c>
      <c r="C41" s="1" t="n">
        <v>46203</v>
      </c>
      <c r="D41" t="inlineStr">
        <is>
          <t>HALLANDS LÄN</t>
        </is>
      </c>
      <c r="E41" t="inlineStr">
        <is>
          <t>HALMSTAD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HYPERLINK("https://klasma.github.io/Logging_1380/artfynd/A 57025-2021 artfynd.xlsx", "A 57025-2021")</f>
        <v/>
      </c>
      <c r="T41">
        <f>HYPERLINK("https://klasma.github.io/Logging_1380/kartor/A 57025-2021 karta.png", "A 57025-2021")</f>
        <v/>
      </c>
      <c r="V41">
        <f>HYPERLINK("https://klasma.github.io/Logging_1380/klagomål/A 57025-2021 FSC-klagomål.docx", "A 57025-2021")</f>
        <v/>
      </c>
      <c r="W41">
        <f>HYPERLINK("https://klasma.github.io/Logging_1380/klagomålsmail/A 57025-2021 FSC-klagomål mail.docx", "A 57025-2021")</f>
        <v/>
      </c>
      <c r="X41">
        <f>HYPERLINK("https://klasma.github.io/Logging_1380/tillsyn/A 57025-2021 tillsynsbegäran.docx", "A 57025-2021")</f>
        <v/>
      </c>
      <c r="Y41">
        <f>HYPERLINK("https://klasma.github.io/Logging_1380/tillsynsmail/A 57025-2021 tillsynsbegäran mail.docx", "A 57025-2021")</f>
        <v/>
      </c>
      <c r="Z41">
        <f>HYPERLINK("https://klasma.github.io/Logging_1380/fåglar/A 57025-2021 prioriterade fågelarter.docx", "A 57025-2021")</f>
        <v/>
      </c>
    </row>
    <row r="42" ht="15" customHeight="1">
      <c r="A42" t="inlineStr">
        <is>
          <t>A 38661-2021</t>
        </is>
      </c>
      <c r="B42" s="1" t="n">
        <v>44410</v>
      </c>
      <c r="C42" s="1" t="n">
        <v>46203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Skogsduva</t>
        </is>
      </c>
      <c r="S42">
        <f>HYPERLINK("https://klasma.github.io/Logging_1380/artfynd/A 38661-2021 artfynd.xlsx", "A 38661-2021")</f>
        <v/>
      </c>
      <c r="T42">
        <f>HYPERLINK("https://klasma.github.io/Logging_1380/kartor/A 38661-2021 karta.png", "A 38661-2021")</f>
        <v/>
      </c>
      <c r="V42">
        <f>HYPERLINK("https://klasma.github.io/Logging_1380/klagomål/A 38661-2021 FSC-klagomål.docx", "A 38661-2021")</f>
        <v/>
      </c>
      <c r="W42">
        <f>HYPERLINK("https://klasma.github.io/Logging_1380/klagomålsmail/A 38661-2021 FSC-klagomål mail.docx", "A 38661-2021")</f>
        <v/>
      </c>
      <c r="X42">
        <f>HYPERLINK("https://klasma.github.io/Logging_1380/tillsyn/A 38661-2021 tillsynsbegäran.docx", "A 38661-2021")</f>
        <v/>
      </c>
      <c r="Y42">
        <f>HYPERLINK("https://klasma.github.io/Logging_1380/tillsynsmail/A 38661-2021 tillsynsbegäran mail.docx", "A 38661-2021")</f>
        <v/>
      </c>
    </row>
    <row r="43" ht="15" customHeight="1">
      <c r="A43" t="inlineStr">
        <is>
          <t>A 32822-2025</t>
        </is>
      </c>
      <c r="B43" s="1" t="n">
        <v>45839</v>
      </c>
      <c r="C43" s="1" t="n">
        <v>46203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HYPERLINK("https://klasma.github.io/Logging_1380/artfynd/A 32822-2025 artfynd.xlsx", "A 32822-2025")</f>
        <v/>
      </c>
      <c r="T43">
        <f>HYPERLINK("https://klasma.github.io/Logging_1380/kartor/A 32822-2025 karta.png", "A 32822-2025")</f>
        <v/>
      </c>
      <c r="V43">
        <f>HYPERLINK("https://klasma.github.io/Logging_1380/klagomål/A 32822-2025 FSC-klagomål.docx", "A 32822-2025")</f>
        <v/>
      </c>
      <c r="W43">
        <f>HYPERLINK("https://klasma.github.io/Logging_1380/klagomålsmail/A 32822-2025 FSC-klagomål mail.docx", "A 32822-2025")</f>
        <v/>
      </c>
      <c r="X43">
        <f>HYPERLINK("https://klasma.github.io/Logging_1380/tillsyn/A 32822-2025 tillsynsbegäran.docx", "A 32822-2025")</f>
        <v/>
      </c>
      <c r="Y43">
        <f>HYPERLINK("https://klasma.github.io/Logging_1380/tillsynsmail/A 32822-2025 tillsynsbegäran mail.docx", "A 32822-2025")</f>
        <v/>
      </c>
    </row>
    <row r="44" ht="15" customHeight="1">
      <c r="A44" t="inlineStr">
        <is>
          <t>A 46505-2025</t>
        </is>
      </c>
      <c r="B44" s="1" t="n">
        <v>45925</v>
      </c>
      <c r="C44" s="1" t="n">
        <v>46203</v>
      </c>
      <c r="D44" t="inlineStr">
        <is>
          <t>HALLANDS LÄN</t>
        </is>
      </c>
      <c r="E44" t="inlineStr">
        <is>
          <t>HALMSTAD</t>
        </is>
      </c>
      <c r="G44" t="n">
        <v>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46505-2025 artfynd.xlsx", "A 46505-2025")</f>
        <v/>
      </c>
      <c r="T44">
        <f>HYPERLINK("https://klasma.github.io/Logging_1380/kartor/A 46505-2025 karta.png", "A 46505-2025")</f>
        <v/>
      </c>
      <c r="V44">
        <f>HYPERLINK("https://klasma.github.io/Logging_1380/klagomål/A 46505-2025 FSC-klagomål.docx", "A 46505-2025")</f>
        <v/>
      </c>
      <c r="W44">
        <f>HYPERLINK("https://klasma.github.io/Logging_1380/klagomålsmail/A 46505-2025 FSC-klagomål mail.docx", "A 46505-2025")</f>
        <v/>
      </c>
      <c r="X44">
        <f>HYPERLINK("https://klasma.github.io/Logging_1380/tillsyn/A 46505-2025 tillsynsbegäran.docx", "A 46505-2025")</f>
        <v/>
      </c>
      <c r="Y44">
        <f>HYPERLINK("https://klasma.github.io/Logging_1380/tillsynsmail/A 46505-2025 tillsynsbegäran mail.docx", "A 46505-2025")</f>
        <v/>
      </c>
    </row>
    <row r="45" ht="15" customHeight="1">
      <c r="A45" t="inlineStr">
        <is>
          <t>A 19588-2023</t>
        </is>
      </c>
      <c r="B45" s="1" t="n">
        <v>45050</v>
      </c>
      <c r="C45" s="1" t="n">
        <v>46203</v>
      </c>
      <c r="D45" t="inlineStr">
        <is>
          <t>HALLANDS LÄN</t>
        </is>
      </c>
      <c r="E45" t="inlineStr">
        <is>
          <t>HALMSTAD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Ljungögontröst</t>
        </is>
      </c>
      <c r="S45">
        <f>HYPERLINK("https://klasma.github.io/Logging_1380/artfynd/A 19588-2023 artfynd.xlsx", "A 19588-2023")</f>
        <v/>
      </c>
      <c r="T45">
        <f>HYPERLINK("https://klasma.github.io/Logging_1380/kartor/A 19588-2023 karta.png", "A 19588-2023")</f>
        <v/>
      </c>
      <c r="V45">
        <f>HYPERLINK("https://klasma.github.io/Logging_1380/klagomål/A 19588-2023 FSC-klagomål.docx", "A 19588-2023")</f>
        <v/>
      </c>
      <c r="W45">
        <f>HYPERLINK("https://klasma.github.io/Logging_1380/klagomålsmail/A 19588-2023 FSC-klagomål mail.docx", "A 19588-2023")</f>
        <v/>
      </c>
      <c r="X45">
        <f>HYPERLINK("https://klasma.github.io/Logging_1380/tillsyn/A 19588-2023 tillsynsbegäran.docx", "A 19588-2023")</f>
        <v/>
      </c>
      <c r="Y45">
        <f>HYPERLINK("https://klasma.github.io/Logging_1380/tillsynsmail/A 19588-2023 tillsynsbegäran mail.docx", "A 19588-2023")</f>
        <v/>
      </c>
    </row>
    <row r="46" ht="15" customHeight="1">
      <c r="A46" t="inlineStr">
        <is>
          <t>A 24383-2023</t>
        </is>
      </c>
      <c r="B46" s="1" t="n">
        <v>45082</v>
      </c>
      <c r="C46" s="1" t="n">
        <v>46203</v>
      </c>
      <c r="D46" t="inlineStr">
        <is>
          <t>HALLANDS LÄN</t>
        </is>
      </c>
      <c r="E46" t="inlineStr">
        <is>
          <t>HALMSTAD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HYPERLINK("https://klasma.github.io/Logging_1380/artfynd/A 24383-2023 artfynd.xlsx", "A 24383-2023")</f>
        <v/>
      </c>
      <c r="T46">
        <f>HYPERLINK("https://klasma.github.io/Logging_1380/kartor/A 24383-2023 karta.png", "A 24383-2023")</f>
        <v/>
      </c>
      <c r="V46">
        <f>HYPERLINK("https://klasma.github.io/Logging_1380/klagomål/A 24383-2023 FSC-klagomål.docx", "A 24383-2023")</f>
        <v/>
      </c>
      <c r="W46">
        <f>HYPERLINK("https://klasma.github.io/Logging_1380/klagomålsmail/A 24383-2023 FSC-klagomål mail.docx", "A 24383-2023")</f>
        <v/>
      </c>
      <c r="X46">
        <f>HYPERLINK("https://klasma.github.io/Logging_1380/tillsyn/A 24383-2023 tillsynsbegäran.docx", "A 24383-2023")</f>
        <v/>
      </c>
      <c r="Y46">
        <f>HYPERLINK("https://klasma.github.io/Logging_1380/tillsynsmail/A 24383-2023 tillsynsbegäran mail.docx", "A 24383-2023")</f>
        <v/>
      </c>
    </row>
    <row r="47" ht="15" customHeight="1">
      <c r="A47" t="inlineStr">
        <is>
          <t>A 16387-2023</t>
        </is>
      </c>
      <c r="B47" s="1" t="n">
        <v>45029</v>
      </c>
      <c r="C47" s="1" t="n">
        <v>46203</v>
      </c>
      <c r="D47" t="inlineStr">
        <is>
          <t>HALLANDS LÄN</t>
        </is>
      </c>
      <c r="E47" t="inlineStr">
        <is>
          <t>HALMSTAD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HYPERLINK("https://klasma.github.io/Logging_1380/artfynd/A 16387-2023 artfynd.xlsx", "A 16387-2023")</f>
        <v/>
      </c>
      <c r="T47">
        <f>HYPERLINK("https://klasma.github.io/Logging_1380/kartor/A 16387-2023 karta.png", "A 16387-2023")</f>
        <v/>
      </c>
      <c r="V47">
        <f>HYPERLINK("https://klasma.github.io/Logging_1380/klagomål/A 16387-2023 FSC-klagomål.docx", "A 16387-2023")</f>
        <v/>
      </c>
      <c r="W47">
        <f>HYPERLINK("https://klasma.github.io/Logging_1380/klagomålsmail/A 16387-2023 FSC-klagomål mail.docx", "A 16387-2023")</f>
        <v/>
      </c>
      <c r="X47">
        <f>HYPERLINK("https://klasma.github.io/Logging_1380/tillsyn/A 16387-2023 tillsynsbegäran.docx", "A 16387-2023")</f>
        <v/>
      </c>
      <c r="Y47">
        <f>HYPERLINK("https://klasma.github.io/Logging_1380/tillsynsmail/A 16387-2023 tillsynsbegäran mail.docx", "A 16387-2023")</f>
        <v/>
      </c>
      <c r="Z47">
        <f>HYPERLINK("https://klasma.github.io/Logging_1380/fåglar/A 16387-2023 prioriterade fågelarter.docx", "A 16387-2023")</f>
        <v/>
      </c>
    </row>
    <row r="48" ht="15" customHeight="1">
      <c r="A48" t="inlineStr">
        <is>
          <t>A 10063-2022</t>
        </is>
      </c>
      <c r="B48" s="1" t="n">
        <v>44621</v>
      </c>
      <c r="C48" s="1" t="n">
        <v>46203</v>
      </c>
      <c r="D48" t="inlineStr">
        <is>
          <t>HALLANDS LÄN</t>
        </is>
      </c>
      <c r="E48" t="inlineStr">
        <is>
          <t>HALMSTAD</t>
        </is>
      </c>
      <c r="G48" t="n">
        <v>3.7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HYPERLINK("https://klasma.github.io/Logging_1380/artfynd/A 10063-2022 artfynd.xlsx", "A 10063-2022")</f>
        <v/>
      </c>
      <c r="T48">
        <f>HYPERLINK("https://klasma.github.io/Logging_1380/kartor/A 10063-2022 karta.png", "A 10063-2022")</f>
        <v/>
      </c>
      <c r="V48">
        <f>HYPERLINK("https://klasma.github.io/Logging_1380/klagomål/A 10063-2022 FSC-klagomål.docx", "A 10063-2022")</f>
        <v/>
      </c>
      <c r="W48">
        <f>HYPERLINK("https://klasma.github.io/Logging_1380/klagomålsmail/A 10063-2022 FSC-klagomål mail.docx", "A 10063-2022")</f>
        <v/>
      </c>
      <c r="X48">
        <f>HYPERLINK("https://klasma.github.io/Logging_1380/tillsyn/A 10063-2022 tillsynsbegäran.docx", "A 10063-2022")</f>
        <v/>
      </c>
      <c r="Y48">
        <f>HYPERLINK("https://klasma.github.io/Logging_1380/tillsynsmail/A 10063-2022 tillsynsbegäran mail.docx", "A 10063-2022")</f>
        <v/>
      </c>
    </row>
    <row r="49" ht="15" customHeight="1">
      <c r="A49" t="inlineStr">
        <is>
          <t>A 20419-2022</t>
        </is>
      </c>
      <c r="B49" s="1" t="n">
        <v>44699</v>
      </c>
      <c r="C49" s="1" t="n">
        <v>46203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HYPERLINK("https://klasma.github.io/Logging_1380/artfynd/A 20419-2022 artfynd.xlsx", "A 20419-2022")</f>
        <v/>
      </c>
      <c r="T49">
        <f>HYPERLINK("https://klasma.github.io/Logging_1380/kartor/A 20419-2022 karta.png", "A 20419-2022")</f>
        <v/>
      </c>
      <c r="V49">
        <f>HYPERLINK("https://klasma.github.io/Logging_1380/klagomål/A 20419-2022 FSC-klagomål.docx", "A 20419-2022")</f>
        <v/>
      </c>
      <c r="W49">
        <f>HYPERLINK("https://klasma.github.io/Logging_1380/klagomålsmail/A 20419-2022 FSC-klagomål mail.docx", "A 20419-2022")</f>
        <v/>
      </c>
      <c r="X49">
        <f>HYPERLINK("https://klasma.github.io/Logging_1380/tillsyn/A 20419-2022 tillsynsbegäran.docx", "A 20419-2022")</f>
        <v/>
      </c>
      <c r="Y49">
        <f>HYPERLINK("https://klasma.github.io/Logging_1380/tillsynsmail/A 20419-2022 tillsynsbegäran mail.docx", "A 20419-2022")</f>
        <v/>
      </c>
    </row>
    <row r="50" ht="15" customHeight="1">
      <c r="A50" t="inlineStr">
        <is>
          <t>A 37139-2025</t>
        </is>
      </c>
      <c r="B50" s="1" t="n">
        <v>45874</v>
      </c>
      <c r="C50" s="1" t="n">
        <v>46203</v>
      </c>
      <c r="D50" t="inlineStr">
        <is>
          <t>HALLANDS LÄN</t>
        </is>
      </c>
      <c r="E50" t="inlineStr">
        <is>
          <t>HALMSTAD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Kornknutmossa</t>
        </is>
      </c>
      <c r="S50">
        <f>HYPERLINK("https://klasma.github.io/Logging_1380/artfynd/A 37139-2025 artfynd.xlsx", "A 37139-2025")</f>
        <v/>
      </c>
      <c r="T50">
        <f>HYPERLINK("https://klasma.github.io/Logging_1380/kartor/A 37139-2025 karta.png", "A 37139-2025")</f>
        <v/>
      </c>
      <c r="V50">
        <f>HYPERLINK("https://klasma.github.io/Logging_1380/klagomål/A 37139-2025 FSC-klagomål.docx", "A 37139-2025")</f>
        <v/>
      </c>
      <c r="W50">
        <f>HYPERLINK("https://klasma.github.io/Logging_1380/klagomålsmail/A 37139-2025 FSC-klagomål mail.docx", "A 37139-2025")</f>
        <v/>
      </c>
      <c r="X50">
        <f>HYPERLINK("https://klasma.github.io/Logging_1380/tillsyn/A 37139-2025 tillsynsbegäran.docx", "A 37139-2025")</f>
        <v/>
      </c>
      <c r="Y50">
        <f>HYPERLINK("https://klasma.github.io/Logging_1380/tillsynsmail/A 37139-2025 tillsynsbegäran mail.docx", "A 37139-2025")</f>
        <v/>
      </c>
    </row>
    <row r="51" ht="15" customHeight="1">
      <c r="A51" t="inlineStr">
        <is>
          <t>A 5240-2025</t>
        </is>
      </c>
      <c r="B51" s="1" t="n">
        <v>45692</v>
      </c>
      <c r="C51" s="1" t="n">
        <v>46203</v>
      </c>
      <c r="D51" t="inlineStr">
        <is>
          <t>HALLANDS LÄN</t>
        </is>
      </c>
      <c r="E51" t="inlineStr">
        <is>
          <t>HALMSTAD</t>
        </is>
      </c>
      <c r="G51" t="n">
        <v>8.300000000000001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Mussellav</t>
        </is>
      </c>
      <c r="S51">
        <f>HYPERLINK("https://klasma.github.io/Logging_1380/artfynd/A 5240-2025 artfynd.xlsx", "A 5240-2025")</f>
        <v/>
      </c>
      <c r="T51">
        <f>HYPERLINK("https://klasma.github.io/Logging_1380/kartor/A 5240-2025 karta.png", "A 5240-2025")</f>
        <v/>
      </c>
      <c r="V51">
        <f>HYPERLINK("https://klasma.github.io/Logging_1380/klagomål/A 5240-2025 FSC-klagomål.docx", "A 5240-2025")</f>
        <v/>
      </c>
      <c r="W51">
        <f>HYPERLINK("https://klasma.github.io/Logging_1380/klagomålsmail/A 5240-2025 FSC-klagomål mail.docx", "A 5240-2025")</f>
        <v/>
      </c>
      <c r="X51">
        <f>HYPERLINK("https://klasma.github.io/Logging_1380/tillsyn/A 5240-2025 tillsynsbegäran.docx", "A 5240-2025")</f>
        <v/>
      </c>
      <c r="Y51">
        <f>HYPERLINK("https://klasma.github.io/Logging_1380/tillsynsmail/A 5240-2025 tillsynsbegäran mail.docx", "A 5240-2025")</f>
        <v/>
      </c>
    </row>
    <row r="52" ht="15" customHeight="1">
      <c r="A52" t="inlineStr">
        <is>
          <t>A 59260-2022</t>
        </is>
      </c>
      <c r="B52" s="1" t="n">
        <v>44897</v>
      </c>
      <c r="C52" s="1" t="n">
        <v>46203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Dunmossa</t>
        </is>
      </c>
      <c r="S52">
        <f>HYPERLINK("https://klasma.github.io/Logging_1380/artfynd/A 59260-2022 artfynd.xlsx", "A 59260-2022")</f>
        <v/>
      </c>
      <c r="T52">
        <f>HYPERLINK("https://klasma.github.io/Logging_1380/kartor/A 59260-2022 karta.png", "A 59260-2022")</f>
        <v/>
      </c>
      <c r="V52">
        <f>HYPERLINK("https://klasma.github.io/Logging_1380/klagomål/A 59260-2022 FSC-klagomål.docx", "A 59260-2022")</f>
        <v/>
      </c>
      <c r="W52">
        <f>HYPERLINK("https://klasma.github.io/Logging_1380/klagomålsmail/A 59260-2022 FSC-klagomål mail.docx", "A 59260-2022")</f>
        <v/>
      </c>
      <c r="X52">
        <f>HYPERLINK("https://klasma.github.io/Logging_1380/tillsyn/A 59260-2022 tillsynsbegäran.docx", "A 59260-2022")</f>
        <v/>
      </c>
      <c r="Y52">
        <f>HYPERLINK("https://klasma.github.io/Logging_1380/tillsynsmail/A 59260-2022 tillsynsbegäran mail.docx", "A 59260-2022")</f>
        <v/>
      </c>
    </row>
    <row r="53" ht="15" customHeight="1">
      <c r="A53" t="inlineStr">
        <is>
          <t>A 6987-2026</t>
        </is>
      </c>
      <c r="B53" s="1" t="n">
        <v>46057</v>
      </c>
      <c r="C53" s="1" t="n">
        <v>46203</v>
      </c>
      <c r="D53" t="inlineStr">
        <is>
          <t>HALLANDS LÄN</t>
        </is>
      </c>
      <c r="E53" t="inlineStr">
        <is>
          <t>HALMSTAD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HYPERLINK("https://klasma.github.io/Logging_1380/artfynd/A 6987-2026 artfynd.xlsx", "A 6987-2026")</f>
        <v/>
      </c>
      <c r="T53">
        <f>HYPERLINK("https://klasma.github.io/Logging_1380/kartor/A 6987-2026 karta.png", "A 6987-2026")</f>
        <v/>
      </c>
      <c r="V53">
        <f>HYPERLINK("https://klasma.github.io/Logging_1380/klagomål/A 6987-2026 FSC-klagomål.docx", "A 6987-2026")</f>
        <v/>
      </c>
      <c r="W53">
        <f>HYPERLINK("https://klasma.github.io/Logging_1380/klagomålsmail/A 6987-2026 FSC-klagomål mail.docx", "A 6987-2026")</f>
        <v/>
      </c>
      <c r="X53">
        <f>HYPERLINK("https://klasma.github.io/Logging_1380/tillsyn/A 6987-2026 tillsynsbegäran.docx", "A 6987-2026")</f>
        <v/>
      </c>
      <c r="Y53">
        <f>HYPERLINK("https://klasma.github.io/Logging_1380/tillsynsmail/A 6987-2026 tillsynsbegäran mail.docx", "A 6987-2026")</f>
        <v/>
      </c>
    </row>
    <row r="54" ht="15" customHeight="1">
      <c r="A54" t="inlineStr">
        <is>
          <t>A 6767-2026</t>
        </is>
      </c>
      <c r="B54" s="1" t="n">
        <v>46057</v>
      </c>
      <c r="C54" s="1" t="n">
        <v>46203</v>
      </c>
      <c r="D54" t="inlineStr">
        <is>
          <t>HALLANDS LÄN</t>
        </is>
      </c>
      <c r="E54" t="inlineStr">
        <is>
          <t>HALMSTAD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HYPERLINK("https://klasma.github.io/Logging_1380/artfynd/A 6767-2026 artfynd.xlsx", "A 6767-2026")</f>
        <v/>
      </c>
      <c r="T54">
        <f>HYPERLINK("https://klasma.github.io/Logging_1380/kartor/A 6767-2026 karta.png", "A 6767-2026")</f>
        <v/>
      </c>
      <c r="V54">
        <f>HYPERLINK("https://klasma.github.io/Logging_1380/klagomål/A 6767-2026 FSC-klagomål.docx", "A 6767-2026")</f>
        <v/>
      </c>
      <c r="W54">
        <f>HYPERLINK("https://klasma.github.io/Logging_1380/klagomålsmail/A 6767-2026 FSC-klagomål mail.docx", "A 6767-2026")</f>
        <v/>
      </c>
      <c r="X54">
        <f>HYPERLINK("https://klasma.github.io/Logging_1380/tillsyn/A 6767-2026 tillsynsbegäran.docx", "A 6767-2026")</f>
        <v/>
      </c>
      <c r="Y54">
        <f>HYPERLINK("https://klasma.github.io/Logging_1380/tillsynsmail/A 6767-2026 tillsynsbegäran mail.docx", "A 6767-2026")</f>
        <v/>
      </c>
    </row>
    <row r="55" ht="15" customHeight="1">
      <c r="A55" t="inlineStr">
        <is>
          <t>A 21488-2024</t>
        </is>
      </c>
      <c r="B55" s="1" t="n">
        <v>45441</v>
      </c>
      <c r="C55" s="1" t="n">
        <v>46203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21488-2024 artfynd.xlsx", "A 21488-2024")</f>
        <v/>
      </c>
      <c r="T55">
        <f>HYPERLINK("https://klasma.github.io/Logging_1380/kartor/A 21488-2024 karta.png", "A 21488-2024")</f>
        <v/>
      </c>
      <c r="V55">
        <f>HYPERLINK("https://klasma.github.io/Logging_1380/klagomål/A 21488-2024 FSC-klagomål.docx", "A 21488-2024")</f>
        <v/>
      </c>
      <c r="W55">
        <f>HYPERLINK("https://klasma.github.io/Logging_1380/klagomålsmail/A 21488-2024 FSC-klagomål mail.docx", "A 21488-2024")</f>
        <v/>
      </c>
      <c r="X55">
        <f>HYPERLINK("https://klasma.github.io/Logging_1380/tillsyn/A 21488-2024 tillsynsbegäran.docx", "A 21488-2024")</f>
        <v/>
      </c>
      <c r="Y55">
        <f>HYPERLINK("https://klasma.github.io/Logging_1380/tillsynsmail/A 21488-2024 tillsynsbegäran mail.docx", "A 21488-2024")</f>
        <v/>
      </c>
    </row>
    <row r="56" ht="15" customHeight="1">
      <c r="A56" t="inlineStr">
        <is>
          <t>A 40623-2023</t>
        </is>
      </c>
      <c r="B56" s="1" t="n">
        <v>45168</v>
      </c>
      <c r="C56" s="1" t="n">
        <v>46203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40623-2023 artfynd.xlsx", "A 40623-2023")</f>
        <v/>
      </c>
      <c r="T56">
        <f>HYPERLINK("https://klasma.github.io/Logging_1380/kartor/A 40623-2023 karta.png", "A 40623-2023")</f>
        <v/>
      </c>
      <c r="V56">
        <f>HYPERLINK("https://klasma.github.io/Logging_1380/klagomål/A 40623-2023 FSC-klagomål.docx", "A 40623-2023")</f>
        <v/>
      </c>
      <c r="W56">
        <f>HYPERLINK("https://klasma.github.io/Logging_1380/klagomålsmail/A 40623-2023 FSC-klagomål mail.docx", "A 40623-2023")</f>
        <v/>
      </c>
      <c r="X56">
        <f>HYPERLINK("https://klasma.github.io/Logging_1380/tillsyn/A 40623-2023 tillsynsbegäran.docx", "A 40623-2023")</f>
        <v/>
      </c>
      <c r="Y56">
        <f>HYPERLINK("https://klasma.github.io/Logging_1380/tillsynsmail/A 40623-2023 tillsynsbegäran mail.docx", "A 40623-2023")</f>
        <v/>
      </c>
    </row>
    <row r="57" ht="15" customHeight="1">
      <c r="A57" t="inlineStr">
        <is>
          <t>A 40659-2023</t>
        </is>
      </c>
      <c r="B57" s="1" t="n">
        <v>45168</v>
      </c>
      <c r="C57" s="1" t="n">
        <v>46203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40659-2023 artfynd.xlsx", "A 40659-2023")</f>
        <v/>
      </c>
      <c r="T57">
        <f>HYPERLINK("https://klasma.github.io/Logging_1380/kartor/A 40659-2023 karta.png", "A 40659-2023")</f>
        <v/>
      </c>
      <c r="V57">
        <f>HYPERLINK("https://klasma.github.io/Logging_1380/klagomål/A 40659-2023 FSC-klagomål.docx", "A 40659-2023")</f>
        <v/>
      </c>
      <c r="W57">
        <f>HYPERLINK("https://klasma.github.io/Logging_1380/klagomålsmail/A 40659-2023 FSC-klagomål mail.docx", "A 40659-2023")</f>
        <v/>
      </c>
      <c r="X57">
        <f>HYPERLINK("https://klasma.github.io/Logging_1380/tillsyn/A 40659-2023 tillsynsbegäran.docx", "A 40659-2023")</f>
        <v/>
      </c>
      <c r="Y57">
        <f>HYPERLINK("https://klasma.github.io/Logging_1380/tillsynsmail/A 40659-2023 tillsynsbegäran mail.docx", "A 40659-2023")</f>
        <v/>
      </c>
    </row>
    <row r="58" ht="15" customHeight="1">
      <c r="A58" t="inlineStr">
        <is>
          <t>A 2994-2024</t>
        </is>
      </c>
      <c r="B58" s="1" t="n">
        <v>45315</v>
      </c>
      <c r="C58" s="1" t="n">
        <v>46203</v>
      </c>
      <c r="D58" t="inlineStr">
        <is>
          <t>HALLANDS LÄN</t>
        </is>
      </c>
      <c r="E58" t="inlineStr">
        <is>
          <t>HALMSTAD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HYPERLINK("https://klasma.github.io/Logging_1380/artfynd/A 2994-2024 artfynd.xlsx", "A 2994-2024")</f>
        <v/>
      </c>
      <c r="T58">
        <f>HYPERLINK("https://klasma.github.io/Logging_1380/kartor/A 2994-2024 karta.png", "A 2994-2024")</f>
        <v/>
      </c>
      <c r="V58">
        <f>HYPERLINK("https://klasma.github.io/Logging_1380/klagomål/A 2994-2024 FSC-klagomål.docx", "A 2994-2024")</f>
        <v/>
      </c>
      <c r="W58">
        <f>HYPERLINK("https://klasma.github.io/Logging_1380/klagomålsmail/A 2994-2024 FSC-klagomål mail.docx", "A 2994-2024")</f>
        <v/>
      </c>
      <c r="X58">
        <f>HYPERLINK("https://klasma.github.io/Logging_1380/tillsyn/A 2994-2024 tillsynsbegäran.docx", "A 2994-2024")</f>
        <v/>
      </c>
      <c r="Y58">
        <f>HYPERLINK("https://klasma.github.io/Logging_1380/tillsynsmail/A 2994-2024 tillsynsbegäran mail.docx", "A 2994-2024")</f>
        <v/>
      </c>
    </row>
    <row r="59" ht="15" customHeight="1">
      <c r="A59" t="inlineStr">
        <is>
          <t>A 15579-2026</t>
        </is>
      </c>
      <c r="B59" s="1" t="n">
        <v>46106</v>
      </c>
      <c r="C59" s="1" t="n">
        <v>46203</v>
      </c>
      <c r="D59" t="inlineStr">
        <is>
          <t>HALLANDS LÄN</t>
        </is>
      </c>
      <c r="E59" t="inlineStr">
        <is>
          <t>HALMSTAD</t>
        </is>
      </c>
      <c r="G59" t="n">
        <v>3.7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Åkerrättika</t>
        </is>
      </c>
      <c r="S59">
        <f>HYPERLINK("https://klasma.github.io/Logging_1380/artfynd/A 15579-2026 artfynd.xlsx", "A 15579-2026")</f>
        <v/>
      </c>
      <c r="T59">
        <f>HYPERLINK("https://klasma.github.io/Logging_1380/kartor/A 15579-2026 karta.png", "A 15579-2026")</f>
        <v/>
      </c>
      <c r="V59">
        <f>HYPERLINK("https://klasma.github.io/Logging_1380/klagomål/A 15579-2026 FSC-klagomål.docx", "A 15579-2026")</f>
        <v/>
      </c>
      <c r="W59">
        <f>HYPERLINK("https://klasma.github.io/Logging_1380/klagomålsmail/A 15579-2026 FSC-klagomål mail.docx", "A 15579-2026")</f>
        <v/>
      </c>
      <c r="X59">
        <f>HYPERLINK("https://klasma.github.io/Logging_1380/tillsyn/A 15579-2026 tillsynsbegäran.docx", "A 15579-2026")</f>
        <v/>
      </c>
      <c r="Y59">
        <f>HYPERLINK("https://klasma.github.io/Logging_1380/tillsynsmail/A 15579-2026 tillsynsbegäran mail.docx", "A 15579-2026")</f>
        <v/>
      </c>
    </row>
    <row r="60" ht="15" customHeight="1">
      <c r="A60" t="inlineStr">
        <is>
          <t>A 53797-2024</t>
        </is>
      </c>
      <c r="B60" s="1" t="n">
        <v>45615</v>
      </c>
      <c r="C60" s="1" t="n">
        <v>46203</v>
      </c>
      <c r="D60" t="inlineStr">
        <is>
          <t>HALLANDS LÄN</t>
        </is>
      </c>
      <c r="E60" t="inlineStr">
        <is>
          <t>HALMSTAD</t>
        </is>
      </c>
      <c r="G60" t="n">
        <v>3.5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Dvärglin</t>
        </is>
      </c>
      <c r="S60">
        <f>HYPERLINK("https://klasma.github.io/Logging_1380/artfynd/A 53797-2024 artfynd.xlsx", "A 53797-2024")</f>
        <v/>
      </c>
      <c r="T60">
        <f>HYPERLINK("https://klasma.github.io/Logging_1380/kartor/A 53797-2024 karta.png", "A 53797-2024")</f>
        <v/>
      </c>
      <c r="V60">
        <f>HYPERLINK("https://klasma.github.io/Logging_1380/klagomål/A 53797-2024 FSC-klagomål.docx", "A 53797-2024")</f>
        <v/>
      </c>
      <c r="W60">
        <f>HYPERLINK("https://klasma.github.io/Logging_1380/klagomålsmail/A 53797-2024 FSC-klagomål mail.docx", "A 53797-2024")</f>
        <v/>
      </c>
      <c r="X60">
        <f>HYPERLINK("https://klasma.github.io/Logging_1380/tillsyn/A 53797-2024 tillsynsbegäran.docx", "A 53797-2024")</f>
        <v/>
      </c>
      <c r="Y60">
        <f>HYPERLINK("https://klasma.github.io/Logging_1380/tillsynsmail/A 53797-2024 tillsynsbegäran mail.docx", "A 53797-2024")</f>
        <v/>
      </c>
    </row>
    <row r="61" ht="15" customHeight="1">
      <c r="A61" t="inlineStr">
        <is>
          <t>A 23305-2026</t>
        </is>
      </c>
      <c r="B61" s="1" t="n">
        <v>46162</v>
      </c>
      <c r="C61" s="1" t="n">
        <v>46203</v>
      </c>
      <c r="D61" t="inlineStr">
        <is>
          <t>HALLANDS LÄN</t>
        </is>
      </c>
      <c r="E61" t="inlineStr">
        <is>
          <t>HALMSTAD</t>
        </is>
      </c>
      <c r="G61" t="n">
        <v>1.6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23305-2026 artfynd.xlsx", "A 23305-2026")</f>
        <v/>
      </c>
      <c r="T61">
        <f>HYPERLINK("https://klasma.github.io/Logging_1380/kartor/A 23305-2026 karta.png", "A 23305-2026")</f>
        <v/>
      </c>
      <c r="V61">
        <f>HYPERLINK("https://klasma.github.io/Logging_1380/klagomål/A 23305-2026 FSC-klagomål.docx", "A 23305-2026")</f>
        <v/>
      </c>
      <c r="W61">
        <f>HYPERLINK("https://klasma.github.io/Logging_1380/klagomålsmail/A 23305-2026 FSC-klagomål mail.docx", "A 23305-2026")</f>
        <v/>
      </c>
      <c r="X61">
        <f>HYPERLINK("https://klasma.github.io/Logging_1380/tillsyn/A 23305-2026 tillsynsbegäran.docx", "A 23305-2026")</f>
        <v/>
      </c>
      <c r="Y61">
        <f>HYPERLINK("https://klasma.github.io/Logging_1380/tillsynsmail/A 23305-2026 tillsynsbegäran mail.docx", "A 23305-2026")</f>
        <v/>
      </c>
    </row>
    <row r="62" ht="15" customHeight="1">
      <c r="A62" t="inlineStr">
        <is>
          <t>A 25382-2026</t>
        </is>
      </c>
      <c r="B62" s="1" t="n">
        <v>46176</v>
      </c>
      <c r="C62" s="1" t="n">
        <v>46203</v>
      </c>
      <c r="D62" t="inlineStr">
        <is>
          <t>HALLANDS LÄN</t>
        </is>
      </c>
      <c r="E62" t="inlineStr">
        <is>
          <t>HALMSTAD</t>
        </is>
      </c>
      <c r="G62" t="n">
        <v>10.9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HYPERLINK("https://klasma.github.io/Logging_1380/artfynd/A 25382-2026 artfynd.xlsx", "A 25382-2026")</f>
        <v/>
      </c>
      <c r="T62">
        <f>HYPERLINK("https://klasma.github.io/Logging_1380/kartor/A 25382-2026 karta.png", "A 25382-2026")</f>
        <v/>
      </c>
      <c r="V62">
        <f>HYPERLINK("https://klasma.github.io/Logging_1380/klagomål/A 25382-2026 FSC-klagomål.docx", "A 25382-2026")</f>
        <v/>
      </c>
      <c r="W62">
        <f>HYPERLINK("https://klasma.github.io/Logging_1380/klagomålsmail/A 25382-2026 FSC-klagomål mail.docx", "A 25382-2026")</f>
        <v/>
      </c>
      <c r="X62">
        <f>HYPERLINK("https://klasma.github.io/Logging_1380/tillsyn/A 25382-2026 tillsynsbegäran.docx", "A 25382-2026")</f>
        <v/>
      </c>
      <c r="Y62">
        <f>HYPERLINK("https://klasma.github.io/Logging_1380/tillsynsmail/A 25382-2026 tillsynsbegäran mail.docx", "A 25382-2026")</f>
        <v/>
      </c>
    </row>
    <row r="63" ht="15" customHeight="1">
      <c r="A63" t="inlineStr">
        <is>
          <t>A 25887-2026</t>
        </is>
      </c>
      <c r="B63" s="1" t="n">
        <v>46178</v>
      </c>
      <c r="C63" s="1" t="n">
        <v>46203</v>
      </c>
      <c r="D63" t="inlineStr">
        <is>
          <t>HALLANDS LÄN</t>
        </is>
      </c>
      <c r="E63" t="inlineStr">
        <is>
          <t>HALMSTAD</t>
        </is>
      </c>
      <c r="G63" t="n">
        <v>14.9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25887-2026 artfynd.xlsx", "A 25887-2026")</f>
        <v/>
      </c>
      <c r="T63">
        <f>HYPERLINK("https://klasma.github.io/Logging_1380/kartor/A 25887-2026 karta.png", "A 25887-2026")</f>
        <v/>
      </c>
      <c r="V63">
        <f>HYPERLINK("https://klasma.github.io/Logging_1380/klagomål/A 25887-2026 FSC-klagomål.docx", "A 25887-2026")</f>
        <v/>
      </c>
      <c r="W63">
        <f>HYPERLINK("https://klasma.github.io/Logging_1380/klagomålsmail/A 25887-2026 FSC-klagomål mail.docx", "A 25887-2026")</f>
        <v/>
      </c>
      <c r="X63">
        <f>HYPERLINK("https://klasma.github.io/Logging_1380/tillsyn/A 25887-2026 tillsynsbegäran.docx", "A 25887-2026")</f>
        <v/>
      </c>
      <c r="Y63">
        <f>HYPERLINK("https://klasma.github.io/Logging_1380/tillsynsmail/A 25887-2026 tillsynsbegäran mail.docx", "A 25887-2026")</f>
        <v/>
      </c>
    </row>
    <row r="64" ht="15" customHeight="1">
      <c r="A64" t="inlineStr">
        <is>
          <t>A 26330-2026</t>
        </is>
      </c>
      <c r="B64" s="1" t="n">
        <v>46182</v>
      </c>
      <c r="C64" s="1" t="n">
        <v>46203</v>
      </c>
      <c r="D64" t="inlineStr">
        <is>
          <t>HALLANDS LÄN</t>
        </is>
      </c>
      <c r="E64" t="inlineStr">
        <is>
          <t>HALMSTAD</t>
        </is>
      </c>
      <c r="G64" t="n">
        <v>9.1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HYPERLINK("https://klasma.github.io/Logging_1380/artfynd/A 26330-2026 artfynd.xlsx", "A 26330-2026")</f>
        <v/>
      </c>
      <c r="T64">
        <f>HYPERLINK("https://klasma.github.io/Logging_1380/kartor/A 26330-2026 karta.png", "A 26330-2026")</f>
        <v/>
      </c>
      <c r="V64">
        <f>HYPERLINK("https://klasma.github.io/Logging_1380/klagomål/A 26330-2026 FSC-klagomål.docx", "A 26330-2026")</f>
        <v/>
      </c>
      <c r="W64">
        <f>HYPERLINK("https://klasma.github.io/Logging_1380/klagomålsmail/A 26330-2026 FSC-klagomål mail.docx", "A 26330-2026")</f>
        <v/>
      </c>
      <c r="X64">
        <f>HYPERLINK("https://klasma.github.io/Logging_1380/tillsyn/A 26330-2026 tillsynsbegäran.docx", "A 26330-2026")</f>
        <v/>
      </c>
      <c r="Y64">
        <f>HYPERLINK("https://klasma.github.io/Logging_1380/tillsynsmail/A 26330-2026 tillsynsbegäran mail.docx", "A 26330-2026")</f>
        <v/>
      </c>
    </row>
    <row r="65" ht="15" customHeight="1">
      <c r="A65" t="inlineStr">
        <is>
          <t>A 6775-2026</t>
        </is>
      </c>
      <c r="B65" s="1" t="n">
        <v>46057</v>
      </c>
      <c r="C65" s="1" t="n">
        <v>46203</v>
      </c>
      <c r="D65" t="inlineStr">
        <is>
          <t>HALLANDS LÄN</t>
        </is>
      </c>
      <c r="E65" t="inlineStr">
        <is>
          <t>HALMSTAD</t>
        </is>
      </c>
      <c r="G65" t="n">
        <v>8.199999999999999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Barbastell</t>
        </is>
      </c>
      <c r="S65">
        <f>HYPERLINK("https://klasma.github.io/Logging_1380/artfynd/A 6775-2026 artfynd.xlsx", "A 6775-2026")</f>
        <v/>
      </c>
      <c r="T65">
        <f>HYPERLINK("https://klasma.github.io/Logging_1380/kartor/A 6775-2026 karta.png", "A 6775-2026")</f>
        <v/>
      </c>
      <c r="V65">
        <f>HYPERLINK("https://klasma.github.io/Logging_1380/klagomål/A 6775-2026 FSC-klagomål.docx", "A 6775-2026")</f>
        <v/>
      </c>
      <c r="W65">
        <f>HYPERLINK("https://klasma.github.io/Logging_1380/klagomålsmail/A 6775-2026 FSC-klagomål mail.docx", "A 6775-2026")</f>
        <v/>
      </c>
      <c r="X65">
        <f>HYPERLINK("https://klasma.github.io/Logging_1380/tillsyn/A 6775-2026 tillsynsbegäran.docx", "A 6775-2026")</f>
        <v/>
      </c>
      <c r="Y65">
        <f>HYPERLINK("https://klasma.github.io/Logging_1380/tillsynsmail/A 6775-2026 tillsynsbegäran mail.docx", "A 6775-2026")</f>
        <v/>
      </c>
    </row>
    <row r="66" ht="15" customHeight="1">
      <c r="A66" t="inlineStr">
        <is>
          <t>A 21626-2026</t>
        </is>
      </c>
      <c r="B66" s="1" t="n">
        <v>46149</v>
      </c>
      <c r="C66" s="1" t="n">
        <v>46203</v>
      </c>
      <c r="D66" t="inlineStr">
        <is>
          <t>HALLANDS LÄN</t>
        </is>
      </c>
      <c r="E66" t="inlineStr">
        <is>
          <t>HALMSTAD</t>
        </is>
      </c>
      <c r="G66" t="n">
        <v>9.6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21626-2026 artfynd.xlsx", "A 21626-2026")</f>
        <v/>
      </c>
      <c r="T66">
        <f>HYPERLINK("https://klasma.github.io/Logging_1380/kartor/A 21626-2026 karta.png", "A 21626-2026")</f>
        <v/>
      </c>
      <c r="V66">
        <f>HYPERLINK("https://klasma.github.io/Logging_1380/klagomål/A 21626-2026 FSC-klagomål.docx", "A 21626-2026")</f>
        <v/>
      </c>
      <c r="W66">
        <f>HYPERLINK("https://klasma.github.io/Logging_1380/klagomålsmail/A 21626-2026 FSC-klagomål mail.docx", "A 21626-2026")</f>
        <v/>
      </c>
      <c r="X66">
        <f>HYPERLINK("https://klasma.github.io/Logging_1380/tillsyn/A 21626-2026 tillsynsbegäran.docx", "A 21626-2026")</f>
        <v/>
      </c>
      <c r="Y66">
        <f>HYPERLINK("https://klasma.github.io/Logging_1380/tillsynsmail/A 21626-2026 tillsynsbegäran mail.docx", "A 21626-2026")</f>
        <v/>
      </c>
    </row>
    <row r="67" ht="15" customHeight="1">
      <c r="A67" t="inlineStr">
        <is>
          <t>A 9045-2026</t>
        </is>
      </c>
      <c r="B67" s="1" t="n">
        <v>46069</v>
      </c>
      <c r="C67" s="1" t="n">
        <v>46203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HYPERLINK("https://klasma.github.io/Logging_1380/artfynd/A 9045-2026 artfynd.xlsx", "A 9045-2026")</f>
        <v/>
      </c>
      <c r="T67">
        <f>HYPERLINK("https://klasma.github.io/Logging_1380/kartor/A 9045-2026 karta.png", "A 9045-2026")</f>
        <v/>
      </c>
      <c r="V67">
        <f>HYPERLINK("https://klasma.github.io/Logging_1380/klagomål/A 9045-2026 FSC-klagomål.docx", "A 9045-2026")</f>
        <v/>
      </c>
      <c r="W67">
        <f>HYPERLINK("https://klasma.github.io/Logging_1380/klagomålsmail/A 9045-2026 FSC-klagomål mail.docx", "A 9045-2026")</f>
        <v/>
      </c>
      <c r="X67">
        <f>HYPERLINK("https://klasma.github.io/Logging_1380/tillsyn/A 9045-2026 tillsynsbegäran.docx", "A 9045-2026")</f>
        <v/>
      </c>
      <c r="Y67">
        <f>HYPERLINK("https://klasma.github.io/Logging_1380/tillsynsmail/A 9045-2026 tillsynsbegäran mail.docx", "A 9045-2026")</f>
        <v/>
      </c>
    </row>
    <row r="68" ht="15" customHeight="1">
      <c r="A68" t="inlineStr">
        <is>
          <t>A 17266-2023</t>
        </is>
      </c>
      <c r="B68" s="1" t="n">
        <v>45035</v>
      </c>
      <c r="C68" s="1" t="n">
        <v>46203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HYPERLINK("https://klasma.github.io/Logging_1380/artfynd/A 17266-2023 artfynd.xlsx", "A 17266-2023")</f>
        <v/>
      </c>
      <c r="T68">
        <f>HYPERLINK("https://klasma.github.io/Logging_1380/kartor/A 17266-2023 karta.png", "A 17266-2023")</f>
        <v/>
      </c>
      <c r="V68">
        <f>HYPERLINK("https://klasma.github.io/Logging_1380/klagomål/A 17266-2023 FSC-klagomål.docx", "A 17266-2023")</f>
        <v/>
      </c>
      <c r="W68">
        <f>HYPERLINK("https://klasma.github.io/Logging_1380/klagomålsmail/A 17266-2023 FSC-klagomål mail.docx", "A 17266-2023")</f>
        <v/>
      </c>
      <c r="X68">
        <f>HYPERLINK("https://klasma.github.io/Logging_1380/tillsyn/A 17266-2023 tillsynsbegäran.docx", "A 17266-2023")</f>
        <v/>
      </c>
      <c r="Y68">
        <f>HYPERLINK("https://klasma.github.io/Logging_1380/tillsynsmail/A 17266-2023 tillsynsbegäran mail.docx", "A 17266-2023")</f>
        <v/>
      </c>
    </row>
    <row r="69" ht="15" customHeight="1">
      <c r="A69" t="inlineStr">
        <is>
          <t>A 32753-2023</t>
        </is>
      </c>
      <c r="B69" s="1" t="n">
        <v>45122</v>
      </c>
      <c r="C69" s="1" t="n">
        <v>46203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HYPERLINK("https://klasma.github.io/Logging_1380/artfynd/A 32753-2023 artfynd.xlsx", "A 32753-2023")</f>
        <v/>
      </c>
      <c r="T69">
        <f>HYPERLINK("https://klasma.github.io/Logging_1380/kartor/A 32753-2023 karta.png", "A 32753-2023")</f>
        <v/>
      </c>
      <c r="V69">
        <f>HYPERLINK("https://klasma.github.io/Logging_1380/klagomål/A 32753-2023 FSC-klagomål.docx", "A 32753-2023")</f>
        <v/>
      </c>
      <c r="W69">
        <f>HYPERLINK("https://klasma.github.io/Logging_1380/klagomålsmail/A 32753-2023 FSC-klagomål mail.docx", "A 32753-2023")</f>
        <v/>
      </c>
      <c r="X69">
        <f>HYPERLINK("https://klasma.github.io/Logging_1380/tillsyn/A 32753-2023 tillsynsbegäran.docx", "A 32753-2023")</f>
        <v/>
      </c>
      <c r="Y69">
        <f>HYPERLINK("https://klasma.github.io/Logging_1380/tillsynsmail/A 32753-2023 tillsynsbegäran mail.docx", "A 32753-2023")</f>
        <v/>
      </c>
      <c r="Z69">
        <f>HYPERLINK("https://klasma.github.io/Logging_1380/fåglar/A 32753-2023 prioriterade fågelarter.docx", "A 32753-2023")</f>
        <v/>
      </c>
    </row>
    <row r="70" ht="15" customHeight="1">
      <c r="A70" t="inlineStr">
        <is>
          <t>A 40650-2023</t>
        </is>
      </c>
      <c r="B70" s="1" t="n">
        <v>45168</v>
      </c>
      <c r="C70" s="1" t="n">
        <v>46203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14.7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HYPERLINK("https://klasma.github.io/Logging_1380/artfynd/A 40650-2023 artfynd.xlsx", "A 40650-2023")</f>
        <v/>
      </c>
      <c r="T70">
        <f>HYPERLINK("https://klasma.github.io/Logging_1380/kartor/A 40650-2023 karta.png", "A 40650-2023")</f>
        <v/>
      </c>
      <c r="V70">
        <f>HYPERLINK("https://klasma.github.io/Logging_1380/klagomål/A 40650-2023 FSC-klagomål.docx", "A 40650-2023")</f>
        <v/>
      </c>
      <c r="W70">
        <f>HYPERLINK("https://klasma.github.io/Logging_1380/klagomålsmail/A 40650-2023 FSC-klagomål mail.docx", "A 40650-2023")</f>
        <v/>
      </c>
      <c r="X70">
        <f>HYPERLINK("https://klasma.github.io/Logging_1380/tillsyn/A 40650-2023 tillsynsbegäran.docx", "A 40650-2023")</f>
        <v/>
      </c>
      <c r="Y70">
        <f>HYPERLINK("https://klasma.github.io/Logging_1380/tillsynsmail/A 40650-2023 tillsynsbegäran mail.docx", "A 40650-2023")</f>
        <v/>
      </c>
    </row>
    <row r="71" ht="15" customHeight="1">
      <c r="A71" t="inlineStr">
        <is>
          <t>A 40589-2023</t>
        </is>
      </c>
      <c r="B71" s="1" t="n">
        <v>45168</v>
      </c>
      <c r="C71" s="1" t="n">
        <v>46203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HYPERLINK("https://klasma.github.io/Logging_1380/artfynd/A 40589-2023 artfynd.xlsx", "A 40589-2023")</f>
        <v/>
      </c>
      <c r="T71">
        <f>HYPERLINK("https://klasma.github.io/Logging_1380/kartor/A 40589-2023 karta.png", "A 40589-2023")</f>
        <v/>
      </c>
      <c r="V71">
        <f>HYPERLINK("https://klasma.github.io/Logging_1380/klagomål/A 40589-2023 FSC-klagomål.docx", "A 40589-2023")</f>
        <v/>
      </c>
      <c r="W71">
        <f>HYPERLINK("https://klasma.github.io/Logging_1380/klagomålsmail/A 40589-2023 FSC-klagomål mail.docx", "A 40589-2023")</f>
        <v/>
      </c>
      <c r="X71">
        <f>HYPERLINK("https://klasma.github.io/Logging_1380/tillsyn/A 40589-2023 tillsynsbegäran.docx", "A 40589-2023")</f>
        <v/>
      </c>
      <c r="Y71">
        <f>HYPERLINK("https://klasma.github.io/Logging_1380/tillsynsmail/A 40589-2023 tillsynsbegäran mail.docx", "A 40589-2023")</f>
        <v/>
      </c>
    </row>
    <row r="72" ht="15" customHeight="1">
      <c r="A72" t="inlineStr">
        <is>
          <t>A 1610-2024</t>
        </is>
      </c>
      <c r="B72" s="1" t="n">
        <v>45306</v>
      </c>
      <c r="C72" s="1" t="n">
        <v>46203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Månlåsbräken</t>
        </is>
      </c>
      <c r="S72">
        <f>HYPERLINK("https://klasma.github.io/Logging_1380/artfynd/A 1610-2024 artfynd.xlsx", "A 1610-2024")</f>
        <v/>
      </c>
      <c r="T72">
        <f>HYPERLINK("https://klasma.github.io/Logging_1380/kartor/A 1610-2024 karta.png", "A 1610-2024")</f>
        <v/>
      </c>
      <c r="V72">
        <f>HYPERLINK("https://klasma.github.io/Logging_1380/klagomål/A 1610-2024 FSC-klagomål.docx", "A 1610-2024")</f>
        <v/>
      </c>
      <c r="W72">
        <f>HYPERLINK("https://klasma.github.io/Logging_1380/klagomålsmail/A 1610-2024 FSC-klagomål mail.docx", "A 1610-2024")</f>
        <v/>
      </c>
      <c r="X72">
        <f>HYPERLINK("https://klasma.github.io/Logging_1380/tillsyn/A 1610-2024 tillsynsbegäran.docx", "A 1610-2024")</f>
        <v/>
      </c>
      <c r="Y72">
        <f>HYPERLINK("https://klasma.github.io/Logging_1380/tillsynsmail/A 1610-2024 tillsynsbegäran mail.docx", "A 1610-2024")</f>
        <v/>
      </c>
    </row>
    <row r="73" ht="15" customHeight="1">
      <c r="A73" t="inlineStr">
        <is>
          <t>A 22842-2022</t>
        </is>
      </c>
      <c r="B73" s="1" t="n">
        <v>44715</v>
      </c>
      <c r="C73" s="1" t="n">
        <v>46203</v>
      </c>
      <c r="D73" t="inlineStr">
        <is>
          <t>HALLANDS LÄN</t>
        </is>
      </c>
      <c r="E73" t="inlineStr">
        <is>
          <t>HALMSTAD</t>
        </is>
      </c>
      <c r="G73" t="n">
        <v>6.1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22842-2022 artfynd.xlsx", "A 22842-2022")</f>
        <v/>
      </c>
      <c r="T73">
        <f>HYPERLINK("https://klasma.github.io/Logging_1380/kartor/A 22842-2022 karta.png", "A 22842-2022")</f>
        <v/>
      </c>
      <c r="V73">
        <f>HYPERLINK("https://klasma.github.io/Logging_1380/klagomål/A 22842-2022 FSC-klagomål.docx", "A 22842-2022")</f>
        <v/>
      </c>
      <c r="W73">
        <f>HYPERLINK("https://klasma.github.io/Logging_1380/klagomålsmail/A 22842-2022 FSC-klagomål mail.docx", "A 22842-2022")</f>
        <v/>
      </c>
      <c r="X73">
        <f>HYPERLINK("https://klasma.github.io/Logging_1380/tillsyn/A 22842-2022 tillsynsbegäran.docx", "A 22842-2022")</f>
        <v/>
      </c>
      <c r="Y73">
        <f>HYPERLINK("https://klasma.github.io/Logging_1380/tillsynsmail/A 22842-2022 tillsynsbegäran mail.docx", "A 22842-2022")</f>
        <v/>
      </c>
      <c r="Z73">
        <f>HYPERLINK("https://klasma.github.io/Logging_1380/fåglar/A 22842-2022 prioriterade fågelarter.docx", "A 22842-2022")</f>
        <v/>
      </c>
    </row>
    <row r="74" ht="15" customHeight="1">
      <c r="A74" t="inlineStr">
        <is>
          <t>A 5530-2025</t>
        </is>
      </c>
      <c r="B74" s="1" t="n">
        <v>45692</v>
      </c>
      <c r="C74" s="1" t="n">
        <v>46203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Igelkott</t>
        </is>
      </c>
      <c r="S74">
        <f>HYPERLINK("https://klasma.github.io/Logging_1380/artfynd/A 5530-2025 artfynd.xlsx", "A 5530-2025")</f>
        <v/>
      </c>
      <c r="T74">
        <f>HYPERLINK("https://klasma.github.io/Logging_1380/kartor/A 5530-2025 karta.png", "A 5530-2025")</f>
        <v/>
      </c>
      <c r="V74">
        <f>HYPERLINK("https://klasma.github.io/Logging_1380/klagomål/A 5530-2025 FSC-klagomål.docx", "A 5530-2025")</f>
        <v/>
      </c>
      <c r="W74">
        <f>HYPERLINK("https://klasma.github.io/Logging_1380/klagomålsmail/A 5530-2025 FSC-klagomål mail.docx", "A 5530-2025")</f>
        <v/>
      </c>
      <c r="X74">
        <f>HYPERLINK("https://klasma.github.io/Logging_1380/tillsyn/A 5530-2025 tillsynsbegäran.docx", "A 5530-2025")</f>
        <v/>
      </c>
      <c r="Y74">
        <f>HYPERLINK("https://klasma.github.io/Logging_1380/tillsynsmail/A 5530-2025 tillsynsbegäran mail.docx", "A 5530-2025")</f>
        <v/>
      </c>
    </row>
    <row r="75" ht="15" customHeight="1">
      <c r="A75" t="inlineStr">
        <is>
          <t>A 21483-2024</t>
        </is>
      </c>
      <c r="B75" s="1" t="n">
        <v>45441</v>
      </c>
      <c r="C75" s="1" t="n">
        <v>46203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21483-2024 artfynd.xlsx", "A 21483-2024")</f>
        <v/>
      </c>
      <c r="T75">
        <f>HYPERLINK("https://klasma.github.io/Logging_1380/kartor/A 21483-2024 karta.png", "A 21483-2024")</f>
        <v/>
      </c>
      <c r="V75">
        <f>HYPERLINK("https://klasma.github.io/Logging_1380/klagomål/A 21483-2024 FSC-klagomål.docx", "A 21483-2024")</f>
        <v/>
      </c>
      <c r="W75">
        <f>HYPERLINK("https://klasma.github.io/Logging_1380/klagomålsmail/A 21483-2024 FSC-klagomål mail.docx", "A 21483-2024")</f>
        <v/>
      </c>
      <c r="X75">
        <f>HYPERLINK("https://klasma.github.io/Logging_1380/tillsyn/A 21483-2024 tillsynsbegäran.docx", "A 21483-2024")</f>
        <v/>
      </c>
      <c r="Y75">
        <f>HYPERLINK("https://klasma.github.io/Logging_1380/tillsynsmail/A 21483-2024 tillsynsbegäran mail.docx", "A 21483-2024")</f>
        <v/>
      </c>
    </row>
    <row r="76" ht="15" customHeight="1">
      <c r="A76" t="inlineStr">
        <is>
          <t>A 29839-2022</t>
        </is>
      </c>
      <c r="B76" s="1" t="n">
        <v>44756</v>
      </c>
      <c r="C76" s="1" t="n">
        <v>46203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51708-2022</t>
        </is>
      </c>
      <c r="B77" s="1" t="n">
        <v>44872</v>
      </c>
      <c r="C77" s="1" t="n">
        <v>46203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21350-2022</t>
        </is>
      </c>
      <c r="B78" s="1" t="n">
        <v>44705</v>
      </c>
      <c r="C78" s="1" t="n">
        <v>46203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37454-2021</t>
        </is>
      </c>
      <c r="B79" s="1" t="n">
        <v>44398</v>
      </c>
      <c r="C79" s="1" t="n">
        <v>46203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17067-2022</t>
        </is>
      </c>
      <c r="B80" s="1" t="n">
        <v>44677</v>
      </c>
      <c r="C80" s="1" t="n">
        <v>46203</v>
      </c>
      <c r="D80" t="inlineStr">
        <is>
          <t>HALLANDS LÄN</t>
        </is>
      </c>
      <c r="E80" t="inlineStr">
        <is>
          <t>HALMSTAD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34922-2022</t>
        </is>
      </c>
      <c r="B81" s="1" t="n">
        <v>44796</v>
      </c>
      <c r="C81" s="1" t="n">
        <v>46203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46465-2021</t>
        </is>
      </c>
      <c r="B82" s="1" t="n">
        <v>44445</v>
      </c>
      <c r="C82" s="1" t="n">
        <v>46203</v>
      </c>
      <c r="D82" t="inlineStr">
        <is>
          <t>HALLANDS LÄN</t>
        </is>
      </c>
      <c r="E82" t="inlineStr">
        <is>
          <t>HALMSTAD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22015-2022</t>
        </is>
      </c>
      <c r="B83" s="1" t="n">
        <v>44711</v>
      </c>
      <c r="C83" s="1" t="n">
        <v>46203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52102-2022</t>
        </is>
      </c>
      <c r="B84" s="1" t="n">
        <v>44873</v>
      </c>
      <c r="C84" s="1" t="n">
        <v>46203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54105-2021</t>
        </is>
      </c>
      <c r="B85" s="1" t="n">
        <v>44470</v>
      </c>
      <c r="C85" s="1" t="n">
        <v>46203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36425-2021</t>
        </is>
      </c>
      <c r="B86" s="1" t="n">
        <v>44390</v>
      </c>
      <c r="C86" s="1" t="n">
        <v>46203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65528-2021</t>
        </is>
      </c>
      <c r="B87" s="1" t="n">
        <v>44516</v>
      </c>
      <c r="C87" s="1" t="n">
        <v>46203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70731-2021</t>
        </is>
      </c>
      <c r="B88" s="1" t="n">
        <v>44537</v>
      </c>
      <c r="C88" s="1" t="n">
        <v>46203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54118-2021</t>
        </is>
      </c>
      <c r="B89" s="1" t="n">
        <v>44470</v>
      </c>
      <c r="C89" s="1" t="n">
        <v>46203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70335-2021</t>
        </is>
      </c>
      <c r="B90" s="1" t="n">
        <v>44536</v>
      </c>
      <c r="C90" s="1" t="n">
        <v>46203</v>
      </c>
      <c r="D90" t="inlineStr">
        <is>
          <t>HALLANDS LÄN</t>
        </is>
      </c>
      <c r="E90" t="inlineStr">
        <is>
          <t>HALMSTAD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49800-2021</t>
        </is>
      </c>
      <c r="B91" s="1" t="n">
        <v>44455</v>
      </c>
      <c r="C91" s="1" t="n">
        <v>46203</v>
      </c>
      <c r="D91" t="inlineStr">
        <is>
          <t>HALLANDS LÄN</t>
        </is>
      </c>
      <c r="E91" t="inlineStr">
        <is>
          <t>HALMSTAD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51807-2022</t>
        </is>
      </c>
      <c r="B92" s="1" t="n">
        <v>44872</v>
      </c>
      <c r="C92" s="1" t="n">
        <v>46203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70834-2021</t>
        </is>
      </c>
      <c r="B93" s="1" t="n">
        <v>44538</v>
      </c>
      <c r="C93" s="1" t="n">
        <v>46203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4905-2022</t>
        </is>
      </c>
      <c r="B94" s="1" t="n">
        <v>44593</v>
      </c>
      <c r="C94" s="1" t="n">
        <v>46203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11088-2022</t>
        </is>
      </c>
      <c r="B95" s="1" t="n">
        <v>44628</v>
      </c>
      <c r="C95" s="1" t="n">
        <v>46203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13725-2022</t>
        </is>
      </c>
      <c r="B96" s="1" t="n">
        <v>44649</v>
      </c>
      <c r="C96" s="1" t="n">
        <v>46203</v>
      </c>
      <c r="D96" t="inlineStr">
        <is>
          <t>HALLANDS LÄN</t>
        </is>
      </c>
      <c r="E96" t="inlineStr">
        <is>
          <t>HALMSTAD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54838-2021</t>
        </is>
      </c>
      <c r="B97" s="1" t="n">
        <v>44474</v>
      </c>
      <c r="C97" s="1" t="n">
        <v>46203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30386-2022</t>
        </is>
      </c>
      <c r="B98" s="1" t="n">
        <v>44760</v>
      </c>
      <c r="C98" s="1" t="n">
        <v>46203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30383-2022</t>
        </is>
      </c>
      <c r="B99" s="1" t="n">
        <v>44760</v>
      </c>
      <c r="C99" s="1" t="n">
        <v>46203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54111-2021</t>
        </is>
      </c>
      <c r="B100" s="1" t="n">
        <v>44470</v>
      </c>
      <c r="C100" s="1" t="n">
        <v>46203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49792-2021</t>
        </is>
      </c>
      <c r="B101" s="1" t="n">
        <v>44455</v>
      </c>
      <c r="C101" s="1" t="n">
        <v>46203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17069-2022</t>
        </is>
      </c>
      <c r="B102" s="1" t="n">
        <v>44677</v>
      </c>
      <c r="C102" s="1" t="n">
        <v>46203</v>
      </c>
      <c r="D102" t="inlineStr">
        <is>
          <t>HALLANDS LÄN</t>
        </is>
      </c>
      <c r="E102" t="inlineStr">
        <is>
          <t>HALMSTAD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50182-2022</t>
        </is>
      </c>
      <c r="B103" s="1" t="n">
        <v>44865</v>
      </c>
      <c r="C103" s="1" t="n">
        <v>46203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70897-2021</t>
        </is>
      </c>
      <c r="B104" s="1" t="n">
        <v>44538</v>
      </c>
      <c r="C104" s="1" t="n">
        <v>46203</v>
      </c>
      <c r="D104" t="inlineStr">
        <is>
          <t>HALLANDS LÄN</t>
        </is>
      </c>
      <c r="E104" t="inlineStr">
        <is>
          <t>HALMSTAD</t>
        </is>
      </c>
      <c r="F104" t="inlineStr">
        <is>
          <t>Kyrkan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70724-2021</t>
        </is>
      </c>
      <c r="B105" s="1" t="n">
        <v>44537</v>
      </c>
      <c r="C105" s="1" t="n">
        <v>46203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2434-2022</t>
        </is>
      </c>
      <c r="B106" s="1" t="n">
        <v>44579</v>
      </c>
      <c r="C106" s="1" t="n">
        <v>46203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23773-2022</t>
        </is>
      </c>
      <c r="B107" s="1" t="n">
        <v>44722</v>
      </c>
      <c r="C107" s="1" t="n">
        <v>46203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46013-2021</t>
        </is>
      </c>
      <c r="B108" s="1" t="n">
        <v>44441</v>
      </c>
      <c r="C108" s="1" t="n">
        <v>46203</v>
      </c>
      <c r="D108" t="inlineStr">
        <is>
          <t>HALLANDS LÄN</t>
        </is>
      </c>
      <c r="E108" t="inlineStr">
        <is>
          <t>HALMSTAD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59922-2021</t>
        </is>
      </c>
      <c r="B109" s="1" t="n">
        <v>44494</v>
      </c>
      <c r="C109" s="1" t="n">
        <v>46203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4971-2022</t>
        </is>
      </c>
      <c r="B110" s="1" t="n">
        <v>44593</v>
      </c>
      <c r="C110" s="1" t="n">
        <v>46203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72139-2021</t>
        </is>
      </c>
      <c r="B111" s="1" t="n">
        <v>44544</v>
      </c>
      <c r="C111" s="1" t="n">
        <v>46203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13212-2025</t>
        </is>
      </c>
      <c r="B112" s="1" t="n">
        <v>45735</v>
      </c>
      <c r="C112" s="1" t="n">
        <v>46203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50791-2023</t>
        </is>
      </c>
      <c r="B113" s="1" t="n">
        <v>45217</v>
      </c>
      <c r="C113" s="1" t="n">
        <v>46203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31547-2022</t>
        </is>
      </c>
      <c r="B114" s="1" t="n">
        <v>44775</v>
      </c>
      <c r="C114" s="1" t="n">
        <v>46203</v>
      </c>
      <c r="D114" t="inlineStr">
        <is>
          <t>HALLANDS LÄN</t>
        </is>
      </c>
      <c r="E114" t="inlineStr">
        <is>
          <t>HALMSTAD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9149-2024</t>
        </is>
      </c>
      <c r="B115" s="1" t="n">
        <v>45358</v>
      </c>
      <c r="C115" s="1" t="n">
        <v>46203</v>
      </c>
      <c r="D115" t="inlineStr">
        <is>
          <t>HALLANDS LÄN</t>
        </is>
      </c>
      <c r="E115" t="inlineStr">
        <is>
          <t>HALMSTAD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62189-2022</t>
        </is>
      </c>
      <c r="B116" s="1" t="n">
        <v>44922</v>
      </c>
      <c r="C116" s="1" t="n">
        <v>46203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47556-2025</t>
        </is>
      </c>
      <c r="B117" s="1" t="n">
        <v>45931</v>
      </c>
      <c r="C117" s="1" t="n">
        <v>46203</v>
      </c>
      <c r="D117" t="inlineStr">
        <is>
          <t>HALLANDS LÄN</t>
        </is>
      </c>
      <c r="E117" t="inlineStr">
        <is>
          <t>HALMSTAD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17476-2024</t>
        </is>
      </c>
      <c r="B118" s="1" t="n">
        <v>45415</v>
      </c>
      <c r="C118" s="1" t="n">
        <v>46203</v>
      </c>
      <c r="D118" t="inlineStr">
        <is>
          <t>HALLANDS LÄN</t>
        </is>
      </c>
      <c r="E118" t="inlineStr">
        <is>
          <t>HALMSTAD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47561-2025</t>
        </is>
      </c>
      <c r="B119" s="1" t="n">
        <v>45931</v>
      </c>
      <c r="C119" s="1" t="n">
        <v>46203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47552-2025</t>
        </is>
      </c>
      <c r="B120" s="1" t="n">
        <v>45931</v>
      </c>
      <c r="C120" s="1" t="n">
        <v>46203</v>
      </c>
      <c r="D120" t="inlineStr">
        <is>
          <t>HALLANDS LÄN</t>
        </is>
      </c>
      <c r="E120" t="inlineStr">
        <is>
          <t>HALMSTAD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53642-2023</t>
        </is>
      </c>
      <c r="B121" s="1" t="n">
        <v>45230</v>
      </c>
      <c r="C121" s="1" t="n">
        <v>46203</v>
      </c>
      <c r="D121" t="inlineStr">
        <is>
          <t>HALLANDS LÄN</t>
        </is>
      </c>
      <c r="E121" t="inlineStr">
        <is>
          <t>HALMSTAD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51901-2024</t>
        </is>
      </c>
      <c r="B122" s="1" t="n">
        <v>45607</v>
      </c>
      <c r="C122" s="1" t="n">
        <v>46203</v>
      </c>
      <c r="D122" t="inlineStr">
        <is>
          <t>HALLANDS LÄN</t>
        </is>
      </c>
      <c r="E122" t="inlineStr">
        <is>
          <t>HALMSTAD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48090-2025</t>
        </is>
      </c>
      <c r="B123" s="1" t="n">
        <v>45933</v>
      </c>
      <c r="C123" s="1" t="n">
        <v>46203</v>
      </c>
      <c r="D123" t="inlineStr">
        <is>
          <t>HALLANDS LÄN</t>
        </is>
      </c>
      <c r="E123" t="inlineStr">
        <is>
          <t>HALMSTAD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39331-2025</t>
        </is>
      </c>
      <c r="B124" s="1" t="n">
        <v>45889</v>
      </c>
      <c r="C124" s="1" t="n">
        <v>46203</v>
      </c>
      <c r="D124" t="inlineStr">
        <is>
          <t>HALLANDS LÄN</t>
        </is>
      </c>
      <c r="E124" t="inlineStr">
        <is>
          <t>HALMSTAD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49403-2025</t>
        </is>
      </c>
      <c r="B125" s="1" t="n">
        <v>45938</v>
      </c>
      <c r="C125" s="1" t="n">
        <v>46203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21946-2024</t>
        </is>
      </c>
      <c r="B126" s="1" t="n">
        <v>45443</v>
      </c>
      <c r="C126" s="1" t="n">
        <v>46203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40418-2024</t>
        </is>
      </c>
      <c r="B127" s="1" t="n">
        <v>45555</v>
      </c>
      <c r="C127" s="1" t="n">
        <v>46203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46754-2024</t>
        </is>
      </c>
      <c r="B128" s="1" t="n">
        <v>45583</v>
      </c>
      <c r="C128" s="1" t="n">
        <v>46203</v>
      </c>
      <c r="D128" t="inlineStr">
        <is>
          <t>HALLANDS LÄN</t>
        </is>
      </c>
      <c r="E128" t="inlineStr">
        <is>
          <t>HALMSTAD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25349-2025</t>
        </is>
      </c>
      <c r="B129" s="1" t="n">
        <v>45800</v>
      </c>
      <c r="C129" s="1" t="n">
        <v>46203</v>
      </c>
      <c r="D129" t="inlineStr">
        <is>
          <t>HALLANDS LÄN</t>
        </is>
      </c>
      <c r="E129" t="inlineStr">
        <is>
          <t>HALMSTAD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16195-2025</t>
        </is>
      </c>
      <c r="B130" s="1" t="n">
        <v>45750</v>
      </c>
      <c r="C130" s="1" t="n">
        <v>46203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25106-2025</t>
        </is>
      </c>
      <c r="B131" s="1" t="n">
        <v>45800</v>
      </c>
      <c r="C131" s="1" t="n">
        <v>46203</v>
      </c>
      <c r="D131" t="inlineStr">
        <is>
          <t>HALLANDS LÄN</t>
        </is>
      </c>
      <c r="E131" t="inlineStr">
        <is>
          <t>HALMSTAD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19305-2025</t>
        </is>
      </c>
      <c r="B132" s="1" t="n">
        <v>45769</v>
      </c>
      <c r="C132" s="1" t="n">
        <v>46203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26097-2025</t>
        </is>
      </c>
      <c r="B133" s="1" t="n">
        <v>45805</v>
      </c>
      <c r="C133" s="1" t="n">
        <v>46203</v>
      </c>
      <c r="D133" t="inlineStr">
        <is>
          <t>HALLANDS LÄN</t>
        </is>
      </c>
      <c r="E133" t="inlineStr">
        <is>
          <t>HALMSTAD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9228-2025</t>
        </is>
      </c>
      <c r="B134" s="1" t="n">
        <v>45714</v>
      </c>
      <c r="C134" s="1" t="n">
        <v>46203</v>
      </c>
      <c r="D134" t="inlineStr">
        <is>
          <t>HALLANDS LÄN</t>
        </is>
      </c>
      <c r="E134" t="inlineStr">
        <is>
          <t>HALMSTAD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60396-2023</t>
        </is>
      </c>
      <c r="B135" s="1" t="n">
        <v>45259</v>
      </c>
      <c r="C135" s="1" t="n">
        <v>46203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40047-2025</t>
        </is>
      </c>
      <c r="B136" s="1" t="n">
        <v>45894</v>
      </c>
      <c r="C136" s="1" t="n">
        <v>46203</v>
      </c>
      <c r="D136" t="inlineStr">
        <is>
          <t>HALLANDS LÄN</t>
        </is>
      </c>
      <c r="E136" t="inlineStr">
        <is>
          <t>HALMSTAD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52013-2025</t>
        </is>
      </c>
      <c r="B137" s="1" t="n">
        <v>45952</v>
      </c>
      <c r="C137" s="1" t="n">
        <v>46203</v>
      </c>
      <c r="D137" t="inlineStr">
        <is>
          <t>HALLANDS LÄN</t>
        </is>
      </c>
      <c r="E137" t="inlineStr">
        <is>
          <t>HALMSTAD</t>
        </is>
      </c>
      <c r="F137" t="inlineStr">
        <is>
          <t>Bergvik skog väst AB</t>
        </is>
      </c>
      <c r="G137" t="n">
        <v>19.5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23609-2025</t>
        </is>
      </c>
      <c r="B138" s="1" t="n">
        <v>45792</v>
      </c>
      <c r="C138" s="1" t="n">
        <v>46203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15383-2025</t>
        </is>
      </c>
      <c r="B139" s="1" t="n">
        <v>45747</v>
      </c>
      <c r="C139" s="1" t="n">
        <v>46203</v>
      </c>
      <c r="D139" t="inlineStr">
        <is>
          <t>HALLANDS LÄN</t>
        </is>
      </c>
      <c r="E139" t="inlineStr">
        <is>
          <t>HALMSTAD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40974-2025</t>
        </is>
      </c>
      <c r="B140" s="1" t="n">
        <v>45897</v>
      </c>
      <c r="C140" s="1" t="n">
        <v>46203</v>
      </c>
      <c r="D140" t="inlineStr">
        <is>
          <t>HALLANDS LÄN</t>
        </is>
      </c>
      <c r="E140" t="inlineStr">
        <is>
          <t>HALMSTAD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5796-2025</t>
        </is>
      </c>
      <c r="B141" s="1" t="n">
        <v>45694</v>
      </c>
      <c r="C141" s="1" t="n">
        <v>46203</v>
      </c>
      <c r="D141" t="inlineStr">
        <is>
          <t>HALLANDS LÄN</t>
        </is>
      </c>
      <c r="E141" t="inlineStr">
        <is>
          <t>HALMSTAD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56683-2024</t>
        </is>
      </c>
      <c r="B142" s="1" t="n">
        <v>45627</v>
      </c>
      <c r="C142" s="1" t="n">
        <v>46203</v>
      </c>
      <c r="D142" t="inlineStr">
        <is>
          <t>HALLANDS LÄN</t>
        </is>
      </c>
      <c r="E142" t="inlineStr">
        <is>
          <t>HALMSTAD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3758-2024</t>
        </is>
      </c>
      <c r="B143" s="1" t="n">
        <v>45321</v>
      </c>
      <c r="C143" s="1" t="n">
        <v>46203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42190-2024</t>
        </is>
      </c>
      <c r="B144" s="1" t="n">
        <v>45562</v>
      </c>
      <c r="C144" s="1" t="n">
        <v>46203</v>
      </c>
      <c r="D144" t="inlineStr">
        <is>
          <t>HALLANDS LÄN</t>
        </is>
      </c>
      <c r="E144" t="inlineStr">
        <is>
          <t>HALMSTAD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17156-2022</t>
        </is>
      </c>
      <c r="B145" s="1" t="n">
        <v>44677</v>
      </c>
      <c r="C145" s="1" t="n">
        <v>46203</v>
      </c>
      <c r="D145" t="inlineStr">
        <is>
          <t>HALLANDS LÄN</t>
        </is>
      </c>
      <c r="E145" t="inlineStr">
        <is>
          <t>HALMSTAD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3032-2024</t>
        </is>
      </c>
      <c r="B146" s="1" t="n">
        <v>45316</v>
      </c>
      <c r="C146" s="1" t="n">
        <v>46203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9759-2025</t>
        </is>
      </c>
      <c r="B147" s="1" t="n">
        <v>45716</v>
      </c>
      <c r="C147" s="1" t="n">
        <v>46203</v>
      </c>
      <c r="D147" t="inlineStr">
        <is>
          <t>HALLANDS LÄN</t>
        </is>
      </c>
      <c r="E147" t="inlineStr">
        <is>
          <t>HALMSTAD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14001-2025</t>
        </is>
      </c>
      <c r="B148" s="1" t="n">
        <v>45740</v>
      </c>
      <c r="C148" s="1" t="n">
        <v>46203</v>
      </c>
      <c r="D148" t="inlineStr">
        <is>
          <t>HALLANDS LÄN</t>
        </is>
      </c>
      <c r="E148" t="inlineStr">
        <is>
          <t>HALMSTAD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53392-2025</t>
        </is>
      </c>
      <c r="B149" s="1" t="n">
        <v>45959</v>
      </c>
      <c r="C149" s="1" t="n">
        <v>46203</v>
      </c>
      <c r="D149" t="inlineStr">
        <is>
          <t>HALLANDS LÄN</t>
        </is>
      </c>
      <c r="E149" t="inlineStr">
        <is>
          <t>HALMSTAD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52913-2023</t>
        </is>
      </c>
      <c r="B150" s="1" t="n">
        <v>45226</v>
      </c>
      <c r="C150" s="1" t="n">
        <v>46203</v>
      </c>
      <c r="D150" t="inlineStr">
        <is>
          <t>HALLANDS LÄN</t>
        </is>
      </c>
      <c r="E150" t="inlineStr">
        <is>
          <t>HALMSTAD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4815-2023</t>
        </is>
      </c>
      <c r="B151" s="1" t="n">
        <v>44952</v>
      </c>
      <c r="C151" s="1" t="n">
        <v>46203</v>
      </c>
      <c r="D151" t="inlineStr">
        <is>
          <t>HALLANDS LÄN</t>
        </is>
      </c>
      <c r="E151" t="inlineStr">
        <is>
          <t>HALMSTAD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24265-2025</t>
        </is>
      </c>
      <c r="B152" s="1" t="n">
        <v>45797</v>
      </c>
      <c r="C152" s="1" t="n">
        <v>46203</v>
      </c>
      <c r="D152" t="inlineStr">
        <is>
          <t>HALLANDS LÄN</t>
        </is>
      </c>
      <c r="E152" t="inlineStr">
        <is>
          <t>HALMSTAD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55050-2025</t>
        </is>
      </c>
      <c r="B153" s="1" t="n">
        <v>45967</v>
      </c>
      <c r="C153" s="1" t="n">
        <v>46203</v>
      </c>
      <c r="D153" t="inlineStr">
        <is>
          <t>HALLANDS LÄN</t>
        </is>
      </c>
      <c r="E153" t="inlineStr">
        <is>
          <t>HALMSTAD</t>
        </is>
      </c>
      <c r="F153" t="inlineStr">
        <is>
          <t>Kyrkan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44467-2025</t>
        </is>
      </c>
      <c r="B154" s="1" t="n">
        <v>45916</v>
      </c>
      <c r="C154" s="1" t="n">
        <v>46203</v>
      </c>
      <c r="D154" t="inlineStr">
        <is>
          <t>HALLANDS LÄN</t>
        </is>
      </c>
      <c r="E154" t="inlineStr">
        <is>
          <t>HALMSTAD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5191-2024</t>
        </is>
      </c>
      <c r="B155" s="1" t="n">
        <v>45330</v>
      </c>
      <c r="C155" s="1" t="n">
        <v>46203</v>
      </c>
      <c r="D155" t="inlineStr">
        <is>
          <t>HALLANDS LÄN</t>
        </is>
      </c>
      <c r="E155" t="inlineStr">
        <is>
          <t>HALMSTAD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61853-2023</t>
        </is>
      </c>
      <c r="B156" s="1" t="n">
        <v>45265</v>
      </c>
      <c r="C156" s="1" t="n">
        <v>46203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44541-2025</t>
        </is>
      </c>
      <c r="B157" s="1" t="n">
        <v>45917</v>
      </c>
      <c r="C157" s="1" t="n">
        <v>46203</v>
      </c>
      <c r="D157" t="inlineStr">
        <is>
          <t>HALLANDS LÄN</t>
        </is>
      </c>
      <c r="E157" t="inlineStr">
        <is>
          <t>HALMSTAD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44543-2025</t>
        </is>
      </c>
      <c r="B158" s="1" t="n">
        <v>45917</v>
      </c>
      <c r="C158" s="1" t="n">
        <v>46203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13224-2025</t>
        </is>
      </c>
      <c r="B159" s="1" t="n">
        <v>45735</v>
      </c>
      <c r="C159" s="1" t="n">
        <v>46203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9546-2024</t>
        </is>
      </c>
      <c r="B160" s="1" t="n">
        <v>45359</v>
      </c>
      <c r="C160" s="1" t="n">
        <v>46203</v>
      </c>
      <c r="D160" t="inlineStr">
        <is>
          <t>HALLANDS LÄN</t>
        </is>
      </c>
      <c r="E160" t="inlineStr">
        <is>
          <t>HALMSTAD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9813-2025</t>
        </is>
      </c>
      <c r="B161" s="1" t="n">
        <v>45715</v>
      </c>
      <c r="C161" s="1" t="n">
        <v>46203</v>
      </c>
      <c r="D161" t="inlineStr">
        <is>
          <t>HALLANDS LÄN</t>
        </is>
      </c>
      <c r="E161" t="inlineStr">
        <is>
          <t>HALMSTAD</t>
        </is>
      </c>
      <c r="F161" t="inlineStr">
        <is>
          <t>Övriga statliga verk och myndigheter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57556-2025</t>
        </is>
      </c>
      <c r="B162" s="1" t="n">
        <v>45980</v>
      </c>
      <c r="C162" s="1" t="n">
        <v>46203</v>
      </c>
      <c r="D162" t="inlineStr">
        <is>
          <t>HALLANDS LÄN</t>
        </is>
      </c>
      <c r="E162" t="inlineStr">
        <is>
          <t>HALMSTAD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45988-2025</t>
        </is>
      </c>
      <c r="B163" s="1" t="n">
        <v>45924</v>
      </c>
      <c r="C163" s="1" t="n">
        <v>46203</v>
      </c>
      <c r="D163" t="inlineStr">
        <is>
          <t>HALLANDS LÄN</t>
        </is>
      </c>
      <c r="E163" t="inlineStr">
        <is>
          <t>HALMSTAD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45863-2025</t>
        </is>
      </c>
      <c r="B164" s="1" t="n">
        <v>45923</v>
      </c>
      <c r="C164" s="1" t="n">
        <v>46203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46594-2025</t>
        </is>
      </c>
      <c r="B165" s="1" t="n">
        <v>45926</v>
      </c>
      <c r="C165" s="1" t="n">
        <v>46203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46506-2025</t>
        </is>
      </c>
      <c r="B166" s="1" t="n">
        <v>45925</v>
      </c>
      <c r="C166" s="1" t="n">
        <v>46203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27848-2025</t>
        </is>
      </c>
      <c r="B167" s="1" t="n">
        <v>45817</v>
      </c>
      <c r="C167" s="1" t="n">
        <v>46203</v>
      </c>
      <c r="D167" t="inlineStr">
        <is>
          <t>HALLANDS LÄN</t>
        </is>
      </c>
      <c r="E167" t="inlineStr">
        <is>
          <t>HALMSTAD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57922-2025</t>
        </is>
      </c>
      <c r="B168" s="1" t="n">
        <v>45981</v>
      </c>
      <c r="C168" s="1" t="n">
        <v>46203</v>
      </c>
      <c r="D168" t="inlineStr">
        <is>
          <t>HALLANDS LÄN</t>
        </is>
      </c>
      <c r="E168" t="inlineStr">
        <is>
          <t>HALMSTAD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60234-2024</t>
        </is>
      </c>
      <c r="B169" s="1" t="n">
        <v>45642</v>
      </c>
      <c r="C169" s="1" t="n">
        <v>46203</v>
      </c>
      <c r="D169" t="inlineStr">
        <is>
          <t>HALLANDS LÄN</t>
        </is>
      </c>
      <c r="E169" t="inlineStr">
        <is>
          <t>HALMSTAD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2821-2025</t>
        </is>
      </c>
      <c r="B170" s="1" t="n">
        <v>45677</v>
      </c>
      <c r="C170" s="1" t="n">
        <v>46203</v>
      </c>
      <c r="D170" t="inlineStr">
        <is>
          <t>HALLANDS LÄN</t>
        </is>
      </c>
      <c r="E170" t="inlineStr">
        <is>
          <t>HALMSTAD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59070-2025</t>
        </is>
      </c>
      <c r="B171" s="1" t="n">
        <v>45988</v>
      </c>
      <c r="C171" s="1" t="n">
        <v>46203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29316-2025</t>
        </is>
      </c>
      <c r="B172" s="1" t="n">
        <v>45824</v>
      </c>
      <c r="C172" s="1" t="n">
        <v>46203</v>
      </c>
      <c r="D172" t="inlineStr">
        <is>
          <t>HALLANDS LÄN</t>
        </is>
      </c>
      <c r="E172" t="inlineStr">
        <is>
          <t>HALMSTAD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59061-2025</t>
        </is>
      </c>
      <c r="B173" s="1" t="n">
        <v>45988</v>
      </c>
      <c r="C173" s="1" t="n">
        <v>46203</v>
      </c>
      <c r="D173" t="inlineStr">
        <is>
          <t>HALLANDS LÄN</t>
        </is>
      </c>
      <c r="E173" t="inlineStr">
        <is>
          <t>HALMSTAD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38174-2022</t>
        </is>
      </c>
      <c r="B174" s="1" t="n">
        <v>44802</v>
      </c>
      <c r="C174" s="1" t="n">
        <v>46203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52209-2025</t>
        </is>
      </c>
      <c r="B175" s="1" t="n">
        <v>45952</v>
      </c>
      <c r="C175" s="1" t="n">
        <v>46203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T175">
        <f>HYPERLINK("https://klasma.github.io/Logging_1380/kartor/A 52209-2025 karta.png", "A 52209-2025")</f>
        <v/>
      </c>
      <c r="V175">
        <f>HYPERLINK("https://klasma.github.io/Logging_1380/klagomål/A 52209-2025 FSC-klagomål.docx", "A 52209-2025")</f>
        <v/>
      </c>
      <c r="W175">
        <f>HYPERLINK("https://klasma.github.io/Logging_1380/klagomålsmail/A 52209-2025 FSC-klagomål mail.docx", "A 52209-2025")</f>
        <v/>
      </c>
      <c r="X175">
        <f>HYPERLINK("https://klasma.github.io/Logging_1380/tillsyn/A 52209-2025 tillsynsbegäran.docx", "A 52209-2025")</f>
        <v/>
      </c>
      <c r="Y175">
        <f>HYPERLINK("https://klasma.github.io/Logging_1380/tillsynsmail/A 52209-2025 tillsynsbegäran mail.docx", "A 52209-2025")</f>
        <v/>
      </c>
    </row>
    <row r="176" ht="15" customHeight="1">
      <c r="A176" t="inlineStr">
        <is>
          <t>A 35384-2024</t>
        </is>
      </c>
      <c r="B176" s="1" t="n">
        <v>45531</v>
      </c>
      <c r="C176" s="1" t="n">
        <v>46203</v>
      </c>
      <c r="D176" t="inlineStr">
        <is>
          <t>HALLANDS LÄN</t>
        </is>
      </c>
      <c r="E176" t="inlineStr">
        <is>
          <t>HALMSTAD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30740-2025</t>
        </is>
      </c>
      <c r="B177" s="1" t="n">
        <v>45831</v>
      </c>
      <c r="C177" s="1" t="n">
        <v>46203</v>
      </c>
      <c r="D177" t="inlineStr">
        <is>
          <t>HALLANDS LÄN</t>
        </is>
      </c>
      <c r="E177" t="inlineStr">
        <is>
          <t>HALMSTAD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31103-2025</t>
        </is>
      </c>
      <c r="B178" s="1" t="n">
        <v>45831</v>
      </c>
      <c r="C178" s="1" t="n">
        <v>46203</v>
      </c>
      <c r="D178" t="inlineStr">
        <is>
          <t>HALLANDS LÄN</t>
        </is>
      </c>
      <c r="E178" t="inlineStr">
        <is>
          <t>HALMSTAD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31109-2025</t>
        </is>
      </c>
      <c r="B179" s="1" t="n">
        <v>45831</v>
      </c>
      <c r="C179" s="1" t="n">
        <v>46203</v>
      </c>
      <c r="D179" t="inlineStr">
        <is>
          <t>HALLANDS LÄN</t>
        </is>
      </c>
      <c r="E179" t="inlineStr">
        <is>
          <t>HALMSTAD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31151-2025</t>
        </is>
      </c>
      <c r="B180" s="1" t="n">
        <v>45831</v>
      </c>
      <c r="C180" s="1" t="n">
        <v>46203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31112-2025</t>
        </is>
      </c>
      <c r="B181" s="1" t="n">
        <v>45831</v>
      </c>
      <c r="C181" s="1" t="n">
        <v>46203</v>
      </c>
      <c r="D181" t="inlineStr">
        <is>
          <t>HALLANDS LÄN</t>
        </is>
      </c>
      <c r="E181" t="inlineStr">
        <is>
          <t>HALMSTAD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60200-2025</t>
        </is>
      </c>
      <c r="B182" s="1" t="n">
        <v>45994</v>
      </c>
      <c r="C182" s="1" t="n">
        <v>46203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1646-2024</t>
        </is>
      </c>
      <c r="B183" s="1" t="n">
        <v>45306</v>
      </c>
      <c r="C183" s="1" t="n">
        <v>46203</v>
      </c>
      <c r="D183" t="inlineStr">
        <is>
          <t>HALLANDS LÄN</t>
        </is>
      </c>
      <c r="E183" t="inlineStr">
        <is>
          <t>HALMSTAD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41778-2024</t>
        </is>
      </c>
      <c r="B184" s="1" t="n">
        <v>45561</v>
      </c>
      <c r="C184" s="1" t="n">
        <v>46203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36714-2024</t>
        </is>
      </c>
      <c r="B185" s="1" t="n">
        <v>45537</v>
      </c>
      <c r="C185" s="1" t="n">
        <v>46203</v>
      </c>
      <c r="D185" t="inlineStr">
        <is>
          <t>HALLANDS LÄN</t>
        </is>
      </c>
      <c r="E185" t="inlineStr">
        <is>
          <t>HALMSTAD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236-2026</t>
        </is>
      </c>
      <c r="B186" s="1" t="n">
        <v>46027</v>
      </c>
      <c r="C186" s="1" t="n">
        <v>46203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55006-2022</t>
        </is>
      </c>
      <c r="B187" s="1" t="n">
        <v>44886</v>
      </c>
      <c r="C187" s="1" t="n">
        <v>46203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62268-2025</t>
        </is>
      </c>
      <c r="B188" s="1" t="n">
        <v>46006</v>
      </c>
      <c r="C188" s="1" t="n">
        <v>46203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33688-2025</t>
        </is>
      </c>
      <c r="B189" s="1" t="n">
        <v>45841</v>
      </c>
      <c r="C189" s="1" t="n">
        <v>46203</v>
      </c>
      <c r="D189" t="inlineStr">
        <is>
          <t>HALLANDS LÄN</t>
        </is>
      </c>
      <c r="E189" t="inlineStr">
        <is>
          <t>HALMSTAD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62662-2025</t>
        </is>
      </c>
      <c r="B190" s="1" t="n">
        <v>46008</v>
      </c>
      <c r="C190" s="1" t="n">
        <v>46203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62812-2025</t>
        </is>
      </c>
      <c r="B191" s="1" t="n">
        <v>46008</v>
      </c>
      <c r="C191" s="1" t="n">
        <v>46203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33686-2025</t>
        </is>
      </c>
      <c r="B192" s="1" t="n">
        <v>45841</v>
      </c>
      <c r="C192" s="1" t="n">
        <v>46203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62583-2025</t>
        </is>
      </c>
      <c r="B193" s="1" t="n">
        <v>46007</v>
      </c>
      <c r="C193" s="1" t="n">
        <v>46203</v>
      </c>
      <c r="D193" t="inlineStr">
        <is>
          <t>HALLANDS LÄN</t>
        </is>
      </c>
      <c r="E193" t="inlineStr">
        <is>
          <t>HALMSTAD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40702-2023</t>
        </is>
      </c>
      <c r="B194" s="1" t="n">
        <v>45168</v>
      </c>
      <c r="C194" s="1" t="n">
        <v>46203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34364-2025</t>
        </is>
      </c>
      <c r="B195" s="1" t="n">
        <v>45846</v>
      </c>
      <c r="C195" s="1" t="n">
        <v>46203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28029-2024</t>
        </is>
      </c>
      <c r="B196" s="1" t="n">
        <v>45476</v>
      </c>
      <c r="C196" s="1" t="n">
        <v>46203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28031-2024</t>
        </is>
      </c>
      <c r="B197" s="1" t="n">
        <v>45476</v>
      </c>
      <c r="C197" s="1" t="n">
        <v>46203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23785-2025</t>
        </is>
      </c>
      <c r="B198" s="1" t="n">
        <v>45793</v>
      </c>
      <c r="C198" s="1" t="n">
        <v>46203</v>
      </c>
      <c r="D198" t="inlineStr">
        <is>
          <t>HALLANDS LÄN</t>
        </is>
      </c>
      <c r="E198" t="inlineStr">
        <is>
          <t>HALMSTAD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63524-2025</t>
        </is>
      </c>
      <c r="B199" s="1" t="n">
        <v>46013</v>
      </c>
      <c r="C199" s="1" t="n">
        <v>46203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8211-2025</t>
        </is>
      </c>
      <c r="B200" s="1" t="n">
        <v>45708</v>
      </c>
      <c r="C200" s="1" t="n">
        <v>46203</v>
      </c>
      <c r="D200" t="inlineStr">
        <is>
          <t>HALLANDS LÄN</t>
        </is>
      </c>
      <c r="E200" t="inlineStr">
        <is>
          <t>HALMSTAD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29818-2024</t>
        </is>
      </c>
      <c r="B201" s="1" t="n">
        <v>45485</v>
      </c>
      <c r="C201" s="1" t="n">
        <v>46203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3764-2025</t>
        </is>
      </c>
      <c r="B202" s="1" t="n">
        <v>45681</v>
      </c>
      <c r="C202" s="1" t="n">
        <v>46203</v>
      </c>
      <c r="D202" t="inlineStr">
        <is>
          <t>HALLANDS LÄN</t>
        </is>
      </c>
      <c r="E202" t="inlineStr">
        <is>
          <t>HALMSTAD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29996-2024</t>
        </is>
      </c>
      <c r="B203" s="1" t="n">
        <v>45488</v>
      </c>
      <c r="C203" s="1" t="n">
        <v>46203</v>
      </c>
      <c r="D203" t="inlineStr">
        <is>
          <t>HALLANDS LÄN</t>
        </is>
      </c>
      <c r="E203" t="inlineStr">
        <is>
          <t>HALMSTAD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70720-2021</t>
        </is>
      </c>
      <c r="B204" s="1" t="n">
        <v>44537</v>
      </c>
      <c r="C204" s="1" t="n">
        <v>46203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35362-2025</t>
        </is>
      </c>
      <c r="B205" s="1" t="n">
        <v>45854</v>
      </c>
      <c r="C205" s="1" t="n">
        <v>46203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35515-2025</t>
        </is>
      </c>
      <c r="B206" s="1" t="n">
        <v>45856</v>
      </c>
      <c r="C206" s="1" t="n">
        <v>46203</v>
      </c>
      <c r="D206" t="inlineStr">
        <is>
          <t>HALLANDS LÄN</t>
        </is>
      </c>
      <c r="E206" t="inlineStr">
        <is>
          <t>HALMSTAD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16198-2025</t>
        </is>
      </c>
      <c r="B207" s="1" t="n">
        <v>45750</v>
      </c>
      <c r="C207" s="1" t="n">
        <v>46203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54869-2022</t>
        </is>
      </c>
      <c r="B208" s="1" t="n">
        <v>44885</v>
      </c>
      <c r="C208" s="1" t="n">
        <v>46203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14521-2025</t>
        </is>
      </c>
      <c r="B209" s="1" t="n">
        <v>45741</v>
      </c>
      <c r="C209" s="1" t="n">
        <v>46203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41186-2024</t>
        </is>
      </c>
      <c r="B210" s="1" t="n">
        <v>45559</v>
      </c>
      <c r="C210" s="1" t="n">
        <v>46203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55963-2025</t>
        </is>
      </c>
      <c r="B211" s="1" t="n">
        <v>45973</v>
      </c>
      <c r="C211" s="1" t="n">
        <v>46203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55961-2025</t>
        </is>
      </c>
      <c r="B212" s="1" t="n">
        <v>45973</v>
      </c>
      <c r="C212" s="1" t="n">
        <v>46203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30599-2024</t>
        </is>
      </c>
      <c r="B213" s="1" t="n">
        <v>45493</v>
      </c>
      <c r="C213" s="1" t="n">
        <v>46203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41777-2024</t>
        </is>
      </c>
      <c r="B214" s="1" t="n">
        <v>45561</v>
      </c>
      <c r="C214" s="1" t="n">
        <v>46203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1903-2026</t>
        </is>
      </c>
      <c r="B215" s="1" t="n">
        <v>46031</v>
      </c>
      <c r="C215" s="1" t="n">
        <v>46203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1778-2026</t>
        </is>
      </c>
      <c r="B216" s="1" t="n">
        <v>46034</v>
      </c>
      <c r="C216" s="1" t="n">
        <v>46203</v>
      </c>
      <c r="D216" t="inlineStr">
        <is>
          <t>HALLANDS LÄN</t>
        </is>
      </c>
      <c r="E216" t="inlineStr">
        <is>
          <t>HALMSTAD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1780-2026</t>
        </is>
      </c>
      <c r="B217" s="1" t="n">
        <v>46034</v>
      </c>
      <c r="C217" s="1" t="n">
        <v>46203</v>
      </c>
      <c r="D217" t="inlineStr">
        <is>
          <t>HALLANDS LÄN</t>
        </is>
      </c>
      <c r="E217" t="inlineStr">
        <is>
          <t>HALMSTAD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61775-2022</t>
        </is>
      </c>
      <c r="B218" s="1" t="n">
        <v>44917</v>
      </c>
      <c r="C218" s="1" t="n">
        <v>46203</v>
      </c>
      <c r="D218" t="inlineStr">
        <is>
          <t>HALLANDS LÄN</t>
        </is>
      </c>
      <c r="E218" t="inlineStr">
        <is>
          <t>HALMSTAD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61783-2022</t>
        </is>
      </c>
      <c r="B219" s="1" t="n">
        <v>44917</v>
      </c>
      <c r="C219" s="1" t="n">
        <v>46203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28069-2023</t>
        </is>
      </c>
      <c r="B220" s="1" t="n">
        <v>45099</v>
      </c>
      <c r="C220" s="1" t="n">
        <v>46203</v>
      </c>
      <c r="D220" t="inlineStr">
        <is>
          <t>HALLANDS LÄN</t>
        </is>
      </c>
      <c r="E220" t="inlineStr">
        <is>
          <t>HALMSTAD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1299-2026</t>
        </is>
      </c>
      <c r="B221" s="1" t="n">
        <v>46031</v>
      </c>
      <c r="C221" s="1" t="n">
        <v>46203</v>
      </c>
      <c r="D221" t="inlineStr">
        <is>
          <t>HALLANDS LÄN</t>
        </is>
      </c>
      <c r="E221" t="inlineStr">
        <is>
          <t>HALMSTAD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12762-2023</t>
        </is>
      </c>
      <c r="B222" s="1" t="n">
        <v>45001</v>
      </c>
      <c r="C222" s="1" t="n">
        <v>46203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24266-2025</t>
        </is>
      </c>
      <c r="B223" s="1" t="n">
        <v>45797</v>
      </c>
      <c r="C223" s="1" t="n">
        <v>46203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39274-2022</t>
        </is>
      </c>
      <c r="B224" s="1" t="n">
        <v>44817</v>
      </c>
      <c r="C224" s="1" t="n">
        <v>46203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53109-2024</t>
        </is>
      </c>
      <c r="B225" s="1" t="n">
        <v>45611</v>
      </c>
      <c r="C225" s="1" t="n">
        <v>46203</v>
      </c>
      <c r="D225" t="inlineStr">
        <is>
          <t>HALLANDS LÄN</t>
        </is>
      </c>
      <c r="E225" t="inlineStr">
        <is>
          <t>HALMSTAD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13538-2025</t>
        </is>
      </c>
      <c r="B226" s="1" t="n">
        <v>45736</v>
      </c>
      <c r="C226" s="1" t="n">
        <v>46203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5239-2025</t>
        </is>
      </c>
      <c r="B227" s="1" t="n">
        <v>45692</v>
      </c>
      <c r="C227" s="1" t="n">
        <v>46203</v>
      </c>
      <c r="D227" t="inlineStr">
        <is>
          <t>HALLANDS LÄN</t>
        </is>
      </c>
      <c r="E227" t="inlineStr">
        <is>
          <t>HALMSTAD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53539-2022</t>
        </is>
      </c>
      <c r="B228" s="1" t="n">
        <v>44879</v>
      </c>
      <c r="C228" s="1" t="n">
        <v>46203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53550-2022</t>
        </is>
      </c>
      <c r="B229" s="1" t="n">
        <v>44879</v>
      </c>
      <c r="C229" s="1" t="n">
        <v>46203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61778-2022</t>
        </is>
      </c>
      <c r="B230" s="1" t="n">
        <v>44917</v>
      </c>
      <c r="C230" s="1" t="n">
        <v>46203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21869-2023</t>
        </is>
      </c>
      <c r="B231" s="1" t="n">
        <v>45068</v>
      </c>
      <c r="C231" s="1" t="n">
        <v>46203</v>
      </c>
      <c r="D231" t="inlineStr">
        <is>
          <t>HALLANDS LÄN</t>
        </is>
      </c>
      <c r="E231" t="inlineStr">
        <is>
          <t>HALMSTAD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37748-2023</t>
        </is>
      </c>
      <c r="B232" s="1" t="n">
        <v>45159</v>
      </c>
      <c r="C232" s="1" t="n">
        <v>46203</v>
      </c>
      <c r="D232" t="inlineStr">
        <is>
          <t>HALLANDS LÄN</t>
        </is>
      </c>
      <c r="E232" t="inlineStr">
        <is>
          <t>HALMSTAD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20414-2022</t>
        </is>
      </c>
      <c r="B233" s="1" t="n">
        <v>44699</v>
      </c>
      <c r="C233" s="1" t="n">
        <v>46203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2647-2022</t>
        </is>
      </c>
      <c r="B234" s="1" t="n">
        <v>44580</v>
      </c>
      <c r="C234" s="1" t="n">
        <v>46203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60442-2024</t>
        </is>
      </c>
      <c r="B235" s="1" t="n">
        <v>45642</v>
      </c>
      <c r="C235" s="1" t="n">
        <v>46203</v>
      </c>
      <c r="D235" t="inlineStr">
        <is>
          <t>HALLANDS LÄN</t>
        </is>
      </c>
      <c r="E235" t="inlineStr">
        <is>
          <t>HALMSTAD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588-2024</t>
        </is>
      </c>
      <c r="B236" s="1" t="n">
        <v>45299</v>
      </c>
      <c r="C236" s="1" t="n">
        <v>46203</v>
      </c>
      <c r="D236" t="inlineStr">
        <is>
          <t>HALLANDS LÄN</t>
        </is>
      </c>
      <c r="E236" t="inlineStr">
        <is>
          <t>HALMSTAD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2438-2024</t>
        </is>
      </c>
      <c r="B237" s="1" t="n">
        <v>45311</v>
      </c>
      <c r="C237" s="1" t="n">
        <v>46203</v>
      </c>
      <c r="D237" t="inlineStr">
        <is>
          <t>HALLANDS LÄN</t>
        </is>
      </c>
      <c r="E237" t="inlineStr">
        <is>
          <t>HALMSTAD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10061-2022</t>
        </is>
      </c>
      <c r="B238" s="1" t="n">
        <v>44621</v>
      </c>
      <c r="C238" s="1" t="n">
        <v>46203</v>
      </c>
      <c r="D238" t="inlineStr">
        <is>
          <t>HALLANDS LÄN</t>
        </is>
      </c>
      <c r="E238" t="inlineStr">
        <is>
          <t>HALMSTAD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12717-2023</t>
        </is>
      </c>
      <c r="B239" s="1" t="n">
        <v>45000</v>
      </c>
      <c r="C239" s="1" t="n">
        <v>46203</v>
      </c>
      <c r="D239" t="inlineStr">
        <is>
          <t>HALLANDS LÄN</t>
        </is>
      </c>
      <c r="E239" t="inlineStr">
        <is>
          <t>HALMSTAD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13532-2023</t>
        </is>
      </c>
      <c r="B240" s="1" t="n">
        <v>45006</v>
      </c>
      <c r="C240" s="1" t="n">
        <v>46203</v>
      </c>
      <c r="D240" t="inlineStr">
        <is>
          <t>HALLANDS LÄN</t>
        </is>
      </c>
      <c r="E240" t="inlineStr">
        <is>
          <t>HALMSTAD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53126-2023</t>
        </is>
      </c>
      <c r="B241" s="1" t="n">
        <v>45229</v>
      </c>
      <c r="C241" s="1" t="n">
        <v>46203</v>
      </c>
      <c r="D241" t="inlineStr">
        <is>
          <t>HALLANDS LÄN</t>
        </is>
      </c>
      <c r="E241" t="inlineStr">
        <is>
          <t>HALMSTAD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61835-2023</t>
        </is>
      </c>
      <c r="B242" s="1" t="n">
        <v>45266</v>
      </c>
      <c r="C242" s="1" t="n">
        <v>46203</v>
      </c>
      <c r="D242" t="inlineStr">
        <is>
          <t>HALLANDS LÄN</t>
        </is>
      </c>
      <c r="E242" t="inlineStr">
        <is>
          <t>HALMSTAD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63823-2023</t>
        </is>
      </c>
      <c r="B243" s="1" t="n">
        <v>45278</v>
      </c>
      <c r="C243" s="1" t="n">
        <v>46203</v>
      </c>
      <c r="D243" t="inlineStr">
        <is>
          <t>HALLANDS LÄN</t>
        </is>
      </c>
      <c r="E243" t="inlineStr">
        <is>
          <t>HALMSTAD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9092-2024</t>
        </is>
      </c>
      <c r="B244" s="1" t="n">
        <v>45357</v>
      </c>
      <c r="C244" s="1" t="n">
        <v>46203</v>
      </c>
      <c r="D244" t="inlineStr">
        <is>
          <t>HALLANDS LÄN</t>
        </is>
      </c>
      <c r="E244" t="inlineStr">
        <is>
          <t>HALMSTAD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46295-2024</t>
        </is>
      </c>
      <c r="B245" s="1" t="n">
        <v>45581</v>
      </c>
      <c r="C245" s="1" t="n">
        <v>46203</v>
      </c>
      <c r="D245" t="inlineStr">
        <is>
          <t>HALLANDS LÄN</t>
        </is>
      </c>
      <c r="E245" t="inlineStr">
        <is>
          <t>HALMSTAD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45836-2024</t>
        </is>
      </c>
      <c r="B246" s="1" t="n">
        <v>45579</v>
      </c>
      <c r="C246" s="1" t="n">
        <v>46203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24087-2023</t>
        </is>
      </c>
      <c r="B247" s="1" t="n">
        <v>45079</v>
      </c>
      <c r="C247" s="1" t="n">
        <v>46203</v>
      </c>
      <c r="D247" t="inlineStr">
        <is>
          <t>HALLANDS LÄN</t>
        </is>
      </c>
      <c r="E247" t="inlineStr">
        <is>
          <t>HALMSTAD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16268-2025</t>
        </is>
      </c>
      <c r="B248" s="1" t="n">
        <v>45750</v>
      </c>
      <c r="C248" s="1" t="n">
        <v>46203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36980-2025</t>
        </is>
      </c>
      <c r="B249" s="1" t="n">
        <v>45874</v>
      </c>
      <c r="C249" s="1" t="n">
        <v>46203</v>
      </c>
      <c r="D249" t="inlineStr">
        <is>
          <t>HALLANDS LÄN</t>
        </is>
      </c>
      <c r="E249" t="inlineStr">
        <is>
          <t>HALMSTAD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46316-2024</t>
        </is>
      </c>
      <c r="B250" s="1" t="n">
        <v>45581</v>
      </c>
      <c r="C250" s="1" t="n">
        <v>46203</v>
      </c>
      <c r="D250" t="inlineStr">
        <is>
          <t>HALLANDS LÄN</t>
        </is>
      </c>
      <c r="E250" t="inlineStr">
        <is>
          <t>HALMSTAD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37136-2025</t>
        </is>
      </c>
      <c r="B251" s="1" t="n">
        <v>45874</v>
      </c>
      <c r="C251" s="1" t="n">
        <v>46203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37138-2025</t>
        </is>
      </c>
      <c r="B252" s="1" t="n">
        <v>45874</v>
      </c>
      <c r="C252" s="1" t="n">
        <v>46203</v>
      </c>
      <c r="D252" t="inlineStr">
        <is>
          <t>HALLANDS LÄN</t>
        </is>
      </c>
      <c r="E252" t="inlineStr">
        <is>
          <t>HALMSTAD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61779-2022</t>
        </is>
      </c>
      <c r="B253" s="1" t="n">
        <v>44917</v>
      </c>
      <c r="C253" s="1" t="n">
        <v>46203</v>
      </c>
      <c r="D253" t="inlineStr">
        <is>
          <t>HALLANDS LÄN</t>
        </is>
      </c>
      <c r="E253" t="inlineStr">
        <is>
          <t>HALMSTAD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40846-2023</t>
        </is>
      </c>
      <c r="B254" s="1" t="n">
        <v>45172</v>
      </c>
      <c r="C254" s="1" t="n">
        <v>46203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24375-2023</t>
        </is>
      </c>
      <c r="B255" s="1" t="n">
        <v>45082</v>
      </c>
      <c r="C255" s="1" t="n">
        <v>46203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37270-2025</t>
        </is>
      </c>
      <c r="B256" s="1" t="n">
        <v>45876</v>
      </c>
      <c r="C256" s="1" t="n">
        <v>46203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45586-2023</t>
        </is>
      </c>
      <c r="B257" s="1" t="n">
        <v>45194</v>
      </c>
      <c r="C257" s="1" t="n">
        <v>46203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37745-2025</t>
        </is>
      </c>
      <c r="B258" s="1" t="n">
        <v>45880</v>
      </c>
      <c r="C258" s="1" t="n">
        <v>46203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6397-2025</t>
        </is>
      </c>
      <c r="B259" s="1" t="n">
        <v>45699</v>
      </c>
      <c r="C259" s="1" t="n">
        <v>46203</v>
      </c>
      <c r="D259" t="inlineStr">
        <is>
          <t>HALLANDS LÄN</t>
        </is>
      </c>
      <c r="E259" t="inlineStr">
        <is>
          <t>HALMSTAD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893-2022</t>
        </is>
      </c>
      <c r="B260" s="1" t="n">
        <v>44571</v>
      </c>
      <c r="C260" s="1" t="n">
        <v>46203</v>
      </c>
      <c r="D260" t="inlineStr">
        <is>
          <t>HALLANDS LÄN</t>
        </is>
      </c>
      <c r="E260" t="inlineStr">
        <is>
          <t>HALMSTAD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61757-2022</t>
        </is>
      </c>
      <c r="B261" s="1" t="n">
        <v>44917</v>
      </c>
      <c r="C261" s="1" t="n">
        <v>46203</v>
      </c>
      <c r="D261" t="inlineStr">
        <is>
          <t>HALLANDS LÄN</t>
        </is>
      </c>
      <c r="E261" t="inlineStr">
        <is>
          <t>HALMSTAD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8284-2022</t>
        </is>
      </c>
      <c r="B262" s="1" t="n">
        <v>44610</v>
      </c>
      <c r="C262" s="1" t="n">
        <v>46203</v>
      </c>
      <c r="D262" t="inlineStr">
        <is>
          <t>HALLANDS LÄN</t>
        </is>
      </c>
      <c r="E262" t="inlineStr">
        <is>
          <t>HALMSTAD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5273-2026</t>
        </is>
      </c>
      <c r="B263" s="1" t="n">
        <v>46050</v>
      </c>
      <c r="C263" s="1" t="n">
        <v>46203</v>
      </c>
      <c r="D263" t="inlineStr">
        <is>
          <t>HALLANDS LÄN</t>
        </is>
      </c>
      <c r="E263" t="inlineStr">
        <is>
          <t>HALMSTAD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1755-2023</t>
        </is>
      </c>
      <c r="B264" s="1" t="n">
        <v>44938</v>
      </c>
      <c r="C264" s="1" t="n">
        <v>46203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5433-2026</t>
        </is>
      </c>
      <c r="B265" s="1" t="n">
        <v>46050</v>
      </c>
      <c r="C265" s="1" t="n">
        <v>46203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38467-2025</t>
        </is>
      </c>
      <c r="B266" s="1" t="n">
        <v>45883</v>
      </c>
      <c r="C266" s="1" t="n">
        <v>46203</v>
      </c>
      <c r="D266" t="inlineStr">
        <is>
          <t>HALLANDS LÄN</t>
        </is>
      </c>
      <c r="E266" t="inlineStr">
        <is>
          <t>HALMSTAD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5773-2026</t>
        </is>
      </c>
      <c r="B267" s="1" t="n">
        <v>46051</v>
      </c>
      <c r="C267" s="1" t="n">
        <v>46203</v>
      </c>
      <c r="D267" t="inlineStr">
        <is>
          <t>HALLANDS LÄN</t>
        </is>
      </c>
      <c r="E267" t="inlineStr">
        <is>
          <t>HALMSTAD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22070-2022</t>
        </is>
      </c>
      <c r="B268" s="1" t="n">
        <v>44711</v>
      </c>
      <c r="C268" s="1" t="n">
        <v>46203</v>
      </c>
      <c r="D268" t="inlineStr">
        <is>
          <t>HALLANDS LÄN</t>
        </is>
      </c>
      <c r="E268" t="inlineStr">
        <is>
          <t>HALMSTAD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6990-2026</t>
        </is>
      </c>
      <c r="B269" s="1" t="n">
        <v>46057</v>
      </c>
      <c r="C269" s="1" t="n">
        <v>46203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6766-2026</t>
        </is>
      </c>
      <c r="B270" s="1" t="n">
        <v>46057</v>
      </c>
      <c r="C270" s="1" t="n">
        <v>46203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6768-2026</t>
        </is>
      </c>
      <c r="B271" s="1" t="n">
        <v>46057</v>
      </c>
      <c r="C271" s="1" t="n">
        <v>46203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6983-2026</t>
        </is>
      </c>
      <c r="B272" s="1" t="n">
        <v>46057</v>
      </c>
      <c r="C272" s="1" t="n">
        <v>46203</v>
      </c>
      <c r="D272" t="inlineStr">
        <is>
          <t>HALLANDS LÄN</t>
        </is>
      </c>
      <c r="E272" t="inlineStr">
        <is>
          <t>HALMSTAD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7705-2026</t>
        </is>
      </c>
      <c r="B273" s="1" t="n">
        <v>46062</v>
      </c>
      <c r="C273" s="1" t="n">
        <v>46203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7542-2026</t>
        </is>
      </c>
      <c r="B274" s="1" t="n">
        <v>46059</v>
      </c>
      <c r="C274" s="1" t="n">
        <v>46203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7538-2026</t>
        </is>
      </c>
      <c r="B275" s="1" t="n">
        <v>46059</v>
      </c>
      <c r="C275" s="1" t="n">
        <v>46203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7428-2026</t>
        </is>
      </c>
      <c r="B276" s="1" t="n">
        <v>46059</v>
      </c>
      <c r="C276" s="1" t="n">
        <v>46203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56011-2023</t>
        </is>
      </c>
      <c r="B277" s="1" t="n">
        <v>45240</v>
      </c>
      <c r="C277" s="1" t="n">
        <v>46203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18598-2022</t>
        </is>
      </c>
      <c r="B278" s="1" t="n">
        <v>44687</v>
      </c>
      <c r="C278" s="1" t="n">
        <v>46203</v>
      </c>
      <c r="D278" t="inlineStr">
        <is>
          <t>HALLANDS LÄN</t>
        </is>
      </c>
      <c r="E278" t="inlineStr">
        <is>
          <t>HALMSTAD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51192-2021</t>
        </is>
      </c>
      <c r="B279" s="1" t="n">
        <v>44461</v>
      </c>
      <c r="C279" s="1" t="n">
        <v>46203</v>
      </c>
      <c r="D279" t="inlineStr">
        <is>
          <t>HALLANDS LÄN</t>
        </is>
      </c>
      <c r="E279" t="inlineStr">
        <is>
          <t>HALMSTAD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8617-2026</t>
        </is>
      </c>
      <c r="B280" s="1" t="n">
        <v>46066</v>
      </c>
      <c r="C280" s="1" t="n">
        <v>46203</v>
      </c>
      <c r="D280" t="inlineStr">
        <is>
          <t>HALLANDS LÄN</t>
        </is>
      </c>
      <c r="E280" t="inlineStr">
        <is>
          <t>HALMSTAD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8616-2026</t>
        </is>
      </c>
      <c r="B281" s="1" t="n">
        <v>46066</v>
      </c>
      <c r="C281" s="1" t="n">
        <v>46203</v>
      </c>
      <c r="D281" t="inlineStr">
        <is>
          <t>HALLANDS LÄN</t>
        </is>
      </c>
      <c r="E281" t="inlineStr">
        <is>
          <t>HALMSTAD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50113-2023</t>
        </is>
      </c>
      <c r="B282" s="1" t="n">
        <v>45215</v>
      </c>
      <c r="C282" s="1" t="n">
        <v>46203</v>
      </c>
      <c r="D282" t="inlineStr">
        <is>
          <t>HALLANDS LÄN</t>
        </is>
      </c>
      <c r="E282" t="inlineStr">
        <is>
          <t>HALMSTAD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8114-2023</t>
        </is>
      </c>
      <c r="B283" s="1" t="n">
        <v>44974</v>
      </c>
      <c r="C283" s="1" t="n">
        <v>46203</v>
      </c>
      <c r="D283" t="inlineStr">
        <is>
          <t>HALLANDS LÄN</t>
        </is>
      </c>
      <c r="E283" t="inlineStr">
        <is>
          <t>HALMSTAD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48015-2024</t>
        </is>
      </c>
      <c r="B284" s="1" t="n">
        <v>45589</v>
      </c>
      <c r="C284" s="1" t="n">
        <v>46203</v>
      </c>
      <c r="D284" t="inlineStr">
        <is>
          <t>HALLANDS LÄN</t>
        </is>
      </c>
      <c r="E284" t="inlineStr">
        <is>
          <t>HALMSTAD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56706-2024</t>
        </is>
      </c>
      <c r="B285" s="1" t="n">
        <v>45627</v>
      </c>
      <c r="C285" s="1" t="n">
        <v>46203</v>
      </c>
      <c r="D285" t="inlineStr">
        <is>
          <t>HALLANDS LÄN</t>
        </is>
      </c>
      <c r="E285" t="inlineStr">
        <is>
          <t>HALMSTAD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12890-2022</t>
        </is>
      </c>
      <c r="B286" s="1" t="n">
        <v>44642</v>
      </c>
      <c r="C286" s="1" t="n">
        <v>46203</v>
      </c>
      <c r="D286" t="inlineStr">
        <is>
          <t>HALLANDS LÄN</t>
        </is>
      </c>
      <c r="E286" t="inlineStr">
        <is>
          <t>HALMSTAD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8142-2023</t>
        </is>
      </c>
      <c r="B287" s="1" t="n">
        <v>44974</v>
      </c>
      <c r="C287" s="1" t="n">
        <v>46203</v>
      </c>
      <c r="D287" t="inlineStr">
        <is>
          <t>HALLANDS LÄN</t>
        </is>
      </c>
      <c r="E287" t="inlineStr">
        <is>
          <t>HALMSTAD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11085-2026</t>
        </is>
      </c>
      <c r="B288" s="1" t="n">
        <v>46079</v>
      </c>
      <c r="C288" s="1" t="n">
        <v>46203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40385-2025</t>
        </is>
      </c>
      <c r="B289" s="1" t="n">
        <v>45895</v>
      </c>
      <c r="C289" s="1" t="n">
        <v>46203</v>
      </c>
      <c r="D289" t="inlineStr">
        <is>
          <t>HALLANDS LÄN</t>
        </is>
      </c>
      <c r="E289" t="inlineStr">
        <is>
          <t>HALMSTAD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55078-2025</t>
        </is>
      </c>
      <c r="B290" s="1" t="n">
        <v>45967</v>
      </c>
      <c r="C290" s="1" t="n">
        <v>46203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25698-2023</t>
        </is>
      </c>
      <c r="B291" s="1" t="n">
        <v>45090</v>
      </c>
      <c r="C291" s="1" t="n">
        <v>46203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7639-2022</t>
        </is>
      </c>
      <c r="B292" s="1" t="n">
        <v>44607</v>
      </c>
      <c r="C292" s="1" t="n">
        <v>46203</v>
      </c>
      <c r="D292" t="inlineStr">
        <is>
          <t>HALLANDS LÄN</t>
        </is>
      </c>
      <c r="E292" t="inlineStr">
        <is>
          <t>HALMSTAD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55966-2025</t>
        </is>
      </c>
      <c r="B293" s="1" t="n">
        <v>45973</v>
      </c>
      <c r="C293" s="1" t="n">
        <v>46203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13594-2023</t>
        </is>
      </c>
      <c r="B294" s="1" t="n">
        <v>45006</v>
      </c>
      <c r="C294" s="1" t="n">
        <v>46203</v>
      </c>
      <c r="D294" t="inlineStr">
        <is>
          <t>HALLANDS LÄN</t>
        </is>
      </c>
      <c r="E294" t="inlineStr">
        <is>
          <t>HALMSTAD</t>
        </is>
      </c>
      <c r="F294" t="inlineStr">
        <is>
          <t>Bergvik skog väst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27365-2022</t>
        </is>
      </c>
      <c r="B295" s="1" t="n">
        <v>44742</v>
      </c>
      <c r="C295" s="1" t="n">
        <v>46203</v>
      </c>
      <c r="D295" t="inlineStr">
        <is>
          <t>HALLANDS LÄN</t>
        </is>
      </c>
      <c r="E295" t="inlineStr">
        <is>
          <t>HALMSTAD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40652-2023</t>
        </is>
      </c>
      <c r="B296" s="1" t="n">
        <v>45168</v>
      </c>
      <c r="C296" s="1" t="n">
        <v>46203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12593-2026</t>
        </is>
      </c>
      <c r="B297" s="1" t="n">
        <v>46090</v>
      </c>
      <c r="C297" s="1" t="n">
        <v>46203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42205-2024</t>
        </is>
      </c>
      <c r="B298" s="1" t="n">
        <v>45562</v>
      </c>
      <c r="C298" s="1" t="n">
        <v>46203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12994-2026</t>
        </is>
      </c>
      <c r="B299" s="1" t="n">
        <v>46092</v>
      </c>
      <c r="C299" s="1" t="n">
        <v>46203</v>
      </c>
      <c r="D299" t="inlineStr">
        <is>
          <t>HALLANDS LÄN</t>
        </is>
      </c>
      <c r="E299" t="inlineStr">
        <is>
          <t>HALMSTAD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50319-2024</t>
        </is>
      </c>
      <c r="B300" s="1" t="n">
        <v>45600</v>
      </c>
      <c r="C300" s="1" t="n">
        <v>46203</v>
      </c>
      <c r="D300" t="inlineStr">
        <is>
          <t>HALLANDS LÄN</t>
        </is>
      </c>
      <c r="E300" t="inlineStr">
        <is>
          <t>HALMSTAD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47904-2024</t>
        </is>
      </c>
      <c r="B301" s="1" t="n">
        <v>45589</v>
      </c>
      <c r="C301" s="1" t="n">
        <v>46203</v>
      </c>
      <c r="D301" t="inlineStr">
        <is>
          <t>HALLANDS LÄN</t>
        </is>
      </c>
      <c r="E301" t="inlineStr">
        <is>
          <t>HALMSTAD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8676-2025</t>
        </is>
      </c>
      <c r="B302" s="1" t="n">
        <v>45712</v>
      </c>
      <c r="C302" s="1" t="n">
        <v>46203</v>
      </c>
      <c r="D302" t="inlineStr">
        <is>
          <t>HALLANDS LÄN</t>
        </is>
      </c>
      <c r="E302" t="inlineStr">
        <is>
          <t>HALMSTAD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63608-2023</t>
        </is>
      </c>
      <c r="B303" s="1" t="n">
        <v>45275</v>
      </c>
      <c r="C303" s="1" t="n">
        <v>46203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60831-2023</t>
        </is>
      </c>
      <c r="B304" s="1" t="n">
        <v>45260</v>
      </c>
      <c r="C304" s="1" t="n">
        <v>46203</v>
      </c>
      <c r="D304" t="inlineStr">
        <is>
          <t>HALLANDS LÄN</t>
        </is>
      </c>
      <c r="E304" t="inlineStr">
        <is>
          <t>HALMSTAD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5210-2023</t>
        </is>
      </c>
      <c r="B305" s="1" t="n">
        <v>44959</v>
      </c>
      <c r="C305" s="1" t="n">
        <v>46203</v>
      </c>
      <c r="D305" t="inlineStr">
        <is>
          <t>HALLANDS LÄN</t>
        </is>
      </c>
      <c r="E305" t="inlineStr">
        <is>
          <t>HALMSTAD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15189-2026</t>
        </is>
      </c>
      <c r="B306" s="1" t="n">
        <v>46105</v>
      </c>
      <c r="C306" s="1" t="n">
        <v>46203</v>
      </c>
      <c r="D306" t="inlineStr">
        <is>
          <t>HALLANDS LÄN</t>
        </is>
      </c>
      <c r="E306" t="inlineStr">
        <is>
          <t>HALMSTAD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15190-2026</t>
        </is>
      </c>
      <c r="B307" s="1" t="n">
        <v>46105</v>
      </c>
      <c r="C307" s="1" t="n">
        <v>46203</v>
      </c>
      <c r="D307" t="inlineStr">
        <is>
          <t>HALLANDS LÄN</t>
        </is>
      </c>
      <c r="E307" t="inlineStr">
        <is>
          <t>HALMSTAD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15109-2026</t>
        </is>
      </c>
      <c r="B308" s="1" t="n">
        <v>46105</v>
      </c>
      <c r="C308" s="1" t="n">
        <v>46203</v>
      </c>
      <c r="D308" t="inlineStr">
        <is>
          <t>HALLANDS LÄN</t>
        </is>
      </c>
      <c r="E308" t="inlineStr">
        <is>
          <t>HALMSTAD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15574-2026</t>
        </is>
      </c>
      <c r="B309" s="1" t="n">
        <v>46106</v>
      </c>
      <c r="C309" s="1" t="n">
        <v>46203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15833-2026</t>
        </is>
      </c>
      <c r="B310" s="1" t="n">
        <v>46107</v>
      </c>
      <c r="C310" s="1" t="n">
        <v>46203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51302-2021</t>
        </is>
      </c>
      <c r="B311" s="1" t="n">
        <v>44461</v>
      </c>
      <c r="C311" s="1" t="n">
        <v>46203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12632-2023</t>
        </is>
      </c>
      <c r="B312" s="1" t="n">
        <v>45000</v>
      </c>
      <c r="C312" s="1" t="n">
        <v>46203</v>
      </c>
      <c r="D312" t="inlineStr">
        <is>
          <t>HALLANDS LÄN</t>
        </is>
      </c>
      <c r="E312" t="inlineStr">
        <is>
          <t>HALMSTAD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8705-2024</t>
        </is>
      </c>
      <c r="B313" s="1" t="n">
        <v>45356</v>
      </c>
      <c r="C313" s="1" t="n">
        <v>46203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6087-2023</t>
        </is>
      </c>
      <c r="B314" s="1" t="n">
        <v>44964</v>
      </c>
      <c r="C314" s="1" t="n">
        <v>46203</v>
      </c>
      <c r="D314" t="inlineStr">
        <is>
          <t>HALLANDS LÄN</t>
        </is>
      </c>
      <c r="E314" t="inlineStr">
        <is>
          <t>HALMSTAD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14987-2023</t>
        </is>
      </c>
      <c r="B315" s="1" t="n">
        <v>45015</v>
      </c>
      <c r="C315" s="1" t="n">
        <v>46203</v>
      </c>
      <c r="D315" t="inlineStr">
        <is>
          <t>HALLANDS LÄN</t>
        </is>
      </c>
      <c r="E315" t="inlineStr">
        <is>
          <t>HALMSTAD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52820-2024</t>
        </is>
      </c>
      <c r="B316" s="1" t="n">
        <v>45610</v>
      </c>
      <c r="C316" s="1" t="n">
        <v>46203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37571-2023</t>
        </is>
      </c>
      <c r="B317" s="1" t="n">
        <v>45159</v>
      </c>
      <c r="C317" s="1" t="n">
        <v>46203</v>
      </c>
      <c r="D317" t="inlineStr">
        <is>
          <t>HALLANDS LÄN</t>
        </is>
      </c>
      <c r="E317" t="inlineStr">
        <is>
          <t>HALMSTAD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53873-2022</t>
        </is>
      </c>
      <c r="B318" s="1" t="n">
        <v>44880</v>
      </c>
      <c r="C318" s="1" t="n">
        <v>46203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59254-2022</t>
        </is>
      </c>
      <c r="B319" s="1" t="n">
        <v>44897</v>
      </c>
      <c r="C319" s="1" t="n">
        <v>46203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29471-2022</t>
        </is>
      </c>
      <c r="B320" s="1" t="n">
        <v>44753</v>
      </c>
      <c r="C320" s="1" t="n">
        <v>46203</v>
      </c>
      <c r="D320" t="inlineStr">
        <is>
          <t>HALLANDS LÄN</t>
        </is>
      </c>
      <c r="E320" t="inlineStr">
        <is>
          <t>HALMSTAD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17641-2026</t>
        </is>
      </c>
      <c r="B321" s="1" t="n">
        <v>46121</v>
      </c>
      <c r="C321" s="1" t="n">
        <v>46203</v>
      </c>
      <c r="D321" t="inlineStr">
        <is>
          <t>HALLANDS LÄN</t>
        </is>
      </c>
      <c r="E321" t="inlineStr">
        <is>
          <t>HALMSTAD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23299-2026</t>
        </is>
      </c>
      <c r="B322" s="1" t="n">
        <v>46162</v>
      </c>
      <c r="C322" s="1" t="n">
        <v>46203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17580-2026</t>
        </is>
      </c>
      <c r="B323" s="1" t="n">
        <v>46121</v>
      </c>
      <c r="C323" s="1" t="n">
        <v>46203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17582-2026</t>
        </is>
      </c>
      <c r="B324" s="1" t="n">
        <v>46121</v>
      </c>
      <c r="C324" s="1" t="n">
        <v>46203</v>
      </c>
      <c r="D324" t="inlineStr">
        <is>
          <t>HALLANDS LÄN</t>
        </is>
      </c>
      <c r="E324" t="inlineStr">
        <is>
          <t>HALMSTAD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23312-2026</t>
        </is>
      </c>
      <c r="B325" s="1" t="n">
        <v>46162</v>
      </c>
      <c r="C325" s="1" t="n">
        <v>46203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23315-2026</t>
        </is>
      </c>
      <c r="B326" s="1" t="n">
        <v>46162</v>
      </c>
      <c r="C326" s="1" t="n">
        <v>46203</v>
      </c>
      <c r="D326" t="inlineStr">
        <is>
          <t>HALLANDS LÄN</t>
        </is>
      </c>
      <c r="E326" t="inlineStr">
        <is>
          <t>HALMSTAD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23308-2026</t>
        </is>
      </c>
      <c r="B327" s="1" t="n">
        <v>46162</v>
      </c>
      <c r="C327" s="1" t="n">
        <v>46203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23878-2026</t>
        </is>
      </c>
      <c r="B328" s="1" t="n">
        <v>46167</v>
      </c>
      <c r="C328" s="1" t="n">
        <v>46203</v>
      </c>
      <c r="D328" t="inlineStr">
        <is>
          <t>HALLANDS LÄN</t>
        </is>
      </c>
      <c r="E328" t="inlineStr">
        <is>
          <t>HALMSTAD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23883-2026</t>
        </is>
      </c>
      <c r="B329" s="1" t="n">
        <v>46167</v>
      </c>
      <c r="C329" s="1" t="n">
        <v>46203</v>
      </c>
      <c r="D329" t="inlineStr">
        <is>
          <t>HALLANDS LÄN</t>
        </is>
      </c>
      <c r="E329" t="inlineStr">
        <is>
          <t>HALMSTAD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23888-2026</t>
        </is>
      </c>
      <c r="B330" s="1" t="n">
        <v>46167</v>
      </c>
      <c r="C330" s="1" t="n">
        <v>46203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23892-2026</t>
        </is>
      </c>
      <c r="B331" s="1" t="n">
        <v>46167</v>
      </c>
      <c r="C331" s="1" t="n">
        <v>46203</v>
      </c>
      <c r="D331" t="inlineStr">
        <is>
          <t>HALLANDS LÄN</t>
        </is>
      </c>
      <c r="E331" t="inlineStr">
        <is>
          <t>HALMSTAD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20481-2024</t>
        </is>
      </c>
      <c r="B332" s="1" t="n">
        <v>45435</v>
      </c>
      <c r="C332" s="1" t="n">
        <v>46203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31656-2023</t>
        </is>
      </c>
      <c r="B333" s="1" t="n">
        <v>45117</v>
      </c>
      <c r="C333" s="1" t="n">
        <v>46203</v>
      </c>
      <c r="D333" t="inlineStr">
        <is>
          <t>HALLANDS LÄN</t>
        </is>
      </c>
      <c r="E333" t="inlineStr">
        <is>
          <t>HALMSTAD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24168-2026</t>
        </is>
      </c>
      <c r="B334" s="1" t="n">
        <v>46168</v>
      </c>
      <c r="C334" s="1" t="n">
        <v>46203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40582-2023</t>
        </is>
      </c>
      <c r="B335" s="1" t="n">
        <v>45168</v>
      </c>
      <c r="C335" s="1" t="n">
        <v>46203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40658-2023</t>
        </is>
      </c>
      <c r="B336" s="1" t="n">
        <v>45168</v>
      </c>
      <c r="C336" s="1" t="n">
        <v>46203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31543-2022</t>
        </is>
      </c>
      <c r="B337" s="1" t="n">
        <v>44775</v>
      </c>
      <c r="C337" s="1" t="n">
        <v>46203</v>
      </c>
      <c r="D337" t="inlineStr">
        <is>
          <t>HALLANDS LÄN</t>
        </is>
      </c>
      <c r="E337" t="inlineStr">
        <is>
          <t>HALMSTAD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18686-2026</t>
        </is>
      </c>
      <c r="B338" s="1" t="n">
        <v>46128</v>
      </c>
      <c r="C338" s="1" t="n">
        <v>46203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24817-2026</t>
        </is>
      </c>
      <c r="B339" s="1" t="n">
        <v>46173</v>
      </c>
      <c r="C339" s="1" t="n">
        <v>46203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24818-2026</t>
        </is>
      </c>
      <c r="B340" s="1" t="n">
        <v>46173</v>
      </c>
      <c r="C340" s="1" t="n">
        <v>46203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25286-2026</t>
        </is>
      </c>
      <c r="B341" s="1" t="n">
        <v>46176</v>
      </c>
      <c r="C341" s="1" t="n">
        <v>46203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25383-2026</t>
        </is>
      </c>
      <c r="B342" s="1" t="n">
        <v>46176</v>
      </c>
      <c r="C342" s="1" t="n">
        <v>46203</v>
      </c>
      <c r="D342" t="inlineStr">
        <is>
          <t>HALLANDS LÄN</t>
        </is>
      </c>
      <c r="E342" t="inlineStr">
        <is>
          <t>HALMSTAD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40398-2022</t>
        </is>
      </c>
      <c r="B343" s="1" t="n">
        <v>44823</v>
      </c>
      <c r="C343" s="1" t="n">
        <v>46203</v>
      </c>
      <c r="D343" t="inlineStr">
        <is>
          <t>HALLANDS LÄN</t>
        </is>
      </c>
      <c r="E343" t="inlineStr">
        <is>
          <t>HALMSTAD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29993-2024</t>
        </is>
      </c>
      <c r="B344" s="1" t="n">
        <v>45488</v>
      </c>
      <c r="C344" s="1" t="n">
        <v>46203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25896-2026</t>
        </is>
      </c>
      <c r="B345" s="1" t="n">
        <v>46178</v>
      </c>
      <c r="C345" s="1" t="n">
        <v>46203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12637-2025</t>
        </is>
      </c>
      <c r="B346" s="1" t="n">
        <v>45733</v>
      </c>
      <c r="C346" s="1" t="n">
        <v>46203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40708-2023</t>
        </is>
      </c>
      <c r="B347" s="1" t="n">
        <v>45168</v>
      </c>
      <c r="C347" s="1" t="n">
        <v>46203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12263-2025</t>
        </is>
      </c>
      <c r="B348" s="1" t="n">
        <v>45729</v>
      </c>
      <c r="C348" s="1" t="n">
        <v>46203</v>
      </c>
      <c r="D348" t="inlineStr">
        <is>
          <t>HALLANDS LÄN</t>
        </is>
      </c>
      <c r="E348" t="inlineStr">
        <is>
          <t>HALMSTAD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26049-2023</t>
        </is>
      </c>
      <c r="B349" s="1" t="n">
        <v>45091</v>
      </c>
      <c r="C349" s="1" t="n">
        <v>46203</v>
      </c>
      <c r="D349" t="inlineStr">
        <is>
          <t>HALLANDS LÄN</t>
        </is>
      </c>
      <c r="E349" t="inlineStr">
        <is>
          <t>HALMSTAD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57031-2021</t>
        </is>
      </c>
      <c r="B350" s="1" t="n">
        <v>44482</v>
      </c>
      <c r="C350" s="1" t="n">
        <v>46203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25886-2026</t>
        </is>
      </c>
      <c r="B351" s="1" t="n">
        <v>46178</v>
      </c>
      <c r="C351" s="1" t="n">
        <v>46203</v>
      </c>
      <c r="D351" t="inlineStr">
        <is>
          <t>HALLANDS LÄN</t>
        </is>
      </c>
      <c r="E351" t="inlineStr">
        <is>
          <t>HALMSTAD</t>
        </is>
      </c>
      <c r="G351" t="n">
        <v>12.6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41626-2022</t>
        </is>
      </c>
      <c r="B352" s="1" t="n">
        <v>44827</v>
      </c>
      <c r="C352" s="1" t="n">
        <v>46203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53211-2023</t>
        </is>
      </c>
      <c r="B353" s="1" t="n">
        <v>45229</v>
      </c>
      <c r="C353" s="1" t="n">
        <v>46203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328-2025</t>
        </is>
      </c>
      <c r="B354" s="1" t="n">
        <v>45660</v>
      </c>
      <c r="C354" s="1" t="n">
        <v>46203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331-2025</t>
        </is>
      </c>
      <c r="B355" s="1" t="n">
        <v>45660</v>
      </c>
      <c r="C355" s="1" t="n">
        <v>46203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5281-2025</t>
        </is>
      </c>
      <c r="B356" s="1" t="n">
        <v>45692</v>
      </c>
      <c r="C356" s="1" t="n">
        <v>46203</v>
      </c>
      <c r="D356" t="inlineStr">
        <is>
          <t>HALLANDS LÄN</t>
        </is>
      </c>
      <c r="E356" t="inlineStr">
        <is>
          <t>HALMSTAD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30692-2025</t>
        </is>
      </c>
      <c r="B357" s="1" t="n">
        <v>45831</v>
      </c>
      <c r="C357" s="1" t="n">
        <v>46203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25986-2026</t>
        </is>
      </c>
      <c r="B358" s="1" t="n">
        <v>46181</v>
      </c>
      <c r="C358" s="1" t="n">
        <v>46203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29865-2025</t>
        </is>
      </c>
      <c r="B359" s="1" t="n">
        <v>45826</v>
      </c>
      <c r="C359" s="1" t="n">
        <v>46203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26335-2026</t>
        </is>
      </c>
      <c r="B360" s="1" t="n">
        <v>46182</v>
      </c>
      <c r="C360" s="1" t="n">
        <v>46203</v>
      </c>
      <c r="D360" t="inlineStr">
        <is>
          <t>HALLANDS LÄN</t>
        </is>
      </c>
      <c r="E360" t="inlineStr">
        <is>
          <t>HALMSTAD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4073-2024</t>
        </is>
      </c>
      <c r="B361" s="1" t="n">
        <v>45323</v>
      </c>
      <c r="C361" s="1" t="n">
        <v>46203</v>
      </c>
      <c r="D361" t="inlineStr">
        <is>
          <t>HALLANDS LÄN</t>
        </is>
      </c>
      <c r="E361" t="inlineStr">
        <is>
          <t>HALMSTAD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12009-2026</t>
        </is>
      </c>
      <c r="B362" s="1" t="n">
        <v>46085</v>
      </c>
      <c r="C362" s="1" t="n">
        <v>46203</v>
      </c>
      <c r="D362" t="inlineStr">
        <is>
          <t>HALLANDS LÄN</t>
        </is>
      </c>
      <c r="E362" t="inlineStr">
        <is>
          <t>HALMSTAD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27202-2026</t>
        </is>
      </c>
      <c r="B363" s="1" t="n">
        <v>46188</v>
      </c>
      <c r="C363" s="1" t="n">
        <v>46203</v>
      </c>
      <c r="D363" t="inlineStr">
        <is>
          <t>HALLANDS LÄN</t>
        </is>
      </c>
      <c r="E363" t="inlineStr">
        <is>
          <t>HALMSTAD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54870-2022</t>
        </is>
      </c>
      <c r="B364" s="1" t="n">
        <v>44885</v>
      </c>
      <c r="C364" s="1" t="n">
        <v>46203</v>
      </c>
      <c r="D364" t="inlineStr">
        <is>
          <t>HALLANDS LÄN</t>
        </is>
      </c>
      <c r="E364" t="inlineStr">
        <is>
          <t>HALMSTAD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27176-2026</t>
        </is>
      </c>
      <c r="B365" s="1" t="n">
        <v>46188</v>
      </c>
      <c r="C365" s="1" t="n">
        <v>46203</v>
      </c>
      <c r="D365" t="inlineStr">
        <is>
          <t>HALLANDS LÄN</t>
        </is>
      </c>
      <c r="E365" t="inlineStr">
        <is>
          <t>HALMSTAD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27180-2026</t>
        </is>
      </c>
      <c r="B366" s="1" t="n">
        <v>46188</v>
      </c>
      <c r="C366" s="1" t="n">
        <v>46203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27182-2026</t>
        </is>
      </c>
      <c r="B367" s="1" t="n">
        <v>46188</v>
      </c>
      <c r="C367" s="1" t="n">
        <v>46203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27191-2026</t>
        </is>
      </c>
      <c r="B368" s="1" t="n">
        <v>46188</v>
      </c>
      <c r="C368" s="1" t="n">
        <v>46203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27200-2026</t>
        </is>
      </c>
      <c r="B369" s="1" t="n">
        <v>46188</v>
      </c>
      <c r="C369" s="1" t="n">
        <v>46203</v>
      </c>
      <c r="D369" t="inlineStr">
        <is>
          <t>HALLANDS LÄN</t>
        </is>
      </c>
      <c r="E369" t="inlineStr">
        <is>
          <t>HALMSTAD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61663-2023</t>
        </is>
      </c>
      <c r="B370" s="1" t="n">
        <v>45264</v>
      </c>
      <c r="C370" s="1" t="n">
        <v>46203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27175-2026</t>
        </is>
      </c>
      <c r="B371" s="1" t="n">
        <v>46188</v>
      </c>
      <c r="C371" s="1" t="n">
        <v>46203</v>
      </c>
      <c r="D371" t="inlineStr">
        <is>
          <t>HALLANDS LÄN</t>
        </is>
      </c>
      <c r="E371" t="inlineStr">
        <is>
          <t>HALMSTAD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27189-2026</t>
        </is>
      </c>
      <c r="B372" s="1" t="n">
        <v>46188</v>
      </c>
      <c r="C372" s="1" t="n">
        <v>46203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27197-2026</t>
        </is>
      </c>
      <c r="B373" s="1" t="n">
        <v>46188</v>
      </c>
      <c r="C373" s="1" t="n">
        <v>46203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27185-2026</t>
        </is>
      </c>
      <c r="B374" s="1" t="n">
        <v>46188</v>
      </c>
      <c r="C374" s="1" t="n">
        <v>46203</v>
      </c>
      <c r="D374" t="inlineStr">
        <is>
          <t>HALLANDS LÄN</t>
        </is>
      </c>
      <c r="E374" t="inlineStr">
        <is>
          <t>HALMSTAD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36805-2023</t>
        </is>
      </c>
      <c r="B375" s="1" t="n">
        <v>45154</v>
      </c>
      <c r="C375" s="1" t="n">
        <v>46203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27205-2026</t>
        </is>
      </c>
      <c r="B376" s="1" t="n">
        <v>46188</v>
      </c>
      <c r="C376" s="1" t="n">
        <v>46203</v>
      </c>
      <c r="D376" t="inlineStr">
        <is>
          <t>HALLANDS LÄN</t>
        </is>
      </c>
      <c r="E376" t="inlineStr">
        <is>
          <t>HALMSTAD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27499-2026</t>
        </is>
      </c>
      <c r="B377" s="1" t="n">
        <v>46189</v>
      </c>
      <c r="C377" s="1" t="n">
        <v>46203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20436-2025</t>
        </is>
      </c>
      <c r="B378" s="1" t="n">
        <v>45775</v>
      </c>
      <c r="C378" s="1" t="n">
        <v>46203</v>
      </c>
      <c r="D378" t="inlineStr">
        <is>
          <t>HALLANDS LÄN</t>
        </is>
      </c>
      <c r="E378" t="inlineStr">
        <is>
          <t>HALMSTAD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28202-2026</t>
        </is>
      </c>
      <c r="B379" s="1" t="n">
        <v>46196</v>
      </c>
      <c r="C379" s="1" t="n">
        <v>46203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22181-2026</t>
        </is>
      </c>
      <c r="B380" s="1" t="n">
        <v>46153</v>
      </c>
      <c r="C380" s="1" t="n">
        <v>46203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15198-2026</t>
        </is>
      </c>
      <c r="B381" s="1" t="n">
        <v>46105</v>
      </c>
      <c r="C381" s="1" t="n">
        <v>46203</v>
      </c>
      <c r="D381" t="inlineStr">
        <is>
          <t>HALLANDS LÄN</t>
        </is>
      </c>
      <c r="E381" t="inlineStr">
        <is>
          <t>HALMSTAD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28538-2026</t>
        </is>
      </c>
      <c r="B382" s="1" t="n">
        <v>46197</v>
      </c>
      <c r="C382" s="1" t="n">
        <v>46203</v>
      </c>
      <c r="D382" t="inlineStr">
        <is>
          <t>HALLANDS LÄN</t>
        </is>
      </c>
      <c r="E382" t="inlineStr">
        <is>
          <t>HALMSTAD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19304-2023</t>
        </is>
      </c>
      <c r="B383" s="1" t="n">
        <v>45049</v>
      </c>
      <c r="C383" s="1" t="n">
        <v>46203</v>
      </c>
      <c r="D383" t="inlineStr">
        <is>
          <t>HALLANDS LÄN</t>
        </is>
      </c>
      <c r="E383" t="inlineStr">
        <is>
          <t>HALMSTAD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45585-2022</t>
        </is>
      </c>
      <c r="B384" s="1" t="n">
        <v>44845</v>
      </c>
      <c r="C384" s="1" t="n">
        <v>46203</v>
      </c>
      <c r="D384" t="inlineStr">
        <is>
          <t>HALLANDS LÄN</t>
        </is>
      </c>
      <c r="E384" t="inlineStr">
        <is>
          <t>HALMSTAD</t>
        </is>
      </c>
      <c r="F384" t="inlineStr">
        <is>
          <t>Kyrkan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39746-2023</t>
        </is>
      </c>
      <c r="B385" s="1" t="n">
        <v>45167</v>
      </c>
      <c r="C385" s="1" t="n">
        <v>46203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47668-2023</t>
        </is>
      </c>
      <c r="B386" s="1" t="n">
        <v>45203</v>
      </c>
      <c r="C386" s="1" t="n">
        <v>46203</v>
      </c>
      <c r="D386" t="inlineStr">
        <is>
          <t>HALLANDS LÄN</t>
        </is>
      </c>
      <c r="E386" t="inlineStr">
        <is>
          <t>HALMSTAD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44891-2025</t>
        </is>
      </c>
      <c r="B387" s="1" t="n">
        <v>45918</v>
      </c>
      <c r="C387" s="1" t="n">
        <v>46203</v>
      </c>
      <c r="D387" t="inlineStr">
        <is>
          <t>HALLANDS LÄN</t>
        </is>
      </c>
      <c r="E387" t="inlineStr">
        <is>
          <t>HALMSTAD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63609-2023</t>
        </is>
      </c>
      <c r="B388" s="1" t="n">
        <v>45275</v>
      </c>
      <c r="C388" s="1" t="n">
        <v>46203</v>
      </c>
      <c r="D388" t="inlineStr">
        <is>
          <t>HALLANDS LÄN</t>
        </is>
      </c>
      <c r="E388" t="inlineStr">
        <is>
          <t>HALMSTAD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41786-2024</t>
        </is>
      </c>
      <c r="B389" s="1" t="n">
        <v>45561</v>
      </c>
      <c r="C389" s="1" t="n">
        <v>46203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15028-2023</t>
        </is>
      </c>
      <c r="B390" s="1" t="n">
        <v>45015</v>
      </c>
      <c r="C390" s="1" t="n">
        <v>46203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15029-2023</t>
        </is>
      </c>
      <c r="B391" s="1" t="n">
        <v>45015</v>
      </c>
      <c r="C391" s="1" t="n">
        <v>46203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66311-2021</t>
        </is>
      </c>
      <c r="B392" s="1" t="n">
        <v>44518</v>
      </c>
      <c r="C392" s="1" t="n">
        <v>46203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17637-2025</t>
        </is>
      </c>
      <c r="B393" s="1" t="n">
        <v>45758</v>
      </c>
      <c r="C393" s="1" t="n">
        <v>46203</v>
      </c>
      <c r="D393" t="inlineStr">
        <is>
          <t>HALLANDS LÄN</t>
        </is>
      </c>
      <c r="E393" t="inlineStr">
        <is>
          <t>HALMSTAD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59766-2023</t>
        </is>
      </c>
      <c r="B394" s="1" t="n">
        <v>45257</v>
      </c>
      <c r="C394" s="1" t="n">
        <v>46203</v>
      </c>
      <c r="D394" t="inlineStr">
        <is>
          <t>HALLANDS LÄN</t>
        </is>
      </c>
      <c r="E394" t="inlineStr">
        <is>
          <t>HALMSTAD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8709-2024</t>
        </is>
      </c>
      <c r="B395" s="1" t="n">
        <v>45356</v>
      </c>
      <c r="C395" s="1" t="n">
        <v>46203</v>
      </c>
      <c r="D395" t="inlineStr">
        <is>
          <t>HALLANDS LÄN</t>
        </is>
      </c>
      <c r="E395" t="inlineStr">
        <is>
          <t>HALMSTAD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9839-2024</t>
        </is>
      </c>
      <c r="B396" s="1" t="n">
        <v>45363</v>
      </c>
      <c r="C396" s="1" t="n">
        <v>46203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41836-2024</t>
        </is>
      </c>
      <c r="B397" s="1" t="n">
        <v>45561</v>
      </c>
      <c r="C397" s="1" t="n">
        <v>46203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60391-2023</t>
        </is>
      </c>
      <c r="B398" s="1" t="n">
        <v>45259</v>
      </c>
      <c r="C398" s="1" t="n">
        <v>46203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74038-2021</t>
        </is>
      </c>
      <c r="B399" s="1" t="n">
        <v>44557</v>
      </c>
      <c r="C399" s="1" t="n">
        <v>46203</v>
      </c>
      <c r="D399" t="inlineStr">
        <is>
          <t>HALLANDS LÄN</t>
        </is>
      </c>
      <c r="E399" t="inlineStr">
        <is>
          <t>HALMSTAD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1146-2024</t>
        </is>
      </c>
      <c r="B400" s="1" t="n">
        <v>45302</v>
      </c>
      <c r="C400" s="1" t="n">
        <v>46203</v>
      </c>
      <c r="D400" t="inlineStr">
        <is>
          <t>HALLANDS LÄN</t>
        </is>
      </c>
      <c r="E400" t="inlineStr">
        <is>
          <t>HALMSTAD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37301-2023</t>
        </is>
      </c>
      <c r="B401" s="1" t="n">
        <v>45156</v>
      </c>
      <c r="C401" s="1" t="n">
        <v>46203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57699-2024</t>
        </is>
      </c>
      <c r="B402" s="1" t="n">
        <v>45630</v>
      </c>
      <c r="C402" s="1" t="n">
        <v>46203</v>
      </c>
      <c r="D402" t="inlineStr">
        <is>
          <t>HALLANDS LÄN</t>
        </is>
      </c>
      <c r="E402" t="inlineStr">
        <is>
          <t>HALMSTAD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40730-2023</t>
        </is>
      </c>
      <c r="B403" s="1" t="n">
        <v>45170</v>
      </c>
      <c r="C403" s="1" t="n">
        <v>46203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40513-2024</t>
        </is>
      </c>
      <c r="B404" s="1" t="n">
        <v>45555</v>
      </c>
      <c r="C404" s="1" t="n">
        <v>46203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47813-2024</t>
        </is>
      </c>
      <c r="B405" s="1" t="n">
        <v>45588</v>
      </c>
      <c r="C405" s="1" t="n">
        <v>46203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7633-2024</t>
        </is>
      </c>
      <c r="B406" s="1" t="n">
        <v>45348</v>
      </c>
      <c r="C406" s="1" t="n">
        <v>46203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40735-2023</t>
        </is>
      </c>
      <c r="B407" s="1" t="n">
        <v>45170</v>
      </c>
      <c r="C407" s="1" t="n">
        <v>46203</v>
      </c>
      <c r="D407" t="inlineStr">
        <is>
          <t>HALLANDS LÄN</t>
        </is>
      </c>
      <c r="E407" t="inlineStr">
        <is>
          <t>HALMSTAD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5330-2022</t>
        </is>
      </c>
      <c r="B408" s="1" t="n">
        <v>44594</v>
      </c>
      <c r="C408" s="1" t="n">
        <v>46203</v>
      </c>
      <c r="D408" t="inlineStr">
        <is>
          <t>HALLANDS LÄN</t>
        </is>
      </c>
      <c r="E408" t="inlineStr">
        <is>
          <t>HALMSTAD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11091-2022</t>
        </is>
      </c>
      <c r="B409" s="1" t="n">
        <v>44628</v>
      </c>
      <c r="C409" s="1" t="n">
        <v>46203</v>
      </c>
      <c r="D409" t="inlineStr">
        <is>
          <t>HALLANDS LÄN</t>
        </is>
      </c>
      <c r="E409" t="inlineStr">
        <is>
          <t>HALMSTAD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58193-2024</t>
        </is>
      </c>
      <c r="B410" s="1" t="n">
        <v>45632</v>
      </c>
      <c r="C410" s="1" t="n">
        <v>46203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40644-2023</t>
        </is>
      </c>
      <c r="B411" s="1" t="n">
        <v>45168</v>
      </c>
      <c r="C411" s="1" t="n">
        <v>46203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332-2025</t>
        </is>
      </c>
      <c r="B412" s="1" t="n">
        <v>45660</v>
      </c>
      <c r="C412" s="1" t="n">
        <v>46203</v>
      </c>
      <c r="D412" t="inlineStr">
        <is>
          <t>HALLANDS LÄN</t>
        </is>
      </c>
      <c r="E412" t="inlineStr">
        <is>
          <t>HALMSTAD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3167-2024</t>
        </is>
      </c>
      <c r="B413" s="1" t="n">
        <v>45316</v>
      </c>
      <c r="C413" s="1" t="n">
        <v>46203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3595-2025</t>
        </is>
      </c>
      <c r="B414" s="1" t="n">
        <v>45681</v>
      </c>
      <c r="C414" s="1" t="n">
        <v>46203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3596-2025</t>
        </is>
      </c>
      <c r="B415" s="1" t="n">
        <v>45681</v>
      </c>
      <c r="C415" s="1" t="n">
        <v>46203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26024-2023</t>
        </is>
      </c>
      <c r="B416" s="1" t="n">
        <v>45091</v>
      </c>
      <c r="C416" s="1" t="n">
        <v>46203</v>
      </c>
      <c r="D416" t="inlineStr">
        <is>
          <t>HALLANDS LÄN</t>
        </is>
      </c>
      <c r="E416" t="inlineStr">
        <is>
          <t>HALMSTAD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50593-2023</t>
        </is>
      </c>
      <c r="B417" s="1" t="n">
        <v>45217</v>
      </c>
      <c r="C417" s="1" t="n">
        <v>46203</v>
      </c>
      <c r="D417" t="inlineStr">
        <is>
          <t>HALLANDS LÄN</t>
        </is>
      </c>
      <c r="E417" t="inlineStr">
        <is>
          <t>HALMSTAD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50603-2023</t>
        </is>
      </c>
      <c r="B418" s="1" t="n">
        <v>45217</v>
      </c>
      <c r="C418" s="1" t="n">
        <v>46203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23483-2022</t>
        </is>
      </c>
      <c r="B419" s="1" t="n">
        <v>44721</v>
      </c>
      <c r="C419" s="1" t="n">
        <v>46203</v>
      </c>
      <c r="D419" t="inlineStr">
        <is>
          <t>HALLANDS LÄN</t>
        </is>
      </c>
      <c r="E419" t="inlineStr">
        <is>
          <t>HALMSTAD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58980-2024</t>
        </is>
      </c>
      <c r="B420" s="1" t="n">
        <v>45636</v>
      </c>
      <c r="C420" s="1" t="n">
        <v>46203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58983-2024</t>
        </is>
      </c>
      <c r="B421" s="1" t="n">
        <v>45636</v>
      </c>
      <c r="C421" s="1" t="n">
        <v>46203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15545-2022</t>
        </is>
      </c>
      <c r="B422" s="1" t="n">
        <v>44662</v>
      </c>
      <c r="C422" s="1" t="n">
        <v>46203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15550-2024</t>
        </is>
      </c>
      <c r="B423" s="1" t="n">
        <v>45401</v>
      </c>
      <c r="C423" s="1" t="n">
        <v>46203</v>
      </c>
      <c r="D423" t="inlineStr">
        <is>
          <t>HALLANDS LÄN</t>
        </is>
      </c>
      <c r="E423" t="inlineStr">
        <is>
          <t>HALMSTAD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28098-2023</t>
        </is>
      </c>
      <c r="B424" s="1" t="n">
        <v>45099</v>
      </c>
      <c r="C424" s="1" t="n">
        <v>46203</v>
      </c>
      <c r="D424" t="inlineStr">
        <is>
          <t>HALLANDS LÄN</t>
        </is>
      </c>
      <c r="E424" t="inlineStr">
        <is>
          <t>HALMSTAD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23772-2022</t>
        </is>
      </c>
      <c r="B425" s="1" t="n">
        <v>44722</v>
      </c>
      <c r="C425" s="1" t="n">
        <v>46203</v>
      </c>
      <c r="D425" t="inlineStr">
        <is>
          <t>HALLANDS LÄN</t>
        </is>
      </c>
      <c r="E425" t="inlineStr">
        <is>
          <t>HALMSTAD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36808-2023</t>
        </is>
      </c>
      <c r="B426" s="1" t="n">
        <v>45154</v>
      </c>
      <c r="C426" s="1" t="n">
        <v>46203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48859-2023</t>
        </is>
      </c>
      <c r="B427" s="1" t="n">
        <v>45209</v>
      </c>
      <c r="C427" s="1" t="n">
        <v>46203</v>
      </c>
      <c r="D427" t="inlineStr">
        <is>
          <t>HALLANDS LÄN</t>
        </is>
      </c>
      <c r="E427" t="inlineStr">
        <is>
          <t>HALMSTAD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12634-2025</t>
        </is>
      </c>
      <c r="B428" s="1" t="n">
        <v>45733</v>
      </c>
      <c r="C428" s="1" t="n">
        <v>46203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43264-2023</t>
        </is>
      </c>
      <c r="B429" s="1" t="n">
        <v>45183</v>
      </c>
      <c r="C429" s="1" t="n">
        <v>46203</v>
      </c>
      <c r="D429" t="inlineStr">
        <is>
          <t>HALLANDS LÄN</t>
        </is>
      </c>
      <c r="E429" t="inlineStr">
        <is>
          <t>HALMSTAD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35376-2024</t>
        </is>
      </c>
      <c r="B430" s="1" t="n">
        <v>45531</v>
      </c>
      <c r="C430" s="1" t="n">
        <v>46203</v>
      </c>
      <c r="D430" t="inlineStr">
        <is>
          <t>HALLANDS LÄN</t>
        </is>
      </c>
      <c r="E430" t="inlineStr">
        <is>
          <t>HALMSTAD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27505-2022</t>
        </is>
      </c>
      <c r="B431" s="1" t="n">
        <v>44742</v>
      </c>
      <c r="C431" s="1" t="n">
        <v>46203</v>
      </c>
      <c r="D431" t="inlineStr">
        <is>
          <t>HALLANDS LÄN</t>
        </is>
      </c>
      <c r="E431" t="inlineStr">
        <is>
          <t>HALMSTAD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43269-2023</t>
        </is>
      </c>
      <c r="B432" s="1" t="n">
        <v>45183</v>
      </c>
      <c r="C432" s="1" t="n">
        <v>46203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55596-2023</t>
        </is>
      </c>
      <c r="B433" s="1" t="n">
        <v>45238</v>
      </c>
      <c r="C433" s="1" t="n">
        <v>46203</v>
      </c>
      <c r="D433" t="inlineStr">
        <is>
          <t>HALLANDS LÄN</t>
        </is>
      </c>
      <c r="E433" t="inlineStr">
        <is>
          <t>HALMSTAD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55770-2023</t>
        </is>
      </c>
      <c r="B434" s="1" t="n">
        <v>45239</v>
      </c>
      <c r="C434" s="1" t="n">
        <v>46203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40345-2023</t>
        </is>
      </c>
      <c r="B435" s="1" t="n">
        <v>45169</v>
      </c>
      <c r="C435" s="1" t="n">
        <v>46203</v>
      </c>
      <c r="D435" t="inlineStr">
        <is>
          <t>HALLANDS LÄN</t>
        </is>
      </c>
      <c r="E435" t="inlineStr">
        <is>
          <t>HALMSTAD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46203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60139-2023</t>
        </is>
      </c>
      <c r="B437" s="1" t="n">
        <v>45258</v>
      </c>
      <c r="C437" s="1" t="n">
        <v>46203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34114-2023</t>
        </is>
      </c>
      <c r="B438" s="1" t="n">
        <v>45126</v>
      </c>
      <c r="C438" s="1" t="n">
        <v>46203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22149-2022</t>
        </is>
      </c>
      <c r="B439" s="1" t="n">
        <v>44712</v>
      </c>
      <c r="C439" s="1" t="n">
        <v>46203</v>
      </c>
      <c r="D439" t="inlineStr">
        <is>
          <t>HALLANDS LÄN</t>
        </is>
      </c>
      <c r="E439" t="inlineStr">
        <is>
          <t>HALMSTAD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59913-2023</t>
        </is>
      </c>
      <c r="B440" s="1" t="n">
        <v>45257</v>
      </c>
      <c r="C440" s="1" t="n">
        <v>46203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62187-2023</t>
        </is>
      </c>
      <c r="B441" s="1" t="n">
        <v>45267</v>
      </c>
      <c r="C441" s="1" t="n">
        <v>46203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60394-2023</t>
        </is>
      </c>
      <c r="B442" s="1" t="n">
        <v>45259</v>
      </c>
      <c r="C442" s="1" t="n">
        <v>46203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41951-2022</t>
        </is>
      </c>
      <c r="B443" s="1" t="n">
        <v>44830</v>
      </c>
      <c r="C443" s="1" t="n">
        <v>46203</v>
      </c>
      <c r="D443" t="inlineStr">
        <is>
          <t>HALLANDS LÄN</t>
        </is>
      </c>
      <c r="E443" t="inlineStr">
        <is>
          <t>HALMSTAD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64136-2023</t>
        </is>
      </c>
      <c r="B444" s="1" t="n">
        <v>45279</v>
      </c>
      <c r="C444" s="1" t="n">
        <v>46203</v>
      </c>
      <c r="D444" t="inlineStr">
        <is>
          <t>HALLANDS LÄN</t>
        </is>
      </c>
      <c r="E444" t="inlineStr">
        <is>
          <t>HALMSTAD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40542-2023</t>
        </is>
      </c>
      <c r="B445" s="1" t="n">
        <v>45168</v>
      </c>
      <c r="C445" s="1" t="n">
        <v>46203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51190-2022</t>
        </is>
      </c>
      <c r="B446" s="1" t="n">
        <v>44868</v>
      </c>
      <c r="C446" s="1" t="n">
        <v>46203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55798-2023</t>
        </is>
      </c>
      <c r="B447" s="1" t="n">
        <v>45239</v>
      </c>
      <c r="C447" s="1" t="n">
        <v>46203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55800-2023</t>
        </is>
      </c>
      <c r="B448" s="1" t="n">
        <v>45239</v>
      </c>
      <c r="C448" s="1" t="n">
        <v>46203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13331-2024</t>
        </is>
      </c>
      <c r="B449" s="1" t="n">
        <v>45386</v>
      </c>
      <c r="C449" s="1" t="n">
        <v>46203</v>
      </c>
      <c r="D449" t="inlineStr">
        <is>
          <t>HALLANDS LÄN</t>
        </is>
      </c>
      <c r="E449" t="inlineStr">
        <is>
          <t>HALMSTAD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23147-2024</t>
        </is>
      </c>
      <c r="B450" s="1" t="n">
        <v>45450</v>
      </c>
      <c r="C450" s="1" t="n">
        <v>46203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62131-2023</t>
        </is>
      </c>
      <c r="B451" s="1" t="n">
        <v>45267</v>
      </c>
      <c r="C451" s="1" t="n">
        <v>46203</v>
      </c>
      <c r="D451" t="inlineStr">
        <is>
          <t>HALLANDS LÄN</t>
        </is>
      </c>
      <c r="E451" t="inlineStr">
        <is>
          <t>HALMSTAD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4903-2024</t>
        </is>
      </c>
      <c r="B452" s="1" t="n">
        <v>45329</v>
      </c>
      <c r="C452" s="1" t="n">
        <v>46203</v>
      </c>
      <c r="D452" t="inlineStr">
        <is>
          <t>HALLANDS LÄN</t>
        </is>
      </c>
      <c r="E452" t="inlineStr">
        <is>
          <t>HALMSTAD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57037-2021</t>
        </is>
      </c>
      <c r="B453" s="1" t="n">
        <v>44482</v>
      </c>
      <c r="C453" s="1" t="n">
        <v>46203</v>
      </c>
      <c r="D453" t="inlineStr">
        <is>
          <t>HALLANDS LÄN</t>
        </is>
      </c>
      <c r="E453" t="inlineStr">
        <is>
          <t>HALMSTAD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54114-2021</t>
        </is>
      </c>
      <c r="B454" s="1" t="n">
        <v>44470</v>
      </c>
      <c r="C454" s="1" t="n">
        <v>46203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19468-2024</t>
        </is>
      </c>
      <c r="B455" s="1" t="n">
        <v>45429</v>
      </c>
      <c r="C455" s="1" t="n">
        <v>46203</v>
      </c>
      <c r="D455" t="inlineStr">
        <is>
          <t>HALLANDS LÄN</t>
        </is>
      </c>
      <c r="E455" t="inlineStr">
        <is>
          <t>HALMSTAD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62766-2023</t>
        </is>
      </c>
      <c r="B456" s="1" t="n">
        <v>45268</v>
      </c>
      <c r="C456" s="1" t="n">
        <v>46203</v>
      </c>
      <c r="D456" t="inlineStr">
        <is>
          <t>HALLANDS LÄN</t>
        </is>
      </c>
      <c r="E456" t="inlineStr">
        <is>
          <t>HALMSTAD</t>
        </is>
      </c>
      <c r="F456" t="inlineStr">
        <is>
          <t>Sveaskog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53763-2022</t>
        </is>
      </c>
      <c r="B457" s="1" t="n">
        <v>44875</v>
      </c>
      <c r="C457" s="1" t="n">
        <v>46203</v>
      </c>
      <c r="D457" t="inlineStr">
        <is>
          <t>HALLANDS LÄN</t>
        </is>
      </c>
      <c r="E457" t="inlineStr">
        <is>
          <t>HALMSTAD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5522-2022</t>
        </is>
      </c>
      <c r="B458" s="1" t="n">
        <v>44595</v>
      </c>
      <c r="C458" s="1" t="n">
        <v>46203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15678-2024</t>
        </is>
      </c>
      <c r="B459" s="1" t="n">
        <v>45404</v>
      </c>
      <c r="C459" s="1" t="n">
        <v>46203</v>
      </c>
      <c r="D459" t="inlineStr">
        <is>
          <t>HALLANDS LÄN</t>
        </is>
      </c>
      <c r="E459" t="inlineStr">
        <is>
          <t>HALMSTAD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64231-2023</t>
        </is>
      </c>
      <c r="B460" s="1" t="n">
        <v>45279</v>
      </c>
      <c r="C460" s="1" t="n">
        <v>46203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41612-2022</t>
        </is>
      </c>
      <c r="B461" s="1" t="n">
        <v>44827</v>
      </c>
      <c r="C461" s="1" t="n">
        <v>46203</v>
      </c>
      <c r="D461" t="inlineStr">
        <is>
          <t>HALLANDS LÄN</t>
        </is>
      </c>
      <c r="E461" t="inlineStr">
        <is>
          <t>HALMSTAD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59762-2023</t>
        </is>
      </c>
      <c r="B462" s="1" t="n">
        <v>45257</v>
      </c>
      <c r="C462" s="1" t="n">
        <v>46203</v>
      </c>
      <c r="D462" t="inlineStr">
        <is>
          <t>HALLANDS LÄN</t>
        </is>
      </c>
      <c r="E462" t="inlineStr">
        <is>
          <t>HALMSTAD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11790-2025</t>
        </is>
      </c>
      <c r="B463" s="1" t="n">
        <v>45727</v>
      </c>
      <c r="C463" s="1" t="n">
        <v>46203</v>
      </c>
      <c r="D463" t="inlineStr">
        <is>
          <t>HALLANDS LÄN</t>
        </is>
      </c>
      <c r="E463" t="inlineStr">
        <is>
          <t>HALMSTAD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37161-2022</t>
        </is>
      </c>
      <c r="B464" s="1" t="n">
        <v>44806</v>
      </c>
      <c r="C464" s="1" t="n">
        <v>46203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19087-2022</t>
        </is>
      </c>
      <c r="B465" s="1" t="n">
        <v>44691</v>
      </c>
      <c r="C465" s="1" t="n">
        <v>46203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22710-2023</t>
        </is>
      </c>
      <c r="B466" s="1" t="n">
        <v>45071</v>
      </c>
      <c r="C466" s="1" t="n">
        <v>46203</v>
      </c>
      <c r="D466" t="inlineStr">
        <is>
          <t>HALLANDS LÄN</t>
        </is>
      </c>
      <c r="E466" t="inlineStr">
        <is>
          <t>HALMSTAD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57013-2021</t>
        </is>
      </c>
      <c r="B467" s="1" t="n">
        <v>44482</v>
      </c>
      <c r="C467" s="1" t="n">
        <v>46203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57021-2021</t>
        </is>
      </c>
      <c r="B468" s="1" t="n">
        <v>44482</v>
      </c>
      <c r="C468" s="1" t="n">
        <v>46203</v>
      </c>
      <c r="D468" t="inlineStr">
        <is>
          <t>HALLANDS LÄN</t>
        </is>
      </c>
      <c r="E468" t="inlineStr">
        <is>
          <t>HALMSTAD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52469-2021</t>
        </is>
      </c>
      <c r="B469" s="1" t="n">
        <v>44466</v>
      </c>
      <c r="C469" s="1" t="n">
        <v>46203</v>
      </c>
      <c r="D469" t="inlineStr">
        <is>
          <t>HALLANDS LÄN</t>
        </is>
      </c>
      <c r="E469" t="inlineStr">
        <is>
          <t>HALMSTAD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6947-2023</t>
        </is>
      </c>
      <c r="B470" s="1" t="n">
        <v>44964</v>
      </c>
      <c r="C470" s="1" t="n">
        <v>46203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6951-2023</t>
        </is>
      </c>
      <c r="B471" s="1" t="n">
        <v>44964</v>
      </c>
      <c r="C471" s="1" t="n">
        <v>46203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16646-2024</t>
        </is>
      </c>
      <c r="B472" s="1" t="n">
        <v>45408</v>
      </c>
      <c r="C472" s="1" t="n">
        <v>46203</v>
      </c>
      <c r="D472" t="inlineStr">
        <is>
          <t>HALLANDS LÄN</t>
        </is>
      </c>
      <c r="E472" t="inlineStr">
        <is>
          <t>HALMSTAD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50387-2023</t>
        </is>
      </c>
      <c r="B473" s="1" t="n">
        <v>45216</v>
      </c>
      <c r="C473" s="1" t="n">
        <v>46203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40601-2023</t>
        </is>
      </c>
      <c r="B474" s="1" t="n">
        <v>45168</v>
      </c>
      <c r="C474" s="1" t="n">
        <v>46203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22419-2022</t>
        </is>
      </c>
      <c r="B475" s="1" t="n">
        <v>44713</v>
      </c>
      <c r="C475" s="1" t="n">
        <v>46203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40639-2023</t>
        </is>
      </c>
      <c r="B476" s="1" t="n">
        <v>45168</v>
      </c>
      <c r="C476" s="1" t="n">
        <v>46203</v>
      </c>
      <c r="D476" t="inlineStr">
        <is>
          <t>HALLANDS LÄN</t>
        </is>
      </c>
      <c r="E476" t="inlineStr">
        <is>
          <t>HALMSTAD</t>
        </is>
      </c>
      <c r="F476" t="inlineStr">
        <is>
          <t>Kommuner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10263-2022</t>
        </is>
      </c>
      <c r="B477" s="1" t="n">
        <v>44622</v>
      </c>
      <c r="C477" s="1" t="n">
        <v>46203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54008-2023</t>
        </is>
      </c>
      <c r="B478" s="1" t="n">
        <v>45231</v>
      </c>
      <c r="C478" s="1" t="n">
        <v>46203</v>
      </c>
      <c r="D478" t="inlineStr">
        <is>
          <t>HALLANDS LÄN</t>
        </is>
      </c>
      <c r="E478" t="inlineStr">
        <is>
          <t>HALMSTAD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62170-2023</t>
        </is>
      </c>
      <c r="B479" s="1" t="n">
        <v>45267</v>
      </c>
      <c r="C479" s="1" t="n">
        <v>46203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47198-2022</t>
        </is>
      </c>
      <c r="B480" s="1" t="n">
        <v>44852</v>
      </c>
      <c r="C480" s="1" t="n">
        <v>46203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8230-2023</t>
        </is>
      </c>
      <c r="B481" s="1" t="n">
        <v>44974</v>
      </c>
      <c r="C481" s="1" t="n">
        <v>46203</v>
      </c>
      <c r="D481" t="inlineStr">
        <is>
          <t>HALLANDS LÄN</t>
        </is>
      </c>
      <c r="E481" t="inlineStr">
        <is>
          <t>HALMSTAD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4005-2024</t>
        </is>
      </c>
      <c r="B482" s="1" t="n">
        <v>45323</v>
      </c>
      <c r="C482" s="1" t="n">
        <v>46203</v>
      </c>
      <c r="D482" t="inlineStr">
        <is>
          <t>HALLANDS LÄN</t>
        </is>
      </c>
      <c r="E482" t="inlineStr">
        <is>
          <t>HALMSTAD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58080-2024</t>
        </is>
      </c>
      <c r="B483" s="1" t="n">
        <v>45632</v>
      </c>
      <c r="C483" s="1" t="n">
        <v>46203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22146-2022</t>
        </is>
      </c>
      <c r="B484" s="1" t="n">
        <v>44712</v>
      </c>
      <c r="C484" s="1" t="n">
        <v>46203</v>
      </c>
      <c r="D484" t="inlineStr">
        <is>
          <t>HALLANDS LÄN</t>
        </is>
      </c>
      <c r="E484" t="inlineStr">
        <is>
          <t>HALMSTAD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19572-2023</t>
        </is>
      </c>
      <c r="B485" s="1" t="n">
        <v>45050</v>
      </c>
      <c r="C485" s="1" t="n">
        <v>46203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30093-2023</t>
        </is>
      </c>
      <c r="B486" s="1" t="n">
        <v>45099</v>
      </c>
      <c r="C486" s="1" t="n">
        <v>46203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6942-2023</t>
        </is>
      </c>
      <c r="B487" s="1" t="n">
        <v>44964</v>
      </c>
      <c r="C487" s="1" t="n">
        <v>46203</v>
      </c>
      <c r="D487" t="inlineStr">
        <is>
          <t>HALLANDS LÄN</t>
        </is>
      </c>
      <c r="E487" t="inlineStr">
        <is>
          <t>HALMSTAD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40561-2023</t>
        </is>
      </c>
      <c r="B488" s="1" t="n">
        <v>45168</v>
      </c>
      <c r="C488" s="1" t="n">
        <v>46203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40595-2023</t>
        </is>
      </c>
      <c r="B489" s="1" t="n">
        <v>45168</v>
      </c>
      <c r="C489" s="1" t="n">
        <v>46203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40359-2023</t>
        </is>
      </c>
      <c r="B490" s="1" t="n">
        <v>45169</v>
      </c>
      <c r="C490" s="1" t="n">
        <v>46203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56028-2023</t>
        </is>
      </c>
      <c r="B491" s="1" t="n">
        <v>45240</v>
      </c>
      <c r="C491" s="1" t="n">
        <v>46203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40669-2023</t>
        </is>
      </c>
      <c r="B492" s="1" t="n">
        <v>45168</v>
      </c>
      <c r="C492" s="1" t="n">
        <v>46203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64230-2023</t>
        </is>
      </c>
      <c r="B493" s="1" t="n">
        <v>45279</v>
      </c>
      <c r="C493" s="1" t="n">
        <v>46203</v>
      </c>
      <c r="D493" t="inlineStr">
        <is>
          <t>HALLANDS LÄN</t>
        </is>
      </c>
      <c r="E493" t="inlineStr">
        <is>
          <t>HALMSTAD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58737-2023</t>
        </is>
      </c>
      <c r="B494" s="1" t="n">
        <v>45251</v>
      </c>
      <c r="C494" s="1" t="n">
        <v>46203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46104-2023</t>
        </is>
      </c>
      <c r="B495" s="1" t="n">
        <v>45196</v>
      </c>
      <c r="C495" s="1" t="n">
        <v>46203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5886-2024</t>
        </is>
      </c>
      <c r="B496" s="1" t="n">
        <v>45335</v>
      </c>
      <c r="C496" s="1" t="n">
        <v>46203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3147-2024</t>
        </is>
      </c>
      <c r="B497" s="1" t="n">
        <v>45316</v>
      </c>
      <c r="C497" s="1" t="n">
        <v>46203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42201-2024</t>
        </is>
      </c>
      <c r="B498" s="1" t="n">
        <v>45562</v>
      </c>
      <c r="C498" s="1" t="n">
        <v>46203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42204-2024</t>
        </is>
      </c>
      <c r="B499" s="1" t="n">
        <v>45562</v>
      </c>
      <c r="C499" s="1" t="n">
        <v>46203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48022-2024</t>
        </is>
      </c>
      <c r="B500" s="1" t="n">
        <v>45589</v>
      </c>
      <c r="C500" s="1" t="n">
        <v>46203</v>
      </c>
      <c r="D500" t="inlineStr">
        <is>
          <t>HALLANDS LÄN</t>
        </is>
      </c>
      <c r="E500" t="inlineStr">
        <is>
          <t>HALMSTAD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21723-2023</t>
        </is>
      </c>
      <c r="B501" s="1" t="n">
        <v>45065</v>
      </c>
      <c r="C501" s="1" t="n">
        <v>46203</v>
      </c>
      <c r="D501" t="inlineStr">
        <is>
          <t>HALLANDS LÄN</t>
        </is>
      </c>
      <c r="E501" t="inlineStr">
        <is>
          <t>HALMSTAD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24103-2023</t>
        </is>
      </c>
      <c r="B502" s="1" t="n">
        <v>45079</v>
      </c>
      <c r="C502" s="1" t="n">
        <v>46203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46203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8679-2025</t>
        </is>
      </c>
      <c r="B504" s="1" t="n">
        <v>45712</v>
      </c>
      <c r="C504" s="1" t="n">
        <v>46203</v>
      </c>
      <c r="D504" t="inlineStr">
        <is>
          <t>HALLANDS LÄN</t>
        </is>
      </c>
      <c r="E504" t="inlineStr">
        <is>
          <t>HALMSTAD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40741-2023</t>
        </is>
      </c>
      <c r="B505" s="1" t="n">
        <v>45170</v>
      </c>
      <c r="C505" s="1" t="n">
        <v>46203</v>
      </c>
      <c r="D505" t="inlineStr">
        <is>
          <t>HALLANDS LÄN</t>
        </is>
      </c>
      <c r="E505" t="inlineStr">
        <is>
          <t>HALMSTAD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60032-2023</t>
        </is>
      </c>
      <c r="B506" s="1" t="n">
        <v>45258</v>
      </c>
      <c r="C506" s="1" t="n">
        <v>46203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66730-2021</t>
        </is>
      </c>
      <c r="B507" s="1" t="n">
        <v>44520</v>
      </c>
      <c r="C507" s="1" t="n">
        <v>46203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3412-2025</t>
        </is>
      </c>
      <c r="B508" s="1" t="n">
        <v>45680</v>
      </c>
      <c r="C508" s="1" t="n">
        <v>46203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4869-2024</t>
        </is>
      </c>
      <c r="B509" s="1" t="n">
        <v>45329</v>
      </c>
      <c r="C509" s="1" t="n">
        <v>46203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12960-2025</t>
        </is>
      </c>
      <c r="B510" s="1" t="n">
        <v>45734</v>
      </c>
      <c r="C510" s="1" t="n">
        <v>46203</v>
      </c>
      <c r="D510" t="inlineStr">
        <is>
          <t>HALLANDS LÄN</t>
        </is>
      </c>
      <c r="E510" t="inlineStr">
        <is>
          <t>HALMSTAD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2026-06-30T00:57:55Z</dcterms:created>
  <dcterms:modified xmlns:dcterms="http://purl.org/dc/terms/" xmlns:xsi="http://www.w3.org/2001/XMLSchema-instance" xsi:type="dcterms:W3CDTF">2026-06-30T00:57:56Z</dcterms:modified>
</cp:coreProperties>
</file>
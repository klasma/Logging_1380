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46289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4.5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10</v>
      </c>
      <c r="U14" t="n">
        <v>10</v>
      </c>
      <c r="V14" s="2" t="inlineStr">
        <is>
          <t>Jättesvampmal
Klippfrullania
Västlig hakmossa
Spillkråka</t>
        </is>
      </c>
      <c r="W14">
        <f>HYPERLINK("https://klasma.github.io/Logging_1380/artfynd/A 40697-2023 artfynd.xlsx", "A 40697-2023")</f>
        <v/>
      </c>
      <c r="X14">
        <f>HYPERLINK("https://klasma.github.io/Logging_1380/kartor/A 40697-2023 karta.png", "A 40697-2023")</f>
        <v/>
      </c>
      <c r="Y14">
        <f>HYPERLINK("https://klasma.github.io/Logging_1380/kartor_geotiff/A 40697-2023 georefererad karta.tif", "A 40697-2023")</f>
        <v/>
      </c>
      <c r="AA14">
        <f>HYPERLINK("https://klasma.github.io/Logging_1380/klagomål/A 40697-2023 FSC-klagomål.docx", "A 40697-2023")</f>
        <v/>
      </c>
      <c r="AB14">
        <f>HYPERLINK("https://klasma.github.io/Logging_1380/klagomålsmail/A 40697-2023 FSC-klagomål mail.docx", "A 40697-2023")</f>
        <v/>
      </c>
      <c r="AC14">
        <f>HYPERLINK("https://klasma.github.io/Logging_1380/tillsyn/A 40697-2023 tillsynsbegäran.docx", "A 40697-2023")</f>
        <v/>
      </c>
      <c r="AD14">
        <f>HYPERLINK("https://klasma.github.io/Logging_1380/tillsynsmail/A 40697-2023 tillsynsbegäran mail.docx", "A 40697-2023")</f>
        <v/>
      </c>
      <c r="AE14">
        <f>HYPERLINK("https://klasma.github.io/Logging_1380/fåglar/A 40697-2023 prioriterade fågelarter.docx", "A 40697-2023")</f>
        <v/>
      </c>
    </row>
    <row r="15" ht="15" customHeight="1">
      <c r="A15" t="inlineStr">
        <is>
          <t>A 40491-2023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Stor sotdyna
Blåmossa
Kambräken
Glansfläck</t>
        </is>
      </c>
      <c r="W15">
        <f>HYPERLINK("https://klasma.github.io/Logging_1380/artfynd/A 40491-2023 artfynd.xlsx", "A 40491-2023")</f>
        <v/>
      </c>
      <c r="X15">
        <f>HYPERLINK("https://klasma.github.io/Logging_1380/kartor/A 40491-2023 karta.png", "A 40491-2023")</f>
        <v/>
      </c>
      <c r="Y15">
        <f>HYPERLINK("https://klasma.github.io/Logging_1380/kartor_geotiff/A 40491-2023 georefererad karta.tif", "A 40491-2023")</f>
        <v/>
      </c>
      <c r="AA15">
        <f>HYPERLINK("https://klasma.github.io/Logging_1380/klagomål/A 40491-2023 FSC-klagomål.docx", "A 40491-2023")</f>
        <v/>
      </c>
      <c r="AB15">
        <f>HYPERLINK("https://klasma.github.io/Logging_1380/klagomålsmail/A 40491-2023 FSC-klagomål mail.docx", "A 40491-2023")</f>
        <v/>
      </c>
      <c r="AC15">
        <f>HYPERLINK("https://klasma.github.io/Logging_1380/tillsyn/A 40491-2023 tillsynsbegäran.docx", "A 40491-2023")</f>
        <v/>
      </c>
      <c r="AD15">
        <f>HYPERLINK("https://klasma.github.io/Logging_1380/tillsynsmail/A 40491-2023 tillsynsbegäran mail.docx", "A 40491-2023")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46289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46289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46289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39252-2026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46289</v>
      </c>
      <c r="F23" t="inlineStr">
        <is>
          <t>HALLANDS LÄN</t>
        </is>
      </c>
      <c r="G23" t="inlineStr">
        <is>
          <t>HALMSTAD</t>
        </is>
      </c>
      <c r="I23" t="n">
        <v>0.8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Flikbålmossa
Loppstarr
Mörk dunört</t>
        </is>
      </c>
      <c r="W23">
        <f>HYPERLINK("https://klasma.github.io/Logging_1380/artfynd/A 39252-2026 artfynd.xlsx", "A 39252-2026")</f>
        <v/>
      </c>
      <c r="X23">
        <f>HYPERLINK("https://klasma.github.io/Logging_1380/kartor/A 39252-2026 karta.png", "A 39252-2026")</f>
        <v/>
      </c>
      <c r="Y23">
        <f>HYPERLINK("https://klasma.github.io/Logging_1380/kartor_geotiff/A 39252-2026 georefererad karta.tif", "A 39252-2026")</f>
        <v/>
      </c>
      <c r="AA23">
        <f>HYPERLINK("https://klasma.github.io/Logging_1380/klagomål/A 39252-2026 FSC-klagomål.docx", "A 39252-2026")</f>
        <v/>
      </c>
      <c r="AB23">
        <f>HYPERLINK("https://klasma.github.io/Logging_1380/klagomålsmail/A 39252-2026 FSC-klagomål mail.docx", "A 39252-2026")</f>
        <v/>
      </c>
      <c r="AC23">
        <f>HYPERLINK("https://klasma.github.io/Logging_1380/tillsyn/A 39252-2026 tillsynsbegäran.docx", "A 39252-2026")</f>
        <v/>
      </c>
      <c r="AD23">
        <f>HYPERLINK("https://klasma.github.io/Logging_1380/tillsynsmail/A 39252-2026 tillsynsbegäran mail.docx", "A 39252-2026")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46289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46289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46289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46289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46289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46289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46289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46289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46289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46289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61670-2023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46289</v>
      </c>
      <c r="F36" t="inlineStr">
        <is>
          <t>HALLANDS LÄN</t>
        </is>
      </c>
      <c r="G36" t="inlineStr">
        <is>
          <t>HALMSTAD</t>
        </is>
      </c>
      <c r="H36" t="inlineStr">
        <is>
          <t>Bergvik skog väst AB</t>
        </is>
      </c>
      <c r="I36" t="n">
        <v>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14</v>
      </c>
      <c r="U36" t="n">
        <v>0</v>
      </c>
      <c r="V36" s="2" t="inlineStr">
        <is>
          <t>Nordfladdermus
Dvärgpipistrell</t>
        </is>
      </c>
      <c r="W36">
        <f>HYPERLINK("https://klasma.github.io/Logging_1380/artfynd/A 61670-2023 artfynd.xlsx", "A 61670-2023")</f>
        <v/>
      </c>
      <c r="X36">
        <f>HYPERLINK("https://klasma.github.io/Logging_1380/kartor/A 61670-2023 karta.png", "A 61670-2023")</f>
        <v/>
      </c>
      <c r="Y36">
        <f>HYPERLINK("https://klasma.github.io/Logging_1380/kartor_geotiff/A 61670-2023 georefererad karta.tif", "A 61670-2023")</f>
        <v/>
      </c>
      <c r="AA36">
        <f>HYPERLINK("https://klasma.github.io/Logging_1380/klagomål/A 61670-2023 FSC-klagomål.docx", "A 61670-2023")</f>
        <v/>
      </c>
      <c r="AB36">
        <f>HYPERLINK("https://klasma.github.io/Logging_1380/klagomålsmail/A 61670-2023 FSC-klagomål mail.docx", "A 61670-2023")</f>
        <v/>
      </c>
      <c r="AC36">
        <f>HYPERLINK("https://klasma.github.io/Logging_1380/tillsyn/A 61670-2023 tillsynsbegäran.docx", "A 61670-2023")</f>
        <v/>
      </c>
      <c r="AD36">
        <f>HYPERLINK("https://klasma.github.io/Logging_1380/tillsynsmail/A 61670-2023 tillsynsbegäran mail.docx", "A 61670-2023")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46289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46289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37137-2025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45874</v>
      </c>
      <c r="E39" s="1" t="n">
        <v>46289</v>
      </c>
      <c r="F39" t="inlineStr">
        <is>
          <t>HALLANDS LÄN</t>
        </is>
      </c>
      <c r="G39" t="inlineStr">
        <is>
          <t>HALMSTAD</t>
        </is>
      </c>
      <c r="I39" t="n">
        <v>21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3</v>
      </c>
      <c r="V39" s="2" t="inlineStr">
        <is>
          <t>Dvärglin
Kambräken</t>
        </is>
      </c>
      <c r="W39">
        <f>HYPERLINK("https://klasma.github.io/Logging_1380/artfynd/A 37137-2025 artfynd.xlsx", "A 37137-2025")</f>
        <v/>
      </c>
      <c r="X39">
        <f>HYPERLINK("https://klasma.github.io/Logging_1380/kartor/A 37137-2025 karta.png", "A 37137-2025")</f>
        <v/>
      </c>
      <c r="Y39">
        <f>HYPERLINK("https://klasma.github.io/Logging_1380/kartor_geotiff/A 37137-2025 georefererad karta.tif", "A 37137-2025")</f>
        <v/>
      </c>
      <c r="AA39">
        <f>HYPERLINK("https://klasma.github.io/Logging_1380/klagomål/A 37137-2025 FSC-klagomål.docx", "A 37137-2025")</f>
        <v/>
      </c>
      <c r="AB39">
        <f>HYPERLINK("https://klasma.github.io/Logging_1380/klagomålsmail/A 37137-2025 FSC-klagomål mail.docx", "A 37137-2025")</f>
        <v/>
      </c>
      <c r="AC39">
        <f>HYPERLINK("https://klasma.github.io/Logging_1380/tillsyn/A 37137-2025 tillsynsbegäran.docx", "A 37137-2025")</f>
        <v/>
      </c>
      <c r="AD39">
        <f>HYPERLINK("https://klasma.github.io/Logging_1380/tillsynsmail/A 37137-2025 tillsynsbegäran mail.docx", "A 37137-2025")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46289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A 25250-2026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46289</v>
      </c>
      <c r="F41" t="inlineStr">
        <is>
          <t>HALLANDS LÄN</t>
        </is>
      </c>
      <c r="G41" t="inlineStr">
        <is>
          <t>HALMSTAD</t>
        </is>
      </c>
      <c r="I41" t="n">
        <v>3.6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Tibast</t>
        </is>
      </c>
      <c r="W41">
        <f>HYPERLINK("https://klasma.github.io/Logging_1380/artfynd/A 25250-2026 artfynd.xlsx", "A 25250-2026")</f>
        <v/>
      </c>
      <c r="X41">
        <f>HYPERLINK("https://klasma.github.io/Logging_1380/kartor/A 25250-2026 karta.png", "A 25250-2026")</f>
        <v/>
      </c>
      <c r="Y41">
        <f>HYPERLINK("https://klasma.github.io/Logging_1380/kartor_geotiff/A 25250-2026 georefererad karta.tif", "A 25250-2026")</f>
        <v/>
      </c>
      <c r="AA41">
        <f>HYPERLINK("https://klasma.github.io/Logging_1380/klagomål/A 25250-2026 FSC-klagomål.docx", "A 25250-2026")</f>
        <v/>
      </c>
      <c r="AB41">
        <f>HYPERLINK("https://klasma.github.io/Logging_1380/klagomålsmail/A 25250-2026 FSC-klagomål mail.docx", "A 25250-2026")</f>
        <v/>
      </c>
      <c r="AC41">
        <f>HYPERLINK("https://klasma.github.io/Logging_1380/tillsyn/A 25250-2026 tillsynsbegäran.docx", "A 25250-2026")</f>
        <v/>
      </c>
      <c r="AD41">
        <f>HYPERLINK("https://klasma.github.io/Logging_1380/tillsynsmail/A 25250-2026 tillsynsbegäran mail.docx", "A 25250-2026")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46289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46289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46289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46289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46289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46289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17266-2023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45035</v>
      </c>
      <c r="E48" s="1" t="n">
        <v>46289</v>
      </c>
      <c r="F48" t="inlineStr">
        <is>
          <t>HALLANDS LÄN</t>
        </is>
      </c>
      <c r="G48" t="inlineStr">
        <is>
          <t>HALMSTAD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HYPERLINK("https://klasma.github.io/Logging_1380/artfynd/A 17266-2023 artfynd.xlsx", "A 17266-2023")</f>
        <v/>
      </c>
      <c r="X48">
        <f>HYPERLINK("https://klasma.github.io/Logging_1380/kartor/A 17266-2023 karta.png", "A 17266-2023")</f>
        <v/>
      </c>
      <c r="Y48">
        <f>HYPERLINK("https://klasma.github.io/Logging_1380/kartor_geotiff/A 17266-2023 georefererad karta.tif", "A 17266-2023")</f>
        <v/>
      </c>
      <c r="AA48">
        <f>HYPERLINK("https://klasma.github.io/Logging_1380/klagomål/A 17266-2023 FSC-klagomål.docx", "A 17266-2023")</f>
        <v/>
      </c>
      <c r="AB48">
        <f>HYPERLINK("https://klasma.github.io/Logging_1380/klagomålsmail/A 17266-2023 FSC-klagomål mail.docx", "A 17266-2023")</f>
        <v/>
      </c>
      <c r="AC48">
        <f>HYPERLINK("https://klasma.github.io/Logging_1380/tillsyn/A 17266-2023 tillsynsbegäran.docx", "A 17266-2023")</f>
        <v/>
      </c>
      <c r="AD48">
        <f>HYPERLINK("https://klasma.github.io/Logging_1380/tillsynsmail/A 17266-2023 tillsynsbegäran mail.docx", "A 17266-2023")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46289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59260-2022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46289</v>
      </c>
      <c r="F50" t="inlineStr">
        <is>
          <t>HALLANDS LÄN</t>
        </is>
      </c>
      <c r="G50" t="inlineStr">
        <is>
          <t>HALMSTAD</t>
        </is>
      </c>
      <c r="H50" t="inlineStr">
        <is>
          <t>Bergvik skog väst AB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HYPERLINK("https://klasma.github.io/Logging_1380/artfynd/A 59260-2022 artfynd.xlsx", "A 59260-2022")</f>
        <v/>
      </c>
      <c r="X50">
        <f>HYPERLINK("https://klasma.github.io/Logging_1380/kartor/A 59260-2022 karta.png", "A 59260-2022")</f>
        <v/>
      </c>
      <c r="Y50">
        <f>HYPERLINK("https://klasma.github.io/Logging_1380/kartor_geotiff/A 59260-2022 georefererad karta.tif", "A 59260-2022")</f>
        <v/>
      </c>
      <c r="AA50">
        <f>HYPERLINK("https://klasma.github.io/Logging_1380/klagomål/A 59260-2022 FSC-klagomål.docx", "A 59260-2022")</f>
        <v/>
      </c>
      <c r="AB50">
        <f>HYPERLINK("https://klasma.github.io/Logging_1380/klagomålsmail/A 59260-2022 FSC-klagomål mail.docx", "A 59260-2022")</f>
        <v/>
      </c>
      <c r="AC50">
        <f>HYPERLINK("https://klasma.github.io/Logging_1380/tillsyn/A 59260-2022 tillsynsbegäran.docx", "A 59260-2022")</f>
        <v/>
      </c>
      <c r="AD50">
        <f>HYPERLINK("https://klasma.github.io/Logging_1380/tillsynsmail/A 59260-2022 tillsynsbegäran mail.docx", "A 59260-2022")</f>
        <v/>
      </c>
    </row>
    <row r="51" ht="15" customHeight="1">
      <c r="A51" t="inlineStr">
        <is>
          <t>A 32753-2023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45122</v>
      </c>
      <c r="E51" s="1" t="n">
        <v>46289</v>
      </c>
      <c r="F51" t="inlineStr">
        <is>
          <t>HALLANDS LÄN</t>
        </is>
      </c>
      <c r="G51" t="inlineStr">
        <is>
          <t>HALMSTAD</t>
        </is>
      </c>
      <c r="I51" t="n">
        <v>2.7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Entita</t>
        </is>
      </c>
      <c r="W51">
        <f>HYPERLINK("https://klasma.github.io/Logging_1380/artfynd/A 32753-2023 artfynd.xlsx", "A 32753-2023")</f>
        <v/>
      </c>
      <c r="X51">
        <f>HYPERLINK("https://klasma.github.io/Logging_1380/kartor/A 32753-2023 karta.png", "A 32753-2023")</f>
        <v/>
      </c>
      <c r="Y51">
        <f>HYPERLINK("https://klasma.github.io/Logging_1380/kartor_geotiff/A 32753-2023 georefererad karta.tif", "A 32753-2023")</f>
        <v/>
      </c>
      <c r="AA51">
        <f>HYPERLINK("https://klasma.github.io/Logging_1380/klagomål/A 32753-2023 FSC-klagomål.docx", "A 32753-2023")</f>
        <v/>
      </c>
      <c r="AB51">
        <f>HYPERLINK("https://klasma.github.io/Logging_1380/klagomålsmail/A 32753-2023 FSC-klagomål mail.docx", "A 32753-2023")</f>
        <v/>
      </c>
      <c r="AC51">
        <f>HYPERLINK("https://klasma.github.io/Logging_1380/tillsyn/A 32753-2023 tillsynsbegäran.docx", "A 32753-2023")</f>
        <v/>
      </c>
      <c r="AD51">
        <f>HYPERLINK("https://klasma.github.io/Logging_1380/tillsynsmail/A 32753-2023 tillsynsbegäran mail.docx", "A 32753-2023")</f>
        <v/>
      </c>
      <c r="AE51">
        <f>HYPERLINK("https://klasma.github.io/Logging_1380/fåglar/A 32753-2023 prioriterade fågelarter.docx", "A 32753-2023")</f>
        <v/>
      </c>
    </row>
    <row r="52" ht="15" customHeight="1">
      <c r="A52" t="inlineStr">
        <is>
          <t>A 27386-2025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46289</v>
      </c>
      <c r="F52" t="inlineStr">
        <is>
          <t>HALLANDS LÄN</t>
        </is>
      </c>
      <c r="G52" t="inlineStr">
        <is>
          <t>HALMSTAD</t>
        </is>
      </c>
      <c r="I52" t="n">
        <v>8.5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27386-2025 artfynd.xlsx", "A 27386-2025")</f>
        <v/>
      </c>
      <c r="X52">
        <f>HYPERLINK("https://klasma.github.io/Logging_1380/kartor/A 27386-2025 karta.png", "A 27386-2025")</f>
        <v/>
      </c>
      <c r="Y52">
        <f>HYPERLINK("https://klasma.github.io/Logging_1380/kartor_geotiff/A 27386-2025 georefererad karta.tif", "A 27386-2025")</f>
        <v/>
      </c>
      <c r="AA52">
        <f>HYPERLINK("https://klasma.github.io/Logging_1380/klagomål/A 27386-2025 FSC-klagomål.docx", "A 27386-2025")</f>
        <v/>
      </c>
      <c r="AB52">
        <f>HYPERLINK("https://klasma.github.io/Logging_1380/klagomålsmail/A 27386-2025 FSC-klagomål mail.docx", "A 27386-2025")</f>
        <v/>
      </c>
      <c r="AC52">
        <f>HYPERLINK("https://klasma.github.io/Logging_1380/tillsyn/A 27386-2025 tillsynsbegäran.docx", "A 27386-2025")</f>
        <v/>
      </c>
      <c r="AD52">
        <f>HYPERLINK("https://klasma.github.io/Logging_1380/tillsynsmail/A 27386-2025 tillsynsbegäran mail.docx", "A 27386-2025")</f>
        <v/>
      </c>
    </row>
    <row r="53" ht="15" customHeight="1">
      <c r="A53" t="inlineStr">
        <is>
          <t>A 40650-2023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46289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14.7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HYPERLINK("https://klasma.github.io/Logging_1380/artfynd/A 40650-2023 artfynd.xlsx", "A 40650-2023")</f>
        <v/>
      </c>
      <c r="X53">
        <f>HYPERLINK("https://klasma.github.io/Logging_1380/kartor/A 40650-2023 karta.png", "A 40650-2023")</f>
        <v/>
      </c>
      <c r="Y53">
        <f>HYPERLINK("https://klasma.github.io/Logging_1380/kartor_geotiff/A 40650-2023 georefererad karta.tif", "A 40650-2023")</f>
        <v/>
      </c>
      <c r="AA53">
        <f>HYPERLINK("https://klasma.github.io/Logging_1380/klagomål/A 40650-2023 FSC-klagomål.docx", "A 40650-2023")</f>
        <v/>
      </c>
      <c r="AB53">
        <f>HYPERLINK("https://klasma.github.io/Logging_1380/klagomålsmail/A 40650-2023 FSC-klagomål mail.docx", "A 40650-2023")</f>
        <v/>
      </c>
      <c r="AC53">
        <f>HYPERLINK("https://klasma.github.io/Logging_1380/tillsyn/A 40650-2023 tillsynsbegäran.docx", "A 40650-2023")</f>
        <v/>
      </c>
      <c r="AD53">
        <f>HYPERLINK("https://klasma.github.io/Logging_1380/tillsynsmail/A 40650-2023 tillsynsbegäran mail.docx", "A 40650-2023")</f>
        <v/>
      </c>
    </row>
    <row r="54" ht="15" customHeight="1">
      <c r="A54" t="inlineStr">
        <is>
          <t>A 21488-2024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45441</v>
      </c>
      <c r="E54" s="1" t="n">
        <v>46289</v>
      </c>
      <c r="F54" t="inlineStr">
        <is>
          <t>HALLANDS LÄN</t>
        </is>
      </c>
      <c r="G54" t="inlineStr">
        <is>
          <t>HALMSTAD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Hårginst</t>
        </is>
      </c>
      <c r="W54">
        <f>HYPERLINK("https://klasma.github.io/Logging_1380/artfynd/A 21488-2024 artfynd.xlsx", "A 21488-2024")</f>
        <v/>
      </c>
      <c r="X54">
        <f>HYPERLINK("https://klasma.github.io/Logging_1380/kartor/A 21488-2024 karta.png", "A 21488-2024")</f>
        <v/>
      </c>
      <c r="Y54">
        <f>HYPERLINK("https://klasma.github.io/Logging_1380/kartor_geotiff/A 21488-2024 georefererad karta.tif", "A 21488-2024")</f>
        <v/>
      </c>
      <c r="AA54">
        <f>HYPERLINK("https://klasma.github.io/Logging_1380/klagomål/A 21488-2024 FSC-klagomål.docx", "A 21488-2024")</f>
        <v/>
      </c>
      <c r="AB54">
        <f>HYPERLINK("https://klasma.github.io/Logging_1380/klagomålsmail/A 21488-2024 FSC-klagomål mail.docx", "A 21488-2024")</f>
        <v/>
      </c>
      <c r="AC54">
        <f>HYPERLINK("https://klasma.github.io/Logging_1380/tillsyn/A 21488-2024 tillsynsbegäran.docx", "A 21488-2024")</f>
        <v/>
      </c>
      <c r="AD54">
        <f>HYPERLINK("https://klasma.github.io/Logging_1380/tillsynsmail/A 21488-2024 tillsynsbegäran mail.docx", "A 21488-2024")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46289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Hårginst</t>
        </is>
      </c>
      <c r="W55">
        <f>HYPERLINK("https://klasma.github.io/Logging_1380/artfynd/A 40623-2023 artfynd.xlsx", "A 40623-2023")</f>
        <v/>
      </c>
      <c r="X55">
        <f>HYPERLINK("https://klasma.github.io/Logging_1380/kartor/A 40623-2023 karta.png", "A 40623-2023")</f>
        <v/>
      </c>
      <c r="Y55">
        <f>HYPERLINK("https://klasma.github.io/Logging_1380/kartor_geotiff/A 40623-2023 georefererad karta.tif", "A 40623-2023")</f>
        <v/>
      </c>
      <c r="AA55">
        <f>HYPERLINK("https://klasma.github.io/Logging_1380/klagomål/A 40623-2023 FSC-klagomål.docx", "A 40623-2023")</f>
        <v/>
      </c>
      <c r="AB55">
        <f>HYPERLINK("https://klasma.github.io/Logging_1380/klagomålsmail/A 40623-2023 FSC-klagomål mail.docx", "A 40623-2023")</f>
        <v/>
      </c>
      <c r="AC55">
        <f>HYPERLINK("https://klasma.github.io/Logging_1380/tillsyn/A 40623-2023 tillsynsbegäran.docx", "A 40623-2023")</f>
        <v/>
      </c>
      <c r="AD55">
        <f>HYPERLINK("https://klasma.github.io/Logging_1380/tillsynsmail/A 40623-2023 tillsynsbegäran mail.docx", "A 40623-2023")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46289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2994-2024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45315</v>
      </c>
      <c r="E57" s="1" t="n">
        <v>46289</v>
      </c>
      <c r="F57" t="inlineStr">
        <is>
          <t>HALLANDS LÄN</t>
        </is>
      </c>
      <c r="G57" t="inlineStr">
        <is>
          <t>HALMSTAD</t>
        </is>
      </c>
      <c r="I57" t="n">
        <v>7.9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HYPERLINK("https://klasma.github.io/Logging_1380/artfynd/A 2994-2024 artfynd.xlsx", "A 2994-2024")</f>
        <v/>
      </c>
      <c r="X57">
        <f>HYPERLINK("https://klasma.github.io/Logging_1380/kartor/A 2994-2024 karta.png", "A 2994-2024")</f>
        <v/>
      </c>
      <c r="Y57">
        <f>HYPERLINK("https://klasma.github.io/Logging_1380/kartor_geotiff/A 2994-2024 georefererad karta.tif", "A 2994-2024")</f>
        <v/>
      </c>
      <c r="AA57">
        <f>HYPERLINK("https://klasma.github.io/Logging_1380/klagomål/A 2994-2024 FSC-klagomål.docx", "A 2994-2024")</f>
        <v/>
      </c>
      <c r="AB57">
        <f>HYPERLINK("https://klasma.github.io/Logging_1380/klagomålsmail/A 2994-2024 FSC-klagomål mail.docx", "A 2994-2024")</f>
        <v/>
      </c>
      <c r="AC57">
        <f>HYPERLINK("https://klasma.github.io/Logging_1380/tillsyn/A 2994-2024 tillsynsbegäran.docx", "A 2994-2024")</f>
        <v/>
      </c>
      <c r="AD57">
        <f>HYPERLINK("https://klasma.github.io/Logging_1380/tillsynsmail/A 2994-2024 tillsynsbegäran mail.docx", "A 2994-2024")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46289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53797-2024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46289</v>
      </c>
      <c r="F59" t="inlineStr">
        <is>
          <t>HALLANDS LÄN</t>
        </is>
      </c>
      <c r="G59" t="inlineStr">
        <is>
          <t>HALMSTAD</t>
        </is>
      </c>
      <c r="I59" t="n">
        <v>3.5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Dvärglin</t>
        </is>
      </c>
      <c r="W59">
        <f>HYPERLINK("https://klasma.github.io/Logging_1380/artfynd/A 53797-2024 artfynd.xlsx", "A 53797-2024")</f>
        <v/>
      </c>
      <c r="X59">
        <f>HYPERLINK("https://klasma.github.io/Logging_1380/kartor/A 53797-2024 karta.png", "A 53797-2024")</f>
        <v/>
      </c>
      <c r="Y59">
        <f>HYPERLINK("https://klasma.github.io/Logging_1380/kartor_geotiff/A 53797-2024 georefererad karta.tif", "A 53797-2024")</f>
        <v/>
      </c>
      <c r="AA59">
        <f>HYPERLINK("https://klasma.github.io/Logging_1380/klagomål/A 53797-2024 FSC-klagomål.docx", "A 53797-2024")</f>
        <v/>
      </c>
      <c r="AB59">
        <f>HYPERLINK("https://klasma.github.io/Logging_1380/klagomålsmail/A 53797-2024 FSC-klagomål mail.docx", "A 53797-2024")</f>
        <v/>
      </c>
      <c r="AC59">
        <f>HYPERLINK("https://klasma.github.io/Logging_1380/tillsyn/A 53797-2024 tillsynsbegäran.docx", "A 53797-2024")</f>
        <v/>
      </c>
      <c r="AD59">
        <f>HYPERLINK("https://klasma.github.io/Logging_1380/tillsynsmail/A 53797-2024 tillsynsbegäran mail.docx", "A 53797-2024")</f>
        <v/>
      </c>
    </row>
    <row r="60" ht="15" customHeight="1">
      <c r="A60" t="inlineStr">
        <is>
          <t>A 32822-2025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46289</v>
      </c>
      <c r="F60" t="inlineStr">
        <is>
          <t>HALLANDS LÄN</t>
        </is>
      </c>
      <c r="G60" t="inlineStr">
        <is>
          <t>HALMSTAD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32822-2025 artfynd.xlsx", "A 32822-2025")</f>
        <v/>
      </c>
      <c r="X60">
        <f>HYPERLINK("https://klasma.github.io/Logging_1380/kartor/A 32822-2025 karta.png", "A 32822-2025")</f>
        <v/>
      </c>
      <c r="Y60">
        <f>HYPERLINK("https://klasma.github.io/Logging_1380/kartor_geotiff/A 32822-2025 georefererad karta.tif", "A 32822-2025")</f>
        <v/>
      </c>
      <c r="AA60">
        <f>HYPERLINK("https://klasma.github.io/Logging_1380/klagomål/A 32822-2025 FSC-klagomål.docx", "A 32822-2025")</f>
        <v/>
      </c>
      <c r="AB60">
        <f>HYPERLINK("https://klasma.github.io/Logging_1380/klagomålsmail/A 32822-2025 FSC-klagomål mail.docx", "A 32822-2025")</f>
        <v/>
      </c>
      <c r="AC60">
        <f>HYPERLINK("https://klasma.github.io/Logging_1380/tillsyn/A 32822-2025 tillsynsbegäran.docx", "A 32822-2025")</f>
        <v/>
      </c>
      <c r="AD60">
        <f>HYPERLINK("https://klasma.github.io/Logging_1380/tillsynsmail/A 32822-2025 tillsynsbegäran mail.docx", "A 32822-2025")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46289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46289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46289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46289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24383-2023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46289</v>
      </c>
      <c r="F65" t="inlineStr">
        <is>
          <t>HALLANDS LÄN</t>
        </is>
      </c>
      <c r="G65" t="inlineStr">
        <is>
          <t>HALMSTAD</t>
        </is>
      </c>
      <c r="I65" t="n">
        <v>3.2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24383-2023 artfynd.xlsx", "A 24383-2023")</f>
        <v/>
      </c>
      <c r="X65">
        <f>HYPERLINK("https://klasma.github.io/Logging_1380/kartor/A 24383-2023 karta.png", "A 24383-2023")</f>
        <v/>
      </c>
      <c r="Y65">
        <f>HYPERLINK("https://klasma.github.io/Logging_1380/kartor_geotiff/A 24383-2023 georefererad karta.tif", "A 24383-2023")</f>
        <v/>
      </c>
      <c r="AA65">
        <f>HYPERLINK("https://klasma.github.io/Logging_1380/klagomål/A 24383-2023 FSC-klagomål.docx", "A 24383-2023")</f>
        <v/>
      </c>
      <c r="AB65">
        <f>HYPERLINK("https://klasma.github.io/Logging_1380/klagomålsmail/A 24383-2023 FSC-klagomål mail.docx", "A 24383-2023")</f>
        <v/>
      </c>
      <c r="AC65">
        <f>HYPERLINK("https://klasma.github.io/Logging_1380/tillsyn/A 24383-2023 tillsynsbegäran.docx", "A 24383-2023")</f>
        <v/>
      </c>
      <c r="AD65">
        <f>HYPERLINK("https://klasma.github.io/Logging_1380/tillsynsmail/A 24383-2023 tillsynsbegäran mail.docx", "A 24383-2023")</f>
        <v/>
      </c>
    </row>
    <row r="66" ht="15" customHeight="1">
      <c r="A66" t="inlineStr">
        <is>
          <t>A 16387-2023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46289</v>
      </c>
      <c r="F66" t="inlineStr">
        <is>
          <t>HALLANDS LÄN</t>
        </is>
      </c>
      <c r="G66" t="inlineStr">
        <is>
          <t>HALMSTAD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HYPERLINK("https://klasma.github.io/Logging_1380/artfynd/A 16387-2023 artfynd.xlsx", "A 16387-2023")</f>
        <v/>
      </c>
      <c r="X66">
        <f>HYPERLINK("https://klasma.github.io/Logging_1380/kartor/A 16387-2023 karta.png", "A 16387-2023")</f>
        <v/>
      </c>
      <c r="Y66">
        <f>HYPERLINK("https://klasma.github.io/Logging_1380/kartor_geotiff/A 16387-2023 georefererad karta.tif", "A 16387-2023")</f>
        <v/>
      </c>
      <c r="AA66">
        <f>HYPERLINK("https://klasma.github.io/Logging_1380/klagomål/A 16387-2023 FSC-klagomål.docx", "A 16387-2023")</f>
        <v/>
      </c>
      <c r="AB66">
        <f>HYPERLINK("https://klasma.github.io/Logging_1380/klagomålsmail/A 16387-2023 FSC-klagomål mail.docx", "A 16387-2023")</f>
        <v/>
      </c>
      <c r="AC66">
        <f>HYPERLINK("https://klasma.github.io/Logging_1380/tillsyn/A 16387-2023 tillsynsbegäran.docx", "A 16387-2023")</f>
        <v/>
      </c>
      <c r="AD66">
        <f>HYPERLINK("https://klasma.github.io/Logging_1380/tillsynsmail/A 16387-2023 tillsynsbegäran mail.docx", "A 16387-2023")</f>
        <v/>
      </c>
      <c r="AE66">
        <f>HYPERLINK("https://klasma.github.io/Logging_1380/fåglar/A 16387-2023 prioriterade fågelarter.docx", "A 16387-2023")</f>
        <v/>
      </c>
    </row>
    <row r="67" ht="15" customHeight="1">
      <c r="A67" t="inlineStr">
        <is>
          <t>A 10063-2022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46289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Hasselmus</t>
        </is>
      </c>
      <c r="W67">
        <f>HYPERLINK("https://klasma.github.io/Logging_1380/artfynd/A 10063-2022 artfynd.xlsx", "A 10063-2022")</f>
        <v/>
      </c>
      <c r="X67">
        <f>HYPERLINK("https://klasma.github.io/Logging_1380/kartor/A 10063-2022 karta.png", "A 10063-2022")</f>
        <v/>
      </c>
      <c r="Y67">
        <f>HYPERLINK("https://klasma.github.io/Logging_1380/kartor_geotiff/A 10063-2022 georefererad karta.tif", "A 10063-2022")</f>
        <v/>
      </c>
      <c r="AA67">
        <f>HYPERLINK("https://klasma.github.io/Logging_1380/klagomål/A 10063-2022 FSC-klagomål.docx", "A 10063-2022")</f>
        <v/>
      </c>
      <c r="AB67">
        <f>HYPERLINK("https://klasma.github.io/Logging_1380/klagomålsmail/A 10063-2022 FSC-klagomål mail.docx", "A 10063-2022")</f>
        <v/>
      </c>
      <c r="AC67">
        <f>HYPERLINK("https://klasma.github.io/Logging_1380/tillsyn/A 10063-2022 tillsynsbegäran.docx", "A 10063-2022")</f>
        <v/>
      </c>
      <c r="AD67">
        <f>HYPERLINK("https://klasma.github.io/Logging_1380/tillsynsmail/A 10063-2022 tillsynsbegäran mail.docx", "A 10063-2022")</f>
        <v/>
      </c>
    </row>
    <row r="68" ht="15" customHeight="1">
      <c r="A68" t="inlineStr">
        <is>
          <t>A 20419-2022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44699</v>
      </c>
      <c r="E68" s="1" t="n">
        <v>46289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6.5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20419-2022 artfynd.xlsx", "A 20419-2022")</f>
        <v/>
      </c>
      <c r="X68">
        <f>HYPERLINK("https://klasma.github.io/Logging_1380/kartor/A 20419-2022 karta.png", "A 20419-2022")</f>
        <v/>
      </c>
      <c r="Y68">
        <f>HYPERLINK("https://klasma.github.io/Logging_1380/kartor_geotiff/A 20419-2022 georefererad karta.tif", "A 20419-2022")</f>
        <v/>
      </c>
      <c r="AA68">
        <f>HYPERLINK("https://klasma.github.io/Logging_1380/klagomål/A 20419-2022 FSC-klagomål.docx", "A 20419-2022")</f>
        <v/>
      </c>
      <c r="AB68">
        <f>HYPERLINK("https://klasma.github.io/Logging_1380/klagomålsmail/A 20419-2022 FSC-klagomål mail.docx", "A 20419-2022")</f>
        <v/>
      </c>
      <c r="AC68">
        <f>HYPERLINK("https://klasma.github.io/Logging_1380/tillsyn/A 20419-2022 tillsynsbegäran.docx", "A 20419-2022")</f>
        <v/>
      </c>
      <c r="AD68">
        <f>HYPERLINK("https://klasma.github.io/Logging_1380/tillsynsmail/A 20419-2022 tillsynsbegäran mail.docx", "A 20419-2022")</f>
        <v/>
      </c>
    </row>
    <row r="69" ht="15" customHeight="1">
      <c r="A69" t="inlineStr">
        <is>
          <t>A 37139-2025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46289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HYPERLINK("https://klasma.github.io/Logging_1380/artfynd/A 37139-2025 artfynd.xlsx", "A 37139-2025")</f>
        <v/>
      </c>
      <c r="X69">
        <f>HYPERLINK("https://klasma.github.io/Logging_1380/kartor/A 37139-2025 karta.png", "A 37139-2025")</f>
        <v/>
      </c>
      <c r="Y69">
        <f>HYPERLINK("https://klasma.github.io/Logging_1380/kartor_geotiff/A 37139-2025 georefererad karta.tif", "A 37139-2025")</f>
        <v/>
      </c>
      <c r="AA69">
        <f>HYPERLINK("https://klasma.github.io/Logging_1380/klagomål/A 37139-2025 FSC-klagomål.docx", "A 37139-2025")</f>
        <v/>
      </c>
      <c r="AB69">
        <f>HYPERLINK("https://klasma.github.io/Logging_1380/klagomålsmail/A 37139-2025 FSC-klagomål mail.docx", "A 37139-2025")</f>
        <v/>
      </c>
      <c r="AC69">
        <f>HYPERLINK("https://klasma.github.io/Logging_1380/tillsyn/A 37139-2025 tillsynsbegäran.docx", "A 37139-2025")</f>
        <v/>
      </c>
      <c r="AD69">
        <f>HYPERLINK("https://klasma.github.io/Logging_1380/tillsynsmail/A 37139-2025 tillsynsbegäran mail.docx", "A 37139-2025")</f>
        <v/>
      </c>
    </row>
    <row r="70" ht="15" customHeight="1">
      <c r="A70" t="inlineStr">
        <is>
          <t>A 5240-2025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46289</v>
      </c>
      <c r="F70" t="inlineStr">
        <is>
          <t>HALLANDS LÄN</t>
        </is>
      </c>
      <c r="G70" t="inlineStr">
        <is>
          <t>HALMSTAD</t>
        </is>
      </c>
      <c r="I70" t="n">
        <v>8.300000000000001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Mussellav</t>
        </is>
      </c>
      <c r="W70">
        <f>HYPERLINK("https://klasma.github.io/Logging_1380/artfynd/A 5240-2025 artfynd.xlsx", "A 5240-2025")</f>
        <v/>
      </c>
      <c r="X70">
        <f>HYPERLINK("https://klasma.github.io/Logging_1380/kartor/A 5240-2025 karta.png", "A 5240-2025")</f>
        <v/>
      </c>
      <c r="Y70">
        <f>HYPERLINK("https://klasma.github.io/Logging_1380/kartor_geotiff/A 5240-2025 georefererad karta.tif", "A 5240-2025")</f>
        <v/>
      </c>
      <c r="AA70">
        <f>HYPERLINK("https://klasma.github.io/Logging_1380/klagomål/A 5240-2025 FSC-klagomål.docx", "A 5240-2025")</f>
        <v/>
      </c>
      <c r="AB70">
        <f>HYPERLINK("https://klasma.github.io/Logging_1380/klagomålsmail/A 5240-2025 FSC-klagomål mail.docx", "A 5240-2025")</f>
        <v/>
      </c>
      <c r="AC70">
        <f>HYPERLINK("https://klasma.github.io/Logging_1380/tillsyn/A 5240-2025 tillsynsbegäran.docx", "A 5240-2025")</f>
        <v/>
      </c>
      <c r="AD70">
        <f>HYPERLINK("https://klasma.github.io/Logging_1380/tillsynsmail/A 5240-2025 tillsynsbegäran mail.docx", "A 5240-2025")</f>
        <v/>
      </c>
    </row>
    <row r="71" ht="15" customHeight="1">
      <c r="A71" t="inlineStr">
        <is>
          <t>A 1610-2024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46289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Månlåsbräken</t>
        </is>
      </c>
      <c r="W71">
        <f>HYPERLINK("https://klasma.github.io/Logging_1380/artfynd/A 1610-2024 artfynd.xlsx", "A 1610-2024")</f>
        <v/>
      </c>
      <c r="X71">
        <f>HYPERLINK("https://klasma.github.io/Logging_1380/kartor/A 1610-2024 karta.png", "A 1610-2024")</f>
        <v/>
      </c>
      <c r="Y71">
        <f>HYPERLINK("https://klasma.github.io/Logging_1380/kartor_geotiff/A 1610-2024 georefererad karta.tif", "A 1610-2024")</f>
        <v/>
      </c>
      <c r="AA71">
        <f>HYPERLINK("https://klasma.github.io/Logging_1380/klagomål/A 1610-2024 FSC-klagomål.docx", "A 1610-2024")</f>
        <v/>
      </c>
      <c r="AB71">
        <f>HYPERLINK("https://klasma.github.io/Logging_1380/klagomålsmail/A 1610-2024 FSC-klagomål mail.docx", "A 1610-2024")</f>
        <v/>
      </c>
      <c r="AC71">
        <f>HYPERLINK("https://klasma.github.io/Logging_1380/tillsyn/A 1610-2024 tillsynsbegäran.docx", "A 1610-2024")</f>
        <v/>
      </c>
      <c r="AD71">
        <f>HYPERLINK("https://klasma.github.io/Logging_1380/tillsynsmail/A 1610-2024 tillsynsbegäran mail.docx", "A 1610-2024")</f>
        <v/>
      </c>
    </row>
    <row r="72" ht="15" customHeight="1">
      <c r="A72" t="inlineStr">
        <is>
          <t>A 22842-2022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46289</v>
      </c>
      <c r="F72" t="inlineStr">
        <is>
          <t>HALLANDS LÄN</t>
        </is>
      </c>
      <c r="G72" t="inlineStr">
        <is>
          <t>HALMSTAD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4</v>
      </c>
      <c r="V72" s="2" t="inlineStr">
        <is>
          <t>Spillkråka</t>
        </is>
      </c>
      <c r="W72">
        <f>HYPERLINK("https://klasma.github.io/Logging_1380/artfynd/A 22842-2022 artfynd.xlsx", "A 22842-2022")</f>
        <v/>
      </c>
      <c r="X72">
        <f>HYPERLINK("https://klasma.github.io/Logging_1380/kartor/A 22842-2022 karta.png", "A 22842-2022")</f>
        <v/>
      </c>
      <c r="Y72">
        <f>HYPERLINK("https://klasma.github.io/Logging_1380/kartor_geotiff/A 22842-2022 georefererad karta.tif", "A 22842-2022")</f>
        <v/>
      </c>
      <c r="AA72">
        <f>HYPERLINK("https://klasma.github.io/Logging_1380/klagomål/A 22842-2022 FSC-klagomål.docx", "A 22842-2022")</f>
        <v/>
      </c>
      <c r="AB72">
        <f>HYPERLINK("https://klasma.github.io/Logging_1380/klagomålsmail/A 22842-2022 FSC-klagomål mail.docx", "A 22842-2022")</f>
        <v/>
      </c>
      <c r="AC72">
        <f>HYPERLINK("https://klasma.github.io/Logging_1380/tillsyn/A 22842-2022 tillsynsbegäran.docx", "A 22842-2022")</f>
        <v/>
      </c>
      <c r="AD72">
        <f>HYPERLINK("https://klasma.github.io/Logging_1380/tillsynsmail/A 22842-2022 tillsynsbegäran mail.docx", "A 22842-2022")</f>
        <v/>
      </c>
      <c r="AE72">
        <f>HYPERLINK("https://klasma.github.io/Logging_1380/fåglar/A 22842-2022 prioriterade fågelarter.docx", "A 22842-2022")</f>
        <v/>
      </c>
    </row>
    <row r="73" ht="15" customHeight="1">
      <c r="A73" t="inlineStr">
        <is>
          <t>A 5530-2025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45692</v>
      </c>
      <c r="E73" s="1" t="n">
        <v>46289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1</v>
      </c>
      <c r="V73" s="2" t="inlineStr">
        <is>
          <t>Igelkott</t>
        </is>
      </c>
      <c r="W73">
        <f>HYPERLINK("https://klasma.github.io/Logging_1380/artfynd/A 5530-2025 artfynd.xlsx", "A 5530-2025")</f>
        <v/>
      </c>
      <c r="X73">
        <f>HYPERLINK("https://klasma.github.io/Logging_1380/kartor/A 5530-2025 karta.png", "A 5530-2025")</f>
        <v/>
      </c>
      <c r="Y73">
        <f>HYPERLINK("https://klasma.github.io/Logging_1380/kartor_geotiff/A 5530-2025 georefererad karta.tif", "A 5530-2025")</f>
        <v/>
      </c>
      <c r="AA73">
        <f>HYPERLINK("https://klasma.github.io/Logging_1380/klagomål/A 5530-2025 FSC-klagomål.docx", "A 5530-2025")</f>
        <v/>
      </c>
      <c r="AB73">
        <f>HYPERLINK("https://klasma.github.io/Logging_1380/klagomålsmail/A 5530-2025 FSC-klagomål mail.docx", "A 5530-2025")</f>
        <v/>
      </c>
      <c r="AC73">
        <f>HYPERLINK("https://klasma.github.io/Logging_1380/tillsyn/A 5530-2025 tillsynsbegäran.docx", "A 5530-2025")</f>
        <v/>
      </c>
      <c r="AD73">
        <f>HYPERLINK("https://klasma.github.io/Logging_1380/tillsynsmail/A 5530-2025 tillsynsbegäran mail.docx", "A 5530-2025")</f>
        <v/>
      </c>
    </row>
    <row r="74" ht="15" customHeight="1">
      <c r="A74" t="inlineStr">
        <is>
          <t>A 21483-2024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46289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21483-2024 artfynd.xlsx", "A 21483-2024")</f>
        <v/>
      </c>
      <c r="X74">
        <f>HYPERLINK("https://klasma.github.io/Logging_1380/kartor/A 21483-2024 karta.png", "A 21483-2024")</f>
        <v/>
      </c>
      <c r="Y74">
        <f>HYPERLINK("https://klasma.github.io/Logging_1380/kartor_geotiff/A 21483-2024 georefererad karta.tif", "A 21483-2024")</f>
        <v/>
      </c>
      <c r="AA74">
        <f>HYPERLINK("https://klasma.github.io/Logging_1380/klagomål/A 21483-2024 FSC-klagomål.docx", "A 21483-2024")</f>
        <v/>
      </c>
      <c r="AB74">
        <f>HYPERLINK("https://klasma.github.io/Logging_1380/klagomålsmail/A 21483-2024 FSC-klagomål mail.docx", "A 21483-2024")</f>
        <v/>
      </c>
      <c r="AC74">
        <f>HYPERLINK("https://klasma.github.io/Logging_1380/tillsyn/A 21483-2024 tillsynsbegäran.docx", "A 21483-2024")</f>
        <v/>
      </c>
      <c r="AD74">
        <f>HYPERLINK("https://klasma.github.io/Logging_1380/tillsynsmail/A 21483-2024 tillsynsbegäran mail.docx", "A 21483-2024")</f>
        <v/>
      </c>
    </row>
    <row r="75" ht="15" customHeight="1">
      <c r="A75" t="inlineStr">
        <is>
          <t>A 21626-2026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46289</v>
      </c>
      <c r="F75" t="inlineStr">
        <is>
          <t>HALLANDS LÄN</t>
        </is>
      </c>
      <c r="G75" t="inlineStr">
        <is>
          <t>HALMSTAD</t>
        </is>
      </c>
      <c r="I75" t="n">
        <v>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Hårginst</t>
        </is>
      </c>
      <c r="W75">
        <f>HYPERLINK("https://klasma.github.io/Logging_1380/artfynd/A 21626-2026 artfynd.xlsx", "A 21626-2026")</f>
        <v/>
      </c>
      <c r="X75">
        <f>HYPERLINK("https://klasma.github.io/Logging_1380/kartor/A 21626-2026 karta.png", "A 21626-2026")</f>
        <v/>
      </c>
      <c r="Y75">
        <f>HYPERLINK("https://klasma.github.io/Logging_1380/kartor_geotiff/A 21626-2026 georefererad karta.tif", "A 21626-2026")</f>
        <v/>
      </c>
      <c r="AA75">
        <f>HYPERLINK("https://klasma.github.io/Logging_1380/klagomål/A 21626-2026 FSC-klagomål.docx", "A 21626-2026")</f>
        <v/>
      </c>
      <c r="AB75">
        <f>HYPERLINK("https://klasma.github.io/Logging_1380/klagomålsmail/A 21626-2026 FSC-klagomål mail.docx", "A 21626-2026")</f>
        <v/>
      </c>
      <c r="AC75">
        <f>HYPERLINK("https://klasma.github.io/Logging_1380/tillsyn/A 21626-2026 tillsynsbegäran.docx", "A 21626-2026")</f>
        <v/>
      </c>
      <c r="AD75">
        <f>HYPERLINK("https://klasma.github.io/Logging_1380/tillsynsmail/A 21626-2026 tillsynsbegäran mail.docx", "A 21626-2026")</f>
        <v/>
      </c>
    </row>
    <row r="76" ht="15" customHeight="1">
      <c r="A76" t="inlineStr">
        <is>
          <t>A 23305-2026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46289</v>
      </c>
      <c r="F76" t="inlineStr">
        <is>
          <t>HALLANDS LÄN</t>
        </is>
      </c>
      <c r="G76" t="inlineStr">
        <is>
          <t>HALMSTAD</t>
        </is>
      </c>
      <c r="I76" t="n">
        <v>1.6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23305-2026 artfynd.xlsx", "A 23305-2026")</f>
        <v/>
      </c>
      <c r="X76">
        <f>HYPERLINK("https://klasma.github.io/Logging_1380/kartor/A 23305-2026 karta.png", "A 23305-2026")</f>
        <v/>
      </c>
      <c r="Y76">
        <f>HYPERLINK("https://klasma.github.io/Logging_1380/kartor_geotiff/A 23305-2026 georefererad karta.tif", "A 23305-2026")</f>
        <v/>
      </c>
      <c r="AA76">
        <f>HYPERLINK("https://klasma.github.io/Logging_1380/klagomål/A 23305-2026 FSC-klagomål.docx", "A 23305-2026")</f>
        <v/>
      </c>
      <c r="AB76">
        <f>HYPERLINK("https://klasma.github.io/Logging_1380/klagomålsmail/A 23305-2026 FSC-klagomål mail.docx", "A 23305-2026")</f>
        <v/>
      </c>
      <c r="AC76">
        <f>HYPERLINK("https://klasma.github.io/Logging_1380/tillsyn/A 23305-2026 tillsynsbegäran.docx", "A 23305-2026")</f>
        <v/>
      </c>
      <c r="AD76">
        <f>HYPERLINK("https://klasma.github.io/Logging_1380/tillsynsmail/A 23305-2026 tillsynsbegäran mail.docx", "A 23305-2026")</f>
        <v/>
      </c>
    </row>
    <row r="77" ht="15" customHeight="1">
      <c r="A77" t="inlineStr">
        <is>
          <t>A 9045-2026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46069</v>
      </c>
      <c r="E77" s="1" t="n">
        <v>46289</v>
      </c>
      <c r="F77" t="inlineStr">
        <is>
          <t>HALLANDS LÄN</t>
        </is>
      </c>
      <c r="G77" t="inlineStr">
        <is>
          <t>HALMSTAD</t>
        </is>
      </c>
      <c r="I77" t="n">
        <v>3.8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Grönvit nattviol</t>
        </is>
      </c>
      <c r="W77">
        <f>HYPERLINK("https://klasma.github.io/Logging_1380/artfynd/A 9045-2026 artfynd.xlsx", "A 9045-2026")</f>
        <v/>
      </c>
      <c r="X77">
        <f>HYPERLINK("https://klasma.github.io/Logging_1380/kartor/A 9045-2026 karta.png", "A 9045-2026")</f>
        <v/>
      </c>
      <c r="Y77">
        <f>HYPERLINK("https://klasma.github.io/Logging_1380/kartor_geotiff/A 9045-2026 georefererad karta.tif", "A 9045-2026")</f>
        <v/>
      </c>
      <c r="AA77">
        <f>HYPERLINK("https://klasma.github.io/Logging_1380/klagomål/A 9045-2026 FSC-klagomål.docx", "A 9045-2026")</f>
        <v/>
      </c>
      <c r="AB77">
        <f>HYPERLINK("https://klasma.github.io/Logging_1380/klagomålsmail/A 9045-2026 FSC-klagomål mail.docx", "A 9045-2026")</f>
        <v/>
      </c>
      <c r="AC77">
        <f>HYPERLINK("https://klasma.github.io/Logging_1380/tillsyn/A 9045-2026 tillsynsbegäran.docx", "A 9045-2026")</f>
        <v/>
      </c>
      <c r="AD77">
        <f>HYPERLINK("https://klasma.github.io/Logging_1380/tillsynsmail/A 9045-2026 tillsynsbegäran mail.docx", "A 9045-2026")</f>
        <v/>
      </c>
    </row>
    <row r="78" ht="15" customHeight="1">
      <c r="A78" t="inlineStr">
        <is>
          <t>A 25382-2026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46289</v>
      </c>
      <c r="F78" t="inlineStr">
        <is>
          <t>HALLANDS LÄN</t>
        </is>
      </c>
      <c r="G78" t="inlineStr">
        <is>
          <t>HALMSTAD</t>
        </is>
      </c>
      <c r="I78" t="n">
        <v>10.9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Svinrot</t>
        </is>
      </c>
      <c r="W78">
        <f>HYPERLINK("https://klasma.github.io/Logging_1380/artfynd/A 25382-2026 artfynd.xlsx", "A 25382-2026")</f>
        <v/>
      </c>
      <c r="X78">
        <f>HYPERLINK("https://klasma.github.io/Logging_1380/kartor/A 25382-2026 karta.png", "A 25382-2026")</f>
        <v/>
      </c>
      <c r="Y78">
        <f>HYPERLINK("https://klasma.github.io/Logging_1380/kartor_geotiff/A 25382-2026 georefererad karta.tif", "A 25382-2026")</f>
        <v/>
      </c>
      <c r="AA78">
        <f>HYPERLINK("https://klasma.github.io/Logging_1380/klagomål/A 25382-2026 FSC-klagomål.docx", "A 25382-2026")</f>
        <v/>
      </c>
      <c r="AB78">
        <f>HYPERLINK("https://klasma.github.io/Logging_1380/klagomålsmail/A 25382-2026 FSC-klagomål mail.docx", "A 25382-2026")</f>
        <v/>
      </c>
      <c r="AC78">
        <f>HYPERLINK("https://klasma.github.io/Logging_1380/tillsyn/A 25382-2026 tillsynsbegäran.docx", "A 25382-2026")</f>
        <v/>
      </c>
      <c r="AD78">
        <f>HYPERLINK("https://klasma.github.io/Logging_1380/tillsynsmail/A 25382-2026 tillsynsbegäran mail.docx", "A 25382-2026")</f>
        <v/>
      </c>
    </row>
    <row r="79" ht="15" customHeight="1">
      <c r="A79" t="inlineStr">
        <is>
          <t>A 46505-2025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45925</v>
      </c>
      <c r="E79" s="1" t="n">
        <v>46289</v>
      </c>
      <c r="F79" t="inlineStr">
        <is>
          <t>HALLANDS LÄN</t>
        </is>
      </c>
      <c r="G79" t="inlineStr">
        <is>
          <t>HALMSTAD</t>
        </is>
      </c>
      <c r="I79" t="n">
        <v>9.1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46505-2025 artfynd.xlsx", "A 46505-2025")</f>
        <v/>
      </c>
      <c r="X79">
        <f>HYPERLINK("https://klasma.github.io/Logging_1380/kartor/A 46505-2025 karta.png", "A 46505-2025")</f>
        <v/>
      </c>
      <c r="Y79">
        <f>HYPERLINK("https://klasma.github.io/Logging_1380/kartor_geotiff/A 46505-2025 georefererad karta.tif", "A 46505-2025")</f>
        <v/>
      </c>
      <c r="AA79">
        <f>HYPERLINK("https://klasma.github.io/Logging_1380/klagomål/A 46505-2025 FSC-klagomål.docx", "A 46505-2025")</f>
        <v/>
      </c>
      <c r="AB79">
        <f>HYPERLINK("https://klasma.github.io/Logging_1380/klagomålsmail/A 46505-2025 FSC-klagomål mail.docx", "A 46505-2025")</f>
        <v/>
      </c>
      <c r="AC79">
        <f>HYPERLINK("https://klasma.github.io/Logging_1380/tillsyn/A 46505-2025 tillsynsbegäran.docx", "A 46505-2025")</f>
        <v/>
      </c>
      <c r="AD79">
        <f>HYPERLINK("https://klasma.github.io/Logging_1380/tillsynsmail/A 46505-2025 tillsynsbegäran mail.docx", "A 46505-2025")</f>
        <v/>
      </c>
    </row>
    <row r="80" ht="15" customHeight="1">
      <c r="A80" t="inlineStr">
        <is>
          <t>A 25887-2026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46289</v>
      </c>
      <c r="F80" t="inlineStr">
        <is>
          <t>HALLANDS LÄN</t>
        </is>
      </c>
      <c r="G80" t="inlineStr">
        <is>
          <t>HALMSTAD</t>
        </is>
      </c>
      <c r="I80" t="n">
        <v>14.9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snok</t>
        </is>
      </c>
      <c r="W80">
        <f>HYPERLINK("https://klasma.github.io/Logging_1380/artfynd/A 25887-2026 artfynd.xlsx", "A 25887-2026")</f>
        <v/>
      </c>
      <c r="X80">
        <f>HYPERLINK("https://klasma.github.io/Logging_1380/kartor/A 25887-2026 karta.png", "A 25887-2026")</f>
        <v/>
      </c>
      <c r="Y80">
        <f>HYPERLINK("https://klasma.github.io/Logging_1380/kartor_geotiff/A 25887-2026 georefererad karta.tif", "A 25887-2026")</f>
        <v/>
      </c>
      <c r="AA80">
        <f>HYPERLINK("https://klasma.github.io/Logging_1380/klagomål/A 25887-2026 FSC-klagomål.docx", "A 25887-2026")</f>
        <v/>
      </c>
      <c r="AB80">
        <f>HYPERLINK("https://klasma.github.io/Logging_1380/klagomålsmail/A 25887-2026 FSC-klagomål mail.docx", "A 25887-2026")</f>
        <v/>
      </c>
      <c r="AC80">
        <f>HYPERLINK("https://klasma.github.io/Logging_1380/tillsyn/A 25887-2026 tillsynsbegäran.docx", "A 25887-2026")</f>
        <v/>
      </c>
      <c r="AD80">
        <f>HYPERLINK("https://klasma.github.io/Logging_1380/tillsynsmail/A 25887-2026 tillsynsbegäran mail.docx", "A 25887-2026")</f>
        <v/>
      </c>
    </row>
    <row r="81" ht="15" customHeight="1">
      <c r="A81" t="inlineStr">
        <is>
          <t>A 26330-2026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46289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HYPERLINK("https://klasma.github.io/Logging_1380/artfynd/A 26330-2026 artfynd.xlsx", "A 26330-2026")</f>
        <v/>
      </c>
      <c r="X81">
        <f>HYPERLINK("https://klasma.github.io/Logging_1380/kartor/A 26330-2026 karta.png", "A 26330-2026")</f>
        <v/>
      </c>
      <c r="Y81">
        <f>HYPERLINK("https://klasma.github.io/Logging_1380/kartor_geotiff/A 26330-2026 georefererad karta.tif", "A 26330-2026")</f>
        <v/>
      </c>
      <c r="AA81">
        <f>HYPERLINK("https://klasma.github.io/Logging_1380/klagomål/A 26330-2026 FSC-klagomål.docx", "A 26330-2026")</f>
        <v/>
      </c>
      <c r="AB81">
        <f>HYPERLINK("https://klasma.github.io/Logging_1380/klagomålsmail/A 26330-2026 FSC-klagomål mail.docx", "A 26330-2026")</f>
        <v/>
      </c>
      <c r="AC81">
        <f>HYPERLINK("https://klasma.github.io/Logging_1380/tillsyn/A 26330-2026 tillsynsbegäran.docx", "A 26330-2026")</f>
        <v/>
      </c>
      <c r="AD81">
        <f>HYPERLINK("https://klasma.github.io/Logging_1380/tillsynsmail/A 26330-2026 tillsynsbegäran mail.docx", "A 26330-2026")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46289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46289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46289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46289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46289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46289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46289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46289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46289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46289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46289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46289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46289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46289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46289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46289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46289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46289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46289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46289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46289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46289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46289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46289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46289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46289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46289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46289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46289</v>
      </c>
      <c r="F110" t="inlineStr">
        <is>
          <t>HALLANDS LÄN</t>
        </is>
      </c>
      <c r="G110" t="inlineStr">
        <is>
          <t>HALMSTAD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46289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46289</v>
      </c>
      <c r="F112" t="inlineStr">
        <is>
          <t>HALLANDS LÄN</t>
        </is>
      </c>
      <c r="G112" t="inlineStr">
        <is>
          <t>HALMSTAD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45168</v>
      </c>
      <c r="E113" s="1" t="n">
        <v>46289</v>
      </c>
      <c r="F113" t="inlineStr">
        <is>
          <t>HALLANDS LÄN</t>
        </is>
      </c>
      <c r="G113" t="inlineStr">
        <is>
          <t>HALMSTAD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40658-2023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46289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46289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46289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46289</v>
      </c>
      <c r="F117" t="inlineStr">
        <is>
          <t>HALLANDS LÄN</t>
        </is>
      </c>
      <c r="G117" t="inlineStr">
        <is>
          <t>HALMSTAD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46289</v>
      </c>
      <c r="F118" t="inlineStr">
        <is>
          <t>HALLANDS LÄN</t>
        </is>
      </c>
      <c r="G118" t="inlineStr">
        <is>
          <t>HALMSTAD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46289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46289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46289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46289</v>
      </c>
      <c r="F122" t="inlineStr">
        <is>
          <t>HALLANDS LÄN</t>
        </is>
      </c>
      <c r="G122" t="inlineStr">
        <is>
          <t>HALMSTAD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46289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13.4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46289</v>
      </c>
      <c r="F124" t="inlineStr">
        <is>
          <t>HALLANDS LÄN</t>
        </is>
      </c>
      <c r="G124" t="inlineStr">
        <is>
          <t>HALMSTAD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46289</v>
      </c>
      <c r="F125" t="inlineStr">
        <is>
          <t>HALLANDS LÄN</t>
        </is>
      </c>
      <c r="G125" t="inlineStr">
        <is>
          <t>HALMSTAD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46289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46289</v>
      </c>
      <c r="F127" t="inlineStr">
        <is>
          <t>HALLANDS LÄN</t>
        </is>
      </c>
      <c r="G127" t="inlineStr">
        <is>
          <t>HALMSTAD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50791-2023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45217</v>
      </c>
      <c r="E128" s="1" t="n">
        <v>46289</v>
      </c>
      <c r="F128" t="inlineStr">
        <is>
          <t>HALLANDS LÄN</t>
        </is>
      </c>
      <c r="G128" t="inlineStr">
        <is>
          <t>HALMSTAD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44827</v>
      </c>
      <c r="E129" s="1" t="n">
        <v>46289</v>
      </c>
      <c r="F129" t="inlineStr">
        <is>
          <t>HALLANDS LÄN</t>
        </is>
      </c>
      <c r="G129" t="inlineStr">
        <is>
          <t>HALMSTAD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45229</v>
      </c>
      <c r="E130" s="1" t="n">
        <v>46289</v>
      </c>
      <c r="F130" t="inlineStr">
        <is>
          <t>HALLANDS LÄN</t>
        </is>
      </c>
      <c r="G130" t="inlineStr">
        <is>
          <t>HALMSTAD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45660</v>
      </c>
      <c r="E131" s="1" t="n">
        <v>46289</v>
      </c>
      <c r="F131" t="inlineStr">
        <is>
          <t>HALLANDS LÄN</t>
        </is>
      </c>
      <c r="G131" t="inlineStr">
        <is>
          <t>HALMSTAD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45660</v>
      </c>
      <c r="E132" s="1" t="n">
        <v>46289</v>
      </c>
      <c r="F132" t="inlineStr">
        <is>
          <t>HALLANDS LÄN</t>
        </is>
      </c>
      <c r="G132" t="inlineStr">
        <is>
          <t>HALMSTAD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44922</v>
      </c>
      <c r="E133" s="1" t="n">
        <v>46289</v>
      </c>
      <c r="F133" t="inlineStr">
        <is>
          <t>HALLANDS LÄN</t>
        </is>
      </c>
      <c r="G133" t="inlineStr">
        <is>
          <t>HALMSTAD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45792</v>
      </c>
      <c r="E134" s="1" t="n">
        <v>46289</v>
      </c>
      <c r="F134" t="inlineStr">
        <is>
          <t>HALLANDS LÄN</t>
        </is>
      </c>
      <c r="G134" t="inlineStr">
        <is>
          <t>HALMSTAD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45230</v>
      </c>
      <c r="E135" s="1" t="n">
        <v>46289</v>
      </c>
      <c r="F135" t="inlineStr">
        <is>
          <t>HALLANDS LÄN</t>
        </is>
      </c>
      <c r="G135" t="inlineStr">
        <is>
          <t>HALMSTAD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44885</v>
      </c>
      <c r="E136" s="1" t="n">
        <v>46289</v>
      </c>
      <c r="F136" t="inlineStr">
        <is>
          <t>HALLANDS LÄN</t>
        </is>
      </c>
      <c r="G136" t="inlineStr">
        <is>
          <t>HALMSTAD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46289</v>
      </c>
      <c r="F137" t="inlineStr">
        <is>
          <t>HALLANDS LÄN</t>
        </is>
      </c>
      <c r="G137" t="inlineStr">
        <is>
          <t>HALMSTAD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46289</v>
      </c>
      <c r="F138" t="inlineStr">
        <is>
          <t>HALLANDS LÄN</t>
        </is>
      </c>
      <c r="G138" t="inlineStr">
        <is>
          <t>HALMSTAD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46289</v>
      </c>
      <c r="F139" t="inlineStr">
        <is>
          <t>HALLANDS LÄN</t>
        </is>
      </c>
      <c r="G139" t="inlineStr">
        <is>
          <t>HALMSTAD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46289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46289</v>
      </c>
      <c r="F141" t="inlineStr">
        <is>
          <t>HALLANDS LÄN</t>
        </is>
      </c>
      <c r="G141" t="inlineStr">
        <is>
          <t>HALMSTAD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46289</v>
      </c>
      <c r="F142" t="inlineStr">
        <is>
          <t>HALLANDS LÄN</t>
        </is>
      </c>
      <c r="G142" t="inlineStr">
        <is>
          <t>HALMSTAD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46289</v>
      </c>
      <c r="F143" t="inlineStr">
        <is>
          <t>HALLANDS LÄN</t>
        </is>
      </c>
      <c r="G143" t="inlineStr">
        <is>
          <t>HALMSTAD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46289</v>
      </c>
      <c r="F144" t="inlineStr">
        <is>
          <t>HALLANDS LÄN</t>
        </is>
      </c>
      <c r="G144" t="inlineStr">
        <is>
          <t>HALMSTAD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46289</v>
      </c>
      <c r="F145" t="inlineStr">
        <is>
          <t>HALLANDS LÄN</t>
        </is>
      </c>
      <c r="G145" t="inlineStr">
        <is>
          <t>HALMSTAD</t>
        </is>
      </c>
      <c r="H145" t="inlineStr">
        <is>
          <t>Kyrkan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17156-2022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44677</v>
      </c>
      <c r="E146" s="1" t="n">
        <v>46289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46289</v>
      </c>
      <c r="F147" t="inlineStr">
        <is>
          <t>HALLANDS LÄN</t>
        </is>
      </c>
      <c r="G147" t="inlineStr">
        <is>
          <t>HALMSTAD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46289</v>
      </c>
      <c r="F148" t="inlineStr">
        <is>
          <t>HALLANDS LÄN</t>
        </is>
      </c>
      <c r="G148" t="inlineStr">
        <is>
          <t>HALMSTAD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46289</v>
      </c>
      <c r="F149" t="inlineStr">
        <is>
          <t>HALLANDS LÄN</t>
        </is>
      </c>
      <c r="G149" t="inlineStr">
        <is>
          <t>HALMSTAD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46289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46289</v>
      </c>
      <c r="F151" t="inlineStr">
        <is>
          <t>HALLANDS LÄN</t>
        </is>
      </c>
      <c r="G151" t="inlineStr">
        <is>
          <t>HALMSTAD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46289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46289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45750</v>
      </c>
      <c r="E154" s="1" t="n">
        <v>46289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46289</v>
      </c>
      <c r="F155" t="inlineStr">
        <is>
          <t>HALLANDS LÄN</t>
        </is>
      </c>
      <c r="G155" t="inlineStr">
        <is>
          <t>HALMSTAD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46289</v>
      </c>
      <c r="F156" t="inlineStr">
        <is>
          <t>HALLANDS LÄN</t>
        </is>
      </c>
      <c r="G156" t="inlineStr">
        <is>
          <t>HALMSTAD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61853-2023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45265</v>
      </c>
      <c r="E157" s="1" t="n">
        <v>46289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46289</v>
      </c>
      <c r="F158" t="inlineStr">
        <is>
          <t>HALLANDS LÄN</t>
        </is>
      </c>
      <c r="G158" t="inlineStr">
        <is>
          <t>HALMSTAD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46289</v>
      </c>
      <c r="F159" t="inlineStr">
        <is>
          <t>HALLANDS LÄN</t>
        </is>
      </c>
      <c r="G159" t="inlineStr">
        <is>
          <t>HALMSTAD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46289</v>
      </c>
      <c r="F160" t="inlineStr">
        <is>
          <t>HALLANDS LÄN</t>
        </is>
      </c>
      <c r="G160" t="inlineStr">
        <is>
          <t>HALMSTAD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46289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46289</v>
      </c>
      <c r="F162" t="inlineStr">
        <is>
          <t>HALLANDS LÄN</t>
        </is>
      </c>
      <c r="G162" t="inlineStr">
        <is>
          <t>HALMSTAD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44802</v>
      </c>
      <c r="E163" s="1" t="n">
        <v>46289</v>
      </c>
      <c r="F163" t="inlineStr">
        <is>
          <t>HALLANDS LÄN</t>
        </is>
      </c>
      <c r="G163" t="inlineStr">
        <is>
          <t>HALMSTAD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46289</v>
      </c>
      <c r="F164" t="inlineStr">
        <is>
          <t>HALLANDS LÄN</t>
        </is>
      </c>
      <c r="G164" t="inlineStr">
        <is>
          <t>HALMSTAD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46289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46289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46289</v>
      </c>
      <c r="F167" t="inlineStr">
        <is>
          <t>HALLANDS LÄN</t>
        </is>
      </c>
      <c r="G167" t="inlineStr">
        <is>
          <t>HALMSTAD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46289</v>
      </c>
      <c r="F168" t="inlineStr">
        <is>
          <t>HALLANDS LÄN</t>
        </is>
      </c>
      <c r="G168" t="inlineStr">
        <is>
          <t>HALMSTAD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66311-2021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44518</v>
      </c>
      <c r="E169" s="1" t="n">
        <v>46289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46289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45306</v>
      </c>
      <c r="E171" s="1" t="n">
        <v>46289</v>
      </c>
      <c r="F171" t="inlineStr">
        <is>
          <t>HALLANDS LÄN</t>
        </is>
      </c>
      <c r="G171" t="inlineStr">
        <is>
          <t>HALMSTAD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46289</v>
      </c>
      <c r="F172" t="inlineStr">
        <is>
          <t>HALLANDS LÄN</t>
        </is>
      </c>
      <c r="G172" t="inlineStr">
        <is>
          <t>HALMSTAD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46289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46289</v>
      </c>
      <c r="F174" t="inlineStr">
        <is>
          <t>HALLANDS LÄN</t>
        </is>
      </c>
      <c r="G174" t="inlineStr">
        <is>
          <t>HALMSTAD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45363</v>
      </c>
      <c r="E175" s="1" t="n">
        <v>46289</v>
      </c>
      <c r="F175" t="inlineStr">
        <is>
          <t>HALLANDS LÄN</t>
        </is>
      </c>
      <c r="G175" t="inlineStr">
        <is>
          <t>HALMSTAD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46289</v>
      </c>
      <c r="F176" t="inlineStr">
        <is>
          <t>HALLANDS LÄN</t>
        </is>
      </c>
      <c r="G176" t="inlineStr">
        <is>
          <t>HALMSTAD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46289</v>
      </c>
      <c r="F177" t="inlineStr">
        <is>
          <t>HALLANDS LÄN</t>
        </is>
      </c>
      <c r="G177" t="inlineStr">
        <is>
          <t>HALMSTAD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46289</v>
      </c>
      <c r="F178" t="inlineStr">
        <is>
          <t>HALLANDS LÄN</t>
        </is>
      </c>
      <c r="G178" t="inlineStr">
        <is>
          <t>HALMSTAD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46289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46289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45476</v>
      </c>
      <c r="E181" s="1" t="n">
        <v>46289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46289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46289</v>
      </c>
      <c r="F183" t="inlineStr">
        <is>
          <t>HALLANDS LÄN</t>
        </is>
      </c>
      <c r="G183" t="inlineStr">
        <is>
          <t>HALMSTAD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46289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70720-2021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46289</v>
      </c>
      <c r="F185" t="inlineStr">
        <is>
          <t>HALLANDS LÄN</t>
        </is>
      </c>
      <c r="G185" t="inlineStr">
        <is>
          <t>HALMSTAD</t>
        </is>
      </c>
      <c r="H185" t="inlineStr">
        <is>
          <t>Kyrkan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74038-2021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44557</v>
      </c>
      <c r="E186" s="1" t="n">
        <v>46289</v>
      </c>
      <c r="F186" t="inlineStr">
        <is>
          <t>HALLANDS LÄN</t>
        </is>
      </c>
      <c r="G186" t="inlineStr">
        <is>
          <t>HALMSTAD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44885</v>
      </c>
      <c r="E187" s="1" t="n">
        <v>46289</v>
      </c>
      <c r="F187" t="inlineStr">
        <is>
          <t>HALLANDS LÄN</t>
        </is>
      </c>
      <c r="G187" t="inlineStr">
        <is>
          <t>HALMSTAD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46289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46289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46289</v>
      </c>
      <c r="F190" t="inlineStr">
        <is>
          <t>HALLANDS LÄN</t>
        </is>
      </c>
      <c r="G190" t="inlineStr">
        <is>
          <t>HALMSTAD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46289</v>
      </c>
      <c r="F191" t="inlineStr">
        <is>
          <t>HALLANDS LÄN</t>
        </is>
      </c>
      <c r="G191" t="inlineStr">
        <is>
          <t>HALMSTAD</t>
        </is>
      </c>
      <c r="H191" t="inlineStr">
        <is>
          <t>Övriga statliga verk och myndigheter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46289</v>
      </c>
      <c r="F192" t="inlineStr">
        <is>
          <t>HALLANDS LÄN</t>
        </is>
      </c>
      <c r="G192" t="inlineStr">
        <is>
          <t>HALMSTAD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46289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46289</v>
      </c>
      <c r="F194" t="inlineStr">
        <is>
          <t>HALLANDS LÄN</t>
        </is>
      </c>
      <c r="G194" t="inlineStr">
        <is>
          <t>HALMSTAD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46289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46289</v>
      </c>
      <c r="F196" t="inlineStr">
        <is>
          <t>HALLANDS LÄN</t>
        </is>
      </c>
      <c r="G196" t="inlineStr">
        <is>
          <t>HALMSTAD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46289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45302</v>
      </c>
      <c r="E198" s="1" t="n">
        <v>46289</v>
      </c>
      <c r="F198" t="inlineStr">
        <is>
          <t>HALLANDS LÄN</t>
        </is>
      </c>
      <c r="G198" t="inlineStr">
        <is>
          <t>HALMSTAD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46289</v>
      </c>
      <c r="F199" t="inlineStr">
        <is>
          <t>HALLANDS LÄN</t>
        </is>
      </c>
      <c r="G199" t="inlineStr">
        <is>
          <t>HALMSTAD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46289</v>
      </c>
      <c r="F200" t="inlineStr">
        <is>
          <t>HALLANDS LÄN</t>
        </is>
      </c>
      <c r="G200" t="inlineStr">
        <is>
          <t>HALMSTAD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46289</v>
      </c>
      <c r="F201" t="inlineStr">
        <is>
          <t>HALLANDS LÄN</t>
        </is>
      </c>
      <c r="G201" t="inlineStr">
        <is>
          <t>HALMSTAD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46289</v>
      </c>
      <c r="F202" t="inlineStr">
        <is>
          <t>HALLANDS LÄN</t>
        </is>
      </c>
      <c r="G202" t="inlineStr">
        <is>
          <t>HALMSTAD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46289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46289</v>
      </c>
      <c r="F204" t="inlineStr">
        <is>
          <t>HALLANDS LÄN</t>
        </is>
      </c>
      <c r="G204" t="inlineStr">
        <is>
          <t>HALMSTAD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46289</v>
      </c>
      <c r="F205" t="inlineStr">
        <is>
          <t>HALLANDS LÄN</t>
        </is>
      </c>
      <c r="G205" t="inlineStr">
        <is>
          <t>HALMSTAD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46289</v>
      </c>
      <c r="F206" t="inlineStr">
        <is>
          <t>HALLANDS LÄN</t>
        </is>
      </c>
      <c r="G206" t="inlineStr">
        <is>
          <t>HALMSTAD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46289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46289</v>
      </c>
      <c r="F208" t="inlineStr">
        <is>
          <t>HALLANDS LÄN</t>
        </is>
      </c>
      <c r="G208" t="inlineStr">
        <is>
          <t>HALMSTAD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46289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46289</v>
      </c>
      <c r="F210" t="inlineStr">
        <is>
          <t>HALLANDS LÄN</t>
        </is>
      </c>
      <c r="G210" t="inlineStr">
        <is>
          <t>HALMSTAD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46289</v>
      </c>
      <c r="F211" t="inlineStr">
        <is>
          <t>HALLANDS LÄN</t>
        </is>
      </c>
      <c r="G211" t="inlineStr">
        <is>
          <t>HALMSTAD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46289</v>
      </c>
      <c r="F212" t="inlineStr">
        <is>
          <t>HALLANDS LÄN</t>
        </is>
      </c>
      <c r="G212" t="inlineStr">
        <is>
          <t>HALMSTAD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46289</v>
      </c>
      <c r="F213" t="inlineStr">
        <is>
          <t>HALLANDS LÄN</t>
        </is>
      </c>
      <c r="G213" t="inlineStr">
        <is>
          <t>HALMSTAD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46289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46289</v>
      </c>
      <c r="F215" t="inlineStr">
        <is>
          <t>HALLANDS LÄN</t>
        </is>
      </c>
      <c r="G215" t="inlineStr">
        <is>
          <t>HALMSTAD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46289</v>
      </c>
      <c r="F216" t="inlineStr">
        <is>
          <t>HALLANDS LÄN</t>
        </is>
      </c>
      <c r="G216" t="inlineStr">
        <is>
          <t>HALMSTAD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46289</v>
      </c>
      <c r="F217" t="inlineStr">
        <is>
          <t>HALLANDS LÄN</t>
        </is>
      </c>
      <c r="G217" t="inlineStr">
        <is>
          <t>HALMSTAD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44628</v>
      </c>
      <c r="E218" s="1" t="n">
        <v>46289</v>
      </c>
      <c r="F218" t="inlineStr">
        <is>
          <t>HALLANDS LÄN</t>
        </is>
      </c>
      <c r="G218" t="inlineStr">
        <is>
          <t>HALMSTAD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46289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44687</v>
      </c>
      <c r="E220" s="1" t="n">
        <v>46289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46289</v>
      </c>
      <c r="F221" t="inlineStr">
        <is>
          <t>HALLANDS LÄN</t>
        </is>
      </c>
      <c r="G221" t="inlineStr">
        <is>
          <t>HALMSTAD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46289</v>
      </c>
      <c r="F222" t="inlineStr">
        <is>
          <t>HALLANDS LÄN</t>
        </is>
      </c>
      <c r="G222" t="inlineStr">
        <is>
          <t>HALMSTAD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46289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46289</v>
      </c>
      <c r="F224" t="inlineStr">
        <is>
          <t>HALLANDS LÄN</t>
        </is>
      </c>
      <c r="G224" t="inlineStr">
        <is>
          <t>HALMSTAD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46289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46289</v>
      </c>
      <c r="F226" t="inlineStr">
        <is>
          <t>HALLANDS LÄN</t>
        </is>
      </c>
      <c r="G226" t="inlineStr">
        <is>
          <t>HALMSTAD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45627</v>
      </c>
      <c r="E227" s="1" t="n">
        <v>46289</v>
      </c>
      <c r="F227" t="inlineStr">
        <is>
          <t>HALLANDS LÄN</t>
        </is>
      </c>
      <c r="G227" t="inlineStr">
        <is>
          <t>HALMSTAD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44642</v>
      </c>
      <c r="E228" s="1" t="n">
        <v>46289</v>
      </c>
      <c r="F228" t="inlineStr">
        <is>
          <t>HALLANDS LÄN</t>
        </is>
      </c>
      <c r="G228" t="inlineStr">
        <is>
          <t>HALMSTAD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46289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46289</v>
      </c>
      <c r="F230" t="inlineStr">
        <is>
          <t>HALLANDS LÄN</t>
        </is>
      </c>
      <c r="G230" t="inlineStr">
        <is>
          <t>HALMSTAD</t>
        </is>
      </c>
      <c r="H230" t="inlineStr">
        <is>
          <t>Bergvik skog väst AB</t>
        </is>
      </c>
      <c r="I230" t="n">
        <v>19.5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45660</v>
      </c>
      <c r="E231" s="1" t="n">
        <v>46289</v>
      </c>
      <c r="F231" t="inlineStr">
        <is>
          <t>HALLANDS LÄN</t>
        </is>
      </c>
      <c r="G231" t="inlineStr">
        <is>
          <t>HALMSTAD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46289</v>
      </c>
      <c r="F232" t="inlineStr">
        <is>
          <t>HALLANDS LÄN</t>
        </is>
      </c>
      <c r="G232" t="inlineStr">
        <is>
          <t>HALMSTAD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46289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45681</v>
      </c>
      <c r="E234" s="1" t="n">
        <v>46289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45681</v>
      </c>
      <c r="E235" s="1" t="n">
        <v>46289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46289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46289</v>
      </c>
      <c r="F237" t="inlineStr">
        <is>
          <t>HALLANDS LÄN</t>
        </is>
      </c>
      <c r="G237" t="inlineStr">
        <is>
          <t>HALMSTAD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44607</v>
      </c>
      <c r="E238" s="1" t="n">
        <v>46289</v>
      </c>
      <c r="F238" t="inlineStr">
        <is>
          <t>HALLANDS LÄN</t>
        </is>
      </c>
      <c r="G238" t="inlineStr">
        <is>
          <t>HALMSTAD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46289</v>
      </c>
      <c r="F239" t="inlineStr">
        <is>
          <t>HALLANDS LÄN</t>
        </is>
      </c>
      <c r="G239" t="inlineStr">
        <is>
          <t>HALMSTAD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45006</v>
      </c>
      <c r="E240" s="1" t="n">
        <v>46289</v>
      </c>
      <c r="F240" t="inlineStr">
        <is>
          <t>HALLANDS LÄN</t>
        </is>
      </c>
      <c r="G240" t="inlineStr">
        <is>
          <t>HALMSTAD</t>
        </is>
      </c>
      <c r="H240" t="inlineStr">
        <is>
          <t>Bergvik skog väst AB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44742</v>
      </c>
      <c r="E241" s="1" t="n">
        <v>46289</v>
      </c>
      <c r="F241" t="inlineStr">
        <is>
          <t>HALLANDS LÄN</t>
        </is>
      </c>
      <c r="G241" t="inlineStr">
        <is>
          <t>HALMSTAD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50593-2023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46289</v>
      </c>
      <c r="F242" t="inlineStr">
        <is>
          <t>HALLANDS LÄN</t>
        </is>
      </c>
      <c r="G242" t="inlineStr">
        <is>
          <t>HALMSTAD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50603-2023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45217</v>
      </c>
      <c r="E243" s="1" t="n">
        <v>46289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46289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44721</v>
      </c>
      <c r="E245" s="1" t="n">
        <v>46289</v>
      </c>
      <c r="F245" t="inlineStr">
        <is>
          <t>HALLANDS LÄN</t>
        </is>
      </c>
      <c r="G245" t="inlineStr">
        <is>
          <t>HALMSTAD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46289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58983-2024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45636</v>
      </c>
      <c r="E247" s="1" t="n">
        <v>46289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46289</v>
      </c>
      <c r="F248" t="inlineStr">
        <is>
          <t>HALLANDS LÄN</t>
        </is>
      </c>
      <c r="G248" t="inlineStr">
        <is>
          <t>HALMSTAD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46289</v>
      </c>
      <c r="F249" t="inlineStr">
        <is>
          <t>HALLANDS LÄN</t>
        </is>
      </c>
      <c r="G249" t="inlineStr">
        <is>
          <t>HALMSTAD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46289</v>
      </c>
      <c r="F250" t="inlineStr">
        <is>
          <t>HALLANDS LÄN</t>
        </is>
      </c>
      <c r="G250" t="inlineStr">
        <is>
          <t>HALMSTAD</t>
        </is>
      </c>
      <c r="H250" t="inlineStr">
        <is>
          <t>Kyrkan</t>
        </is>
      </c>
      <c r="I250" t="n">
        <v>10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46289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45712</v>
      </c>
      <c r="E252" s="1" t="n">
        <v>46289</v>
      </c>
      <c r="F252" t="inlineStr">
        <is>
          <t>HALLANDS LÄN</t>
        </is>
      </c>
      <c r="G252" t="inlineStr">
        <is>
          <t>HALMSTAD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45275</v>
      </c>
      <c r="E253" s="1" t="n">
        <v>46289</v>
      </c>
      <c r="F253" t="inlineStr">
        <is>
          <t>HALLANDS LÄN</t>
        </is>
      </c>
      <c r="G253" t="inlineStr">
        <is>
          <t>HALMSTAD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15545-2022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44662</v>
      </c>
      <c r="E254" s="1" t="n">
        <v>46289</v>
      </c>
      <c r="F254" t="inlineStr">
        <is>
          <t>HALLANDS LÄN</t>
        </is>
      </c>
      <c r="G254" t="inlineStr">
        <is>
          <t>HALMSTAD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46289</v>
      </c>
      <c r="F255" t="inlineStr">
        <is>
          <t>HALLANDS LÄN</t>
        </is>
      </c>
      <c r="G255" t="inlineStr">
        <is>
          <t>HALMSTAD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45401</v>
      </c>
      <c r="E256" s="1" t="n">
        <v>46289</v>
      </c>
      <c r="F256" t="inlineStr">
        <is>
          <t>HALLANDS LÄN</t>
        </is>
      </c>
      <c r="G256" t="inlineStr">
        <is>
          <t>HALMSTAD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45099</v>
      </c>
      <c r="E257" s="1" t="n">
        <v>46289</v>
      </c>
      <c r="F257" t="inlineStr">
        <is>
          <t>HALLANDS LÄN</t>
        </is>
      </c>
      <c r="G257" t="inlineStr">
        <is>
          <t>HALMSTAD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46289</v>
      </c>
      <c r="F258" t="inlineStr">
        <is>
          <t>HALLANDS LÄN</t>
        </is>
      </c>
      <c r="G258" t="inlineStr">
        <is>
          <t>HALMSTAD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44959</v>
      </c>
      <c r="E259" s="1" t="n">
        <v>46289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46289</v>
      </c>
      <c r="F260" t="inlineStr">
        <is>
          <t>HALLANDS LÄN</t>
        </is>
      </c>
      <c r="G260" t="inlineStr">
        <is>
          <t>HALMSTAD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46289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43264-2023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45183</v>
      </c>
      <c r="E262" s="1" t="n">
        <v>46289</v>
      </c>
      <c r="F262" t="inlineStr">
        <is>
          <t>HALLANDS LÄN</t>
        </is>
      </c>
      <c r="G262" t="inlineStr">
        <is>
          <t>HALMSTAD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46289</v>
      </c>
      <c r="F263" t="inlineStr">
        <is>
          <t>HALLANDS LÄN</t>
        </is>
      </c>
      <c r="G263" t="inlineStr">
        <is>
          <t>HALMSTAD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27505-2022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46289</v>
      </c>
      <c r="F264" t="inlineStr">
        <is>
          <t>HALLANDS LÄN</t>
        </is>
      </c>
      <c r="G264" t="inlineStr">
        <is>
          <t>HALMSTAD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46289</v>
      </c>
      <c r="F265" t="inlineStr">
        <is>
          <t>HALLANDS LÄN</t>
        </is>
      </c>
      <c r="G265" t="inlineStr">
        <is>
          <t>HALMSTAD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46289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45238</v>
      </c>
      <c r="E267" s="1" t="n">
        <v>46289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46289</v>
      </c>
      <c r="F268" t="inlineStr">
        <is>
          <t>HALLANDS LÄN</t>
        </is>
      </c>
      <c r="G268" t="inlineStr">
        <is>
          <t>HALMSTAD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46289</v>
      </c>
      <c r="F269" t="inlineStr">
        <is>
          <t>HALLANDS LÄN</t>
        </is>
      </c>
      <c r="G269" t="inlineStr">
        <is>
          <t>HALMSTAD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45000</v>
      </c>
      <c r="E270" s="1" t="n">
        <v>46289</v>
      </c>
      <c r="F270" t="inlineStr">
        <is>
          <t>HALLANDS LÄN</t>
        </is>
      </c>
      <c r="G270" t="inlineStr">
        <is>
          <t>HALMSTAD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46289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46289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46289</v>
      </c>
      <c r="F273" t="inlineStr">
        <is>
          <t>HALLANDS LÄN</t>
        </is>
      </c>
      <c r="G273" t="inlineStr">
        <is>
          <t>HALMSTAD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45015</v>
      </c>
      <c r="E274" s="1" t="n">
        <v>46289</v>
      </c>
      <c r="F274" t="inlineStr">
        <is>
          <t>HALLANDS LÄN</t>
        </is>
      </c>
      <c r="G274" t="inlineStr">
        <is>
          <t>HALMSTAD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45610</v>
      </c>
      <c r="E275" s="1" t="n">
        <v>46289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46289</v>
      </c>
      <c r="F276" t="inlineStr">
        <is>
          <t>HALLANDS LÄN</t>
        </is>
      </c>
      <c r="G276" t="inlineStr">
        <is>
          <t>HALMSTAD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46289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44880</v>
      </c>
      <c r="E278" s="1" t="n">
        <v>46289</v>
      </c>
      <c r="F278" t="inlineStr">
        <is>
          <t>HALLANDS LÄN</t>
        </is>
      </c>
      <c r="G278" t="inlineStr">
        <is>
          <t>HALMSTAD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46289</v>
      </c>
      <c r="F279" t="inlineStr">
        <is>
          <t>HALLANDS LÄN</t>
        </is>
      </c>
      <c r="G279" t="inlineStr">
        <is>
          <t>HALMSTAD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29471-2022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44753</v>
      </c>
      <c r="E280" s="1" t="n">
        <v>46289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46289</v>
      </c>
      <c r="F281" t="inlineStr">
        <is>
          <t>HALLANDS LÄN</t>
        </is>
      </c>
      <c r="G281" t="inlineStr">
        <is>
          <t>HALMSTAD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46289</v>
      </c>
      <c r="F282" t="inlineStr">
        <is>
          <t>HALLANDS LÄN</t>
        </is>
      </c>
      <c r="G282" t="inlineStr">
        <is>
          <t>HALMSTAD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46289</v>
      </c>
      <c r="F283" t="inlineStr">
        <is>
          <t>HALLANDS LÄN</t>
        </is>
      </c>
      <c r="G283" t="inlineStr">
        <is>
          <t>HALMSTAD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46289</v>
      </c>
      <c r="F284" t="inlineStr">
        <is>
          <t>HALLANDS LÄN</t>
        </is>
      </c>
      <c r="G284" t="inlineStr">
        <is>
          <t>HALMSTAD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46289</v>
      </c>
      <c r="F285" t="inlineStr">
        <is>
          <t>HALLANDS LÄN</t>
        </is>
      </c>
      <c r="G285" t="inlineStr">
        <is>
          <t>HALMSTAD</t>
        </is>
      </c>
      <c r="H285" t="inlineStr">
        <is>
          <t>Bergvik skog väst AB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46289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46289</v>
      </c>
      <c r="F287" t="inlineStr">
        <is>
          <t>HALLANDS LÄN</t>
        </is>
      </c>
      <c r="G287" t="inlineStr">
        <is>
          <t>HALMSTAD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46289</v>
      </c>
      <c r="F288" t="inlineStr">
        <is>
          <t>HALLANDS LÄN</t>
        </is>
      </c>
      <c r="G288" t="inlineStr">
        <is>
          <t>HALMSTAD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46289</v>
      </c>
      <c r="F289" t="inlineStr">
        <is>
          <t>HALLANDS LÄN</t>
        </is>
      </c>
      <c r="G289" t="inlineStr">
        <is>
          <t>HALMSTAD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44712</v>
      </c>
      <c r="E290" s="1" t="n">
        <v>46289</v>
      </c>
      <c r="F290" t="inlineStr">
        <is>
          <t>HALLANDS LÄN</t>
        </is>
      </c>
      <c r="G290" t="inlineStr">
        <is>
          <t>HALMSTAD</t>
        </is>
      </c>
      <c r="I290" t="n">
        <v>9.699999999999999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46289</v>
      </c>
      <c r="F291" t="inlineStr">
        <is>
          <t>HALLANDS LÄN</t>
        </is>
      </c>
      <c r="G291" t="inlineStr">
        <is>
          <t>HALMSTAD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46289</v>
      </c>
      <c r="F292" t="inlineStr">
        <is>
          <t>HALLANDS LÄN</t>
        </is>
      </c>
      <c r="G292" t="inlineStr">
        <is>
          <t>HALMSTAD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46289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46289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46289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46289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46289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46289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46289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46289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46289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46289</v>
      </c>
      <c r="F302" t="inlineStr">
        <is>
          <t>HALLANDS LÄN</t>
        </is>
      </c>
      <c r="G302" t="inlineStr">
        <is>
          <t>HALMSTAD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44830</v>
      </c>
      <c r="E303" s="1" t="n">
        <v>46289</v>
      </c>
      <c r="F303" t="inlineStr">
        <is>
          <t>HALLANDS LÄN</t>
        </is>
      </c>
      <c r="G303" t="inlineStr">
        <is>
          <t>HALMSTAD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46289</v>
      </c>
      <c r="F304" t="inlineStr">
        <is>
          <t>HALLANDS LÄN</t>
        </is>
      </c>
      <c r="G304" t="inlineStr">
        <is>
          <t>HALMSTAD</t>
        </is>
      </c>
      <c r="H304" t="inlineStr">
        <is>
          <t>Bergvik skog väst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46289</v>
      </c>
      <c r="F305" t="inlineStr">
        <is>
          <t>HALLANDS LÄN</t>
        </is>
      </c>
      <c r="G305" t="inlineStr">
        <is>
          <t>HALMSTAD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46289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46289</v>
      </c>
      <c r="F307" t="inlineStr">
        <is>
          <t>HALLANDS LÄN</t>
        </is>
      </c>
      <c r="G307" t="inlineStr">
        <is>
          <t>HALMSTAD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46057</v>
      </c>
      <c r="E308" s="1" t="n">
        <v>46289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46289</v>
      </c>
      <c r="F309" t="inlineStr">
        <is>
          <t>HALLANDS LÄN</t>
        </is>
      </c>
      <c r="G309" t="inlineStr">
        <is>
          <t>HALMSTAD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46289</v>
      </c>
      <c r="F310" t="inlineStr">
        <is>
          <t>HALLANDS LÄN</t>
        </is>
      </c>
      <c r="G310" t="inlineStr">
        <is>
          <t>HALMSTAD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46289</v>
      </c>
      <c r="F311" t="inlineStr">
        <is>
          <t>HALLANDS LÄN</t>
        </is>
      </c>
      <c r="G311" t="inlineStr">
        <is>
          <t>HALMSTAD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46289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46289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45239</v>
      </c>
      <c r="E314" s="1" t="n">
        <v>46289</v>
      </c>
      <c r="F314" t="inlineStr">
        <is>
          <t>HALLANDS LÄN</t>
        </is>
      </c>
      <c r="G314" t="inlineStr">
        <is>
          <t>HALMSTAD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45239</v>
      </c>
      <c r="E315" s="1" t="n">
        <v>46289</v>
      </c>
      <c r="F315" t="inlineStr">
        <is>
          <t>HALLANDS LÄN</t>
        </is>
      </c>
      <c r="G315" t="inlineStr">
        <is>
          <t>HALMSTAD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13331-2024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45386</v>
      </c>
      <c r="E316" s="1" t="n">
        <v>46289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46289</v>
      </c>
      <c r="F317" t="inlineStr">
        <is>
          <t>HALLANDS LÄN</t>
        </is>
      </c>
      <c r="G317" t="inlineStr">
        <is>
          <t>HALMSTAD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46289</v>
      </c>
      <c r="F318" t="inlineStr">
        <is>
          <t>HALLANDS LÄN</t>
        </is>
      </c>
      <c r="G318" t="inlineStr">
        <is>
          <t>HALMSTAD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45450</v>
      </c>
      <c r="E319" s="1" t="n">
        <v>46289</v>
      </c>
      <c r="F319" t="inlineStr">
        <is>
          <t>HALLANDS LÄN</t>
        </is>
      </c>
      <c r="G319" t="inlineStr">
        <is>
          <t>HALMSTAD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46289</v>
      </c>
      <c r="F320" t="inlineStr">
        <is>
          <t>HALLANDS LÄN</t>
        </is>
      </c>
      <c r="G320" t="inlineStr">
        <is>
          <t>HALMSTAD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46289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46289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46289</v>
      </c>
      <c r="F323" t="inlineStr">
        <is>
          <t>HALLANDS LÄN</t>
        </is>
      </c>
      <c r="G323" t="inlineStr">
        <is>
          <t>HALMSTAD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4903-2024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46289</v>
      </c>
      <c r="F324" t="inlineStr">
        <is>
          <t>HALLANDS LÄN</t>
        </is>
      </c>
      <c r="G324" t="inlineStr">
        <is>
          <t>HALMSTAD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35185-2026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46260</v>
      </c>
      <c r="E325" s="1" t="n">
        <v>46289</v>
      </c>
      <c r="F325" t="inlineStr">
        <is>
          <t>HALLANDS LÄN</t>
        </is>
      </c>
      <c r="G325" t="inlineStr">
        <is>
          <t>HALMSTAD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57037-2021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44482</v>
      </c>
      <c r="E326" s="1" t="n">
        <v>46289</v>
      </c>
      <c r="F326" t="inlineStr">
        <is>
          <t>HALLANDS LÄN</t>
        </is>
      </c>
      <c r="G326" t="inlineStr">
        <is>
          <t>HALMSTAD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54114-2021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44470</v>
      </c>
      <c r="E327" s="1" t="n">
        <v>46289</v>
      </c>
      <c r="F327" t="inlineStr">
        <is>
          <t>HALLANDS LÄN</t>
        </is>
      </c>
      <c r="G327" t="inlineStr">
        <is>
          <t>HALMSTAD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46288</v>
      </c>
      <c r="E328" s="1" t="n">
        <v>46289</v>
      </c>
      <c r="F328" t="inlineStr">
        <is>
          <t>HALLANDS LÄN</t>
        </is>
      </c>
      <c r="G328" t="inlineStr">
        <is>
          <t>HALMSTAD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46289</v>
      </c>
      <c r="F329" t="inlineStr">
        <is>
          <t>HALLANDS LÄN</t>
        </is>
      </c>
      <c r="G329" t="inlineStr">
        <is>
          <t>HALMSTAD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19468-2024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46289</v>
      </c>
      <c r="F330" t="inlineStr">
        <is>
          <t>HALLANDS LÄN</t>
        </is>
      </c>
      <c r="G330" t="inlineStr">
        <is>
          <t>HALMSTAD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46289</v>
      </c>
      <c r="F331" t="inlineStr">
        <is>
          <t>HALLANDS LÄN</t>
        </is>
      </c>
      <c r="G331" t="inlineStr">
        <is>
          <t>HALMSTAD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46289</v>
      </c>
      <c r="F332" t="inlineStr">
        <is>
          <t>HALLANDS LÄN</t>
        </is>
      </c>
      <c r="G332" t="inlineStr">
        <is>
          <t>HALMSTAD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62766-2023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45268</v>
      </c>
      <c r="E333" s="1" t="n">
        <v>46289</v>
      </c>
      <c r="F333" t="inlineStr">
        <is>
          <t>HALLANDS LÄN</t>
        </is>
      </c>
      <c r="G333" t="inlineStr">
        <is>
          <t>HALMSTAD</t>
        </is>
      </c>
      <c r="H333" t="inlineStr">
        <is>
          <t>Sveaskog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46289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46289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53763-2022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44875</v>
      </c>
      <c r="E336" s="1" t="n">
        <v>46289</v>
      </c>
      <c r="F336" t="inlineStr">
        <is>
          <t>HALLANDS LÄN</t>
        </is>
      </c>
      <c r="G336" t="inlineStr">
        <is>
          <t>HALMSTAD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44595</v>
      </c>
      <c r="E337" s="1" t="n">
        <v>46289</v>
      </c>
      <c r="F337" t="inlineStr">
        <is>
          <t>HALLANDS LÄN</t>
        </is>
      </c>
      <c r="G337" t="inlineStr">
        <is>
          <t>HALMSTAD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15678-2024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45404</v>
      </c>
      <c r="E338" s="1" t="n">
        <v>46289</v>
      </c>
      <c r="F338" t="inlineStr">
        <is>
          <t>HALLANDS LÄN</t>
        </is>
      </c>
      <c r="G338" t="inlineStr">
        <is>
          <t>HALMSTAD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64231-2023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46289</v>
      </c>
      <c r="F339" t="inlineStr">
        <is>
          <t>HALLANDS LÄN</t>
        </is>
      </c>
      <c r="G339" t="inlineStr">
        <is>
          <t>HALMSTAD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41612-2022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44827</v>
      </c>
      <c r="E340" s="1" t="n">
        <v>46289</v>
      </c>
      <c r="F340" t="inlineStr">
        <is>
          <t>HALLANDS LÄN</t>
        </is>
      </c>
      <c r="G340" t="inlineStr">
        <is>
          <t>HALMSTAD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46090</v>
      </c>
      <c r="E341" s="1" t="n">
        <v>46289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46289</v>
      </c>
      <c r="F342" t="inlineStr">
        <is>
          <t>HALLANDS LÄN</t>
        </is>
      </c>
      <c r="G342" t="inlineStr">
        <is>
          <t>HALMSTAD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46289</v>
      </c>
      <c r="F343" t="inlineStr">
        <is>
          <t>HALLANDS LÄN</t>
        </is>
      </c>
      <c r="G343" t="inlineStr">
        <is>
          <t>HALMSTAD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45793</v>
      </c>
      <c r="E344" s="1" t="n">
        <v>46289</v>
      </c>
      <c r="F344" t="inlineStr">
        <is>
          <t>HALLANDS LÄN</t>
        </is>
      </c>
      <c r="G344" t="inlineStr">
        <is>
          <t>HALMSTAD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46289</v>
      </c>
      <c r="F345" t="inlineStr">
        <is>
          <t>HALLANDS LÄN</t>
        </is>
      </c>
      <c r="G345" t="inlineStr">
        <is>
          <t>HALMSTAD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59762-2023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46289</v>
      </c>
      <c r="F346" t="inlineStr">
        <is>
          <t>HALLANDS LÄN</t>
        </is>
      </c>
      <c r="G346" t="inlineStr">
        <is>
          <t>HALMSTAD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46289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46289</v>
      </c>
      <c r="F348" t="inlineStr">
        <is>
          <t>HALLANDS LÄN</t>
        </is>
      </c>
      <c r="G348" t="inlineStr">
        <is>
          <t>HALMSTAD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44691</v>
      </c>
      <c r="E349" s="1" t="n">
        <v>46289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46289</v>
      </c>
      <c r="F350" t="inlineStr">
        <is>
          <t>HALLANDS LÄN</t>
        </is>
      </c>
      <c r="G350" t="inlineStr">
        <is>
          <t>HALMSTAD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45071</v>
      </c>
      <c r="E351" s="1" t="n">
        <v>46289</v>
      </c>
      <c r="F351" t="inlineStr">
        <is>
          <t>HALLANDS LÄN</t>
        </is>
      </c>
      <c r="G351" t="inlineStr">
        <is>
          <t>HALMSTAD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46289</v>
      </c>
      <c r="F352" t="inlineStr">
        <is>
          <t>HALLANDS LÄN</t>
        </is>
      </c>
      <c r="G352" t="inlineStr">
        <is>
          <t>HALMSTAD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46289</v>
      </c>
      <c r="F353" t="inlineStr">
        <is>
          <t>HALLANDS LÄN</t>
        </is>
      </c>
      <c r="G353" t="inlineStr">
        <is>
          <t>HALMSTAD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57013-2021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44482</v>
      </c>
      <c r="E354" s="1" t="n">
        <v>46289</v>
      </c>
      <c r="F354" t="inlineStr">
        <is>
          <t>HALLANDS LÄN</t>
        </is>
      </c>
      <c r="G354" t="inlineStr">
        <is>
          <t>HALMSTAD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57021-2021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44482</v>
      </c>
      <c r="E355" s="1" t="n">
        <v>46289</v>
      </c>
      <c r="F355" t="inlineStr">
        <is>
          <t>HALLANDS LÄN</t>
        </is>
      </c>
      <c r="G355" t="inlineStr">
        <is>
          <t>HALMSTAD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45854</v>
      </c>
      <c r="E356" s="1" t="n">
        <v>46289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52469-2021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44466</v>
      </c>
      <c r="E357" s="1" t="n">
        <v>46289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46289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45856</v>
      </c>
      <c r="E359" s="1" t="n">
        <v>46289</v>
      </c>
      <c r="F359" t="inlineStr">
        <is>
          <t>HALLANDS LÄN</t>
        </is>
      </c>
      <c r="G359" t="inlineStr">
        <is>
          <t>HALMSTAD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46289</v>
      </c>
      <c r="F360" t="inlineStr">
        <is>
          <t>HALLANDS LÄN</t>
        </is>
      </c>
      <c r="G360" t="inlineStr">
        <is>
          <t>HALMSTAD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46289</v>
      </c>
      <c r="F361" t="inlineStr">
        <is>
          <t>HALLANDS LÄN</t>
        </is>
      </c>
      <c r="G361" t="inlineStr">
        <is>
          <t>HALMSTAD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46289</v>
      </c>
      <c r="F362" t="inlineStr">
        <is>
          <t>HALLANDS LÄN</t>
        </is>
      </c>
      <c r="G362" t="inlineStr">
        <is>
          <t>HALMSTAD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45408</v>
      </c>
      <c r="E363" s="1" t="n">
        <v>46289</v>
      </c>
      <c r="F363" t="inlineStr">
        <is>
          <t>HALLANDS LÄN</t>
        </is>
      </c>
      <c r="G363" t="inlineStr">
        <is>
          <t>HALMSTAD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46289</v>
      </c>
      <c r="F364" t="inlineStr">
        <is>
          <t>HALLANDS LÄN</t>
        </is>
      </c>
      <c r="G364" t="inlineStr">
        <is>
          <t>HALMSTAD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46289</v>
      </c>
      <c r="F365" t="inlineStr">
        <is>
          <t>HALLANDS LÄN</t>
        </is>
      </c>
      <c r="G365" t="inlineStr">
        <is>
          <t>HALMSTAD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46289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46289</v>
      </c>
      <c r="F367" t="inlineStr">
        <is>
          <t>HALLANDS LÄN</t>
        </is>
      </c>
      <c r="G367" t="inlineStr">
        <is>
          <t>HALMSTAD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45168</v>
      </c>
      <c r="E368" s="1" t="n">
        <v>46289</v>
      </c>
      <c r="F368" t="inlineStr">
        <is>
          <t>HALLANDS LÄN</t>
        </is>
      </c>
      <c r="G368" t="inlineStr">
        <is>
          <t>HALMSTAD</t>
        </is>
      </c>
      <c r="H368" t="inlineStr">
        <is>
          <t>Kommuner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44713</v>
      </c>
      <c r="E369" s="1" t="n">
        <v>46289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46289</v>
      </c>
      <c r="F370" t="inlineStr">
        <is>
          <t>HALLANDS LÄN</t>
        </is>
      </c>
      <c r="G370" t="inlineStr">
        <is>
          <t>HALMSTAD</t>
        </is>
      </c>
      <c r="H370" t="inlineStr">
        <is>
          <t>Kommuner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45493</v>
      </c>
      <c r="E371" s="1" t="n">
        <v>46289</v>
      </c>
      <c r="F371" t="inlineStr">
        <is>
          <t>HALLANDS LÄN</t>
        </is>
      </c>
      <c r="G371" t="inlineStr">
        <is>
          <t>HALMSTAD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44622</v>
      </c>
      <c r="E372" s="1" t="n">
        <v>46289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46289</v>
      </c>
      <c r="F373" t="inlineStr">
        <is>
          <t>HALLANDS LÄN</t>
        </is>
      </c>
      <c r="G373" t="inlineStr">
        <is>
          <t>HALMSTAD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46289</v>
      </c>
      <c r="F374" t="inlineStr">
        <is>
          <t>HALLANDS LÄN</t>
        </is>
      </c>
      <c r="G374" t="inlineStr">
        <is>
          <t>HALMSTAD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46289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54008-2023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46289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46289</v>
      </c>
      <c r="F377" t="inlineStr">
        <is>
          <t>HALLANDS LÄN</t>
        </is>
      </c>
      <c r="G377" t="inlineStr">
        <is>
          <t>HALMSTAD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46289</v>
      </c>
      <c r="F378" t="inlineStr">
        <is>
          <t>HALLANDS LÄN</t>
        </is>
      </c>
      <c r="G378" t="inlineStr">
        <is>
          <t>HALMSTAD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45099</v>
      </c>
      <c r="E379" s="1" t="n">
        <v>46289</v>
      </c>
      <c r="F379" t="inlineStr">
        <is>
          <t>HALLANDS LÄN</t>
        </is>
      </c>
      <c r="G379" t="inlineStr">
        <is>
          <t>HALMSTAD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45001</v>
      </c>
      <c r="E380" s="1" t="n">
        <v>46289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62170-2023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46289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44852</v>
      </c>
      <c r="E382" s="1" t="n">
        <v>46289</v>
      </c>
      <c r="F382" t="inlineStr">
        <is>
          <t>HALLANDS LÄN</t>
        </is>
      </c>
      <c r="G382" t="inlineStr">
        <is>
          <t>HALMSTAD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46289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39274-2022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44817</v>
      </c>
      <c r="E384" s="1" t="n">
        <v>46289</v>
      </c>
      <c r="F384" t="inlineStr">
        <is>
          <t>HALLANDS LÄN</t>
        </is>
      </c>
      <c r="G384" t="inlineStr">
        <is>
          <t>HALMSTAD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46289</v>
      </c>
      <c r="F385" t="inlineStr">
        <is>
          <t>HALLANDS LÄN</t>
        </is>
      </c>
      <c r="G385" t="inlineStr">
        <is>
          <t>HALMSTAD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45736</v>
      </c>
      <c r="E386" s="1" t="n">
        <v>46289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46289</v>
      </c>
      <c r="F387" t="inlineStr">
        <is>
          <t>HALLANDS LÄN</t>
        </is>
      </c>
      <c r="G387" t="inlineStr">
        <is>
          <t>HALMSTAD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53539-2022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44879</v>
      </c>
      <c r="E388" s="1" t="n">
        <v>46289</v>
      </c>
      <c r="F388" t="inlineStr">
        <is>
          <t>HALLANDS LÄN</t>
        </is>
      </c>
      <c r="G388" t="inlineStr">
        <is>
          <t>HALMSTAD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44879</v>
      </c>
      <c r="E389" s="1" t="n">
        <v>46289</v>
      </c>
      <c r="F389" t="inlineStr">
        <is>
          <t>HALLANDS LÄN</t>
        </is>
      </c>
      <c r="G389" t="inlineStr">
        <is>
          <t>HALMSTAD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61778-2022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44917</v>
      </c>
      <c r="E390" s="1" t="n">
        <v>46289</v>
      </c>
      <c r="F390" t="inlineStr">
        <is>
          <t>HALLANDS LÄN</t>
        </is>
      </c>
      <c r="G390" t="inlineStr">
        <is>
          <t>HALMSTAD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46289</v>
      </c>
      <c r="F391" t="inlineStr">
        <is>
          <t>HALLANDS LÄN</t>
        </is>
      </c>
      <c r="G391" t="inlineStr">
        <is>
          <t>HALMSTAD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46289</v>
      </c>
      <c r="F392" t="inlineStr">
        <is>
          <t>HALLANDS LÄN</t>
        </is>
      </c>
      <c r="G392" t="inlineStr">
        <is>
          <t>HALMSTAD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46289</v>
      </c>
      <c r="F393" t="inlineStr">
        <is>
          <t>HALLANDS LÄN</t>
        </is>
      </c>
      <c r="G393" t="inlineStr">
        <is>
          <t>HALMSTAD</t>
        </is>
      </c>
      <c r="H393" t="inlineStr">
        <is>
          <t>Kommuner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44580</v>
      </c>
      <c r="E394" s="1" t="n">
        <v>46289</v>
      </c>
      <c r="F394" t="inlineStr">
        <is>
          <t>HALLANDS LÄN</t>
        </is>
      </c>
      <c r="G394" t="inlineStr">
        <is>
          <t>HALMSTAD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60442-2024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45642</v>
      </c>
      <c r="E395" s="1" t="n">
        <v>46289</v>
      </c>
      <c r="F395" t="inlineStr">
        <is>
          <t>HALLANDS LÄN</t>
        </is>
      </c>
      <c r="G395" t="inlineStr">
        <is>
          <t>HALMSTAD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45299</v>
      </c>
      <c r="E396" s="1" t="n">
        <v>46289</v>
      </c>
      <c r="F396" t="inlineStr">
        <is>
          <t>HALLANDS LÄN</t>
        </is>
      </c>
      <c r="G396" t="inlineStr">
        <is>
          <t>HALMSTAD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46289</v>
      </c>
      <c r="F397" t="inlineStr">
        <is>
          <t>HALLANDS LÄN</t>
        </is>
      </c>
      <c r="G397" t="inlineStr">
        <is>
          <t>HALMSTAD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46289</v>
      </c>
      <c r="F398" t="inlineStr">
        <is>
          <t>HALLANDS LÄN</t>
        </is>
      </c>
      <c r="G398" t="inlineStr">
        <is>
          <t>HALMSTAD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2438-2024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45311</v>
      </c>
      <c r="E399" s="1" t="n">
        <v>46289</v>
      </c>
      <c r="F399" t="inlineStr">
        <is>
          <t>HALLANDS LÄN</t>
        </is>
      </c>
      <c r="G399" t="inlineStr">
        <is>
          <t>HALMSTAD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44621</v>
      </c>
      <c r="E400" s="1" t="n">
        <v>46289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12717-2023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45000</v>
      </c>
      <c r="E401" s="1" t="n">
        <v>46289</v>
      </c>
      <c r="F401" t="inlineStr">
        <is>
          <t>HALLANDS LÄN</t>
        </is>
      </c>
      <c r="G401" t="inlineStr">
        <is>
          <t>HALMSTAD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45006</v>
      </c>
      <c r="E402" s="1" t="n">
        <v>46289</v>
      </c>
      <c r="F402" t="inlineStr">
        <is>
          <t>HALLANDS LÄN</t>
        </is>
      </c>
      <c r="G402" t="inlineStr">
        <is>
          <t>HALMSTAD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46289</v>
      </c>
      <c r="F403" t="inlineStr">
        <is>
          <t>HALLANDS LÄN</t>
        </is>
      </c>
      <c r="G403" t="inlineStr">
        <is>
          <t>HALMSTAD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46289</v>
      </c>
      <c r="F404" t="inlineStr">
        <is>
          <t>HALLANDS LÄN</t>
        </is>
      </c>
      <c r="G404" t="inlineStr">
        <is>
          <t>HALMSTAD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63823-2023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45278</v>
      </c>
      <c r="E405" s="1" t="n">
        <v>46289</v>
      </c>
      <c r="F405" t="inlineStr">
        <is>
          <t>HALLANDS LÄN</t>
        </is>
      </c>
      <c r="G405" t="inlineStr">
        <is>
          <t>HALMSTAD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18686-2026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46128</v>
      </c>
      <c r="E406" s="1" t="n">
        <v>46289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45357</v>
      </c>
      <c r="E407" s="1" t="n">
        <v>46289</v>
      </c>
      <c r="F407" t="inlineStr">
        <is>
          <t>HALLANDS LÄN</t>
        </is>
      </c>
      <c r="G407" t="inlineStr">
        <is>
          <t>HALMSTAD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45581</v>
      </c>
      <c r="E408" s="1" t="n">
        <v>46289</v>
      </c>
      <c r="F408" t="inlineStr">
        <is>
          <t>HALLANDS LÄN</t>
        </is>
      </c>
      <c r="G408" t="inlineStr">
        <is>
          <t>HALMSTAD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46289</v>
      </c>
      <c r="F409" t="inlineStr">
        <is>
          <t>HALLANDS LÄN</t>
        </is>
      </c>
      <c r="G409" t="inlineStr">
        <is>
          <t>HALMSTAD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46289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46289</v>
      </c>
      <c r="F411" t="inlineStr">
        <is>
          <t>HALLANDS LÄN</t>
        </is>
      </c>
      <c r="G411" t="inlineStr">
        <is>
          <t>HALMSTAD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45079</v>
      </c>
      <c r="E412" s="1" t="n">
        <v>46289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45050</v>
      </c>
      <c r="E413" s="1" t="n">
        <v>46289</v>
      </c>
      <c r="F413" t="inlineStr">
        <is>
          <t>HALLANDS LÄN</t>
        </is>
      </c>
      <c r="G413" t="inlineStr">
        <is>
          <t>HALMSTAD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45750</v>
      </c>
      <c r="E414" s="1" t="n">
        <v>46289</v>
      </c>
      <c r="F414" t="inlineStr">
        <is>
          <t>HALLANDS LÄN</t>
        </is>
      </c>
      <c r="G414" t="inlineStr">
        <is>
          <t>HALMSTAD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30093-2023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45099</v>
      </c>
      <c r="E415" s="1" t="n">
        <v>46289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46289</v>
      </c>
      <c r="F416" t="inlineStr">
        <is>
          <t>HALLANDS LÄN</t>
        </is>
      </c>
      <c r="G416" t="inlineStr">
        <is>
          <t>HALMSTAD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46289</v>
      </c>
      <c r="F417" t="inlineStr">
        <is>
          <t>HALLANDS LÄN</t>
        </is>
      </c>
      <c r="G417" t="inlineStr">
        <is>
          <t>HALMSTAD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45874</v>
      </c>
      <c r="E418" s="1" t="n">
        <v>46289</v>
      </c>
      <c r="F418" t="inlineStr">
        <is>
          <t>HALLANDS LÄN</t>
        </is>
      </c>
      <c r="G418" t="inlineStr">
        <is>
          <t>HALMSTAD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45874</v>
      </c>
      <c r="E419" s="1" t="n">
        <v>46289</v>
      </c>
      <c r="F419" t="inlineStr">
        <is>
          <t>HALLANDS LÄN</t>
        </is>
      </c>
      <c r="G419" t="inlineStr">
        <is>
          <t>HALMSTAD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46289</v>
      </c>
      <c r="F420" t="inlineStr">
        <is>
          <t>HALLANDS LÄN</t>
        </is>
      </c>
      <c r="G420" t="inlineStr">
        <is>
          <t>HALMSTAD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40846-2023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45172</v>
      </c>
      <c r="E421" s="1" t="n">
        <v>46289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46289</v>
      </c>
      <c r="F422" t="inlineStr">
        <is>
          <t>HALLANDS LÄN</t>
        </is>
      </c>
      <c r="G422" t="inlineStr">
        <is>
          <t>HALMSTAD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46289</v>
      </c>
      <c r="F423" t="inlineStr">
        <is>
          <t>HALLANDS LÄN</t>
        </is>
      </c>
      <c r="G423" t="inlineStr">
        <is>
          <t>HALMSTAD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46289</v>
      </c>
      <c r="F424" t="inlineStr">
        <is>
          <t>HALLANDS LÄN</t>
        </is>
      </c>
      <c r="G424" t="inlineStr">
        <is>
          <t>HALMSTAD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45729</v>
      </c>
      <c r="E425" s="1" t="n">
        <v>46289</v>
      </c>
      <c r="F425" t="inlineStr">
        <is>
          <t>HALLANDS LÄN</t>
        </is>
      </c>
      <c r="G425" t="inlineStr">
        <is>
          <t>HALMSTAD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45880</v>
      </c>
      <c r="E426" s="1" t="n">
        <v>46289</v>
      </c>
      <c r="F426" t="inlineStr">
        <is>
          <t>HALLANDS LÄN</t>
        </is>
      </c>
      <c r="G426" t="inlineStr">
        <is>
          <t>HALMSTAD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45168</v>
      </c>
      <c r="E427" s="1" t="n">
        <v>46289</v>
      </c>
      <c r="F427" t="inlineStr">
        <is>
          <t>HALLANDS LÄN</t>
        </is>
      </c>
      <c r="G427" t="inlineStr">
        <is>
          <t>HALMSTAD</t>
        </is>
      </c>
      <c r="H427" t="inlineStr">
        <is>
          <t>Kommuner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45168</v>
      </c>
      <c r="E428" s="1" t="n">
        <v>46289</v>
      </c>
      <c r="F428" t="inlineStr">
        <is>
          <t>HALLANDS LÄN</t>
        </is>
      </c>
      <c r="G428" t="inlineStr">
        <is>
          <t>HALMSTAD</t>
        </is>
      </c>
      <c r="H428" t="inlineStr">
        <is>
          <t>Kommuner</t>
        </is>
      </c>
      <c r="I428" t="n">
        <v>7.1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46289</v>
      </c>
      <c r="F429" t="inlineStr">
        <is>
          <t>HALLANDS LÄN</t>
        </is>
      </c>
      <c r="G429" t="inlineStr">
        <is>
          <t>HALMSTAD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46289</v>
      </c>
      <c r="F430" t="inlineStr">
        <is>
          <t>HALLANDS LÄN</t>
        </is>
      </c>
      <c r="G430" t="inlineStr">
        <is>
          <t>HALMSTAD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46289</v>
      </c>
      <c r="F431" t="inlineStr">
        <is>
          <t>HALLANDS LÄN</t>
        </is>
      </c>
      <c r="G431" t="inlineStr">
        <is>
          <t>HALMSTAD</t>
        </is>
      </c>
      <c r="H431" t="inlineStr">
        <is>
          <t>Kommuner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45279</v>
      </c>
      <c r="E432" s="1" t="n">
        <v>46289</v>
      </c>
      <c r="F432" t="inlineStr">
        <is>
          <t>HALLANDS LÄN</t>
        </is>
      </c>
      <c r="G432" t="inlineStr">
        <is>
          <t>HALMSTAD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46289</v>
      </c>
      <c r="F433" t="inlineStr">
        <is>
          <t>HALLANDS LÄN</t>
        </is>
      </c>
      <c r="G433" t="inlineStr">
        <is>
          <t>HALMSTAD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46289</v>
      </c>
      <c r="F434" t="inlineStr">
        <is>
          <t>HALLANDS LÄN</t>
        </is>
      </c>
      <c r="G434" t="inlineStr">
        <is>
          <t>HALMSTAD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45251</v>
      </c>
      <c r="E435" s="1" t="n">
        <v>46289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45196</v>
      </c>
      <c r="E436" s="1" t="n">
        <v>46289</v>
      </c>
      <c r="F436" t="inlineStr">
        <is>
          <t>HALLANDS LÄN</t>
        </is>
      </c>
      <c r="G436" t="inlineStr">
        <is>
          <t>HALMSTAD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46289</v>
      </c>
      <c r="F437" t="inlineStr">
        <is>
          <t>HALLANDS LÄN</t>
        </is>
      </c>
      <c r="G437" t="inlineStr">
        <is>
          <t>HALMSTAD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45335</v>
      </c>
      <c r="E438" s="1" t="n">
        <v>46289</v>
      </c>
      <c r="F438" t="inlineStr">
        <is>
          <t>HALLANDS LÄN</t>
        </is>
      </c>
      <c r="G438" t="inlineStr">
        <is>
          <t>HALMSTAD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45316</v>
      </c>
      <c r="E439" s="1" t="n">
        <v>46289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46289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42204-2024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46289</v>
      </c>
      <c r="F441" t="inlineStr">
        <is>
          <t>HALLANDS LÄN</t>
        </is>
      </c>
      <c r="G441" t="inlineStr">
        <is>
          <t>HALMSTAD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48022-2024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46289</v>
      </c>
      <c r="F442" t="inlineStr">
        <is>
          <t>HALLANDS LÄN</t>
        </is>
      </c>
      <c r="G442" t="inlineStr">
        <is>
          <t>HALMSTAD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45065</v>
      </c>
      <c r="E443" s="1" t="n">
        <v>46289</v>
      </c>
      <c r="F443" t="inlineStr">
        <is>
          <t>HALLANDS LÄN</t>
        </is>
      </c>
      <c r="G443" t="inlineStr">
        <is>
          <t>HALMSTAD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46289</v>
      </c>
      <c r="F444" t="inlineStr">
        <is>
          <t>HALLANDS LÄN</t>
        </is>
      </c>
      <c r="G444" t="inlineStr">
        <is>
          <t>HALMSTAD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45323</v>
      </c>
      <c r="E445" s="1" t="n">
        <v>46289</v>
      </c>
      <c r="F445" t="inlineStr">
        <is>
          <t>HALLANDS LÄN</t>
        </is>
      </c>
      <c r="G445" t="inlineStr">
        <is>
          <t>HALMSTAD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45079</v>
      </c>
      <c r="E446" s="1" t="n">
        <v>46289</v>
      </c>
      <c r="F446" t="inlineStr">
        <is>
          <t>HALLANDS LÄN</t>
        </is>
      </c>
      <c r="G446" t="inlineStr">
        <is>
          <t>HALMSTAD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45168</v>
      </c>
      <c r="E447" s="1" t="n">
        <v>46289</v>
      </c>
      <c r="F447" t="inlineStr">
        <is>
          <t>HALLANDS LÄN</t>
        </is>
      </c>
      <c r="G447" t="inlineStr">
        <is>
          <t>HALMSTAD</t>
        </is>
      </c>
      <c r="H447" t="inlineStr">
        <is>
          <t>Kommuner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45712</v>
      </c>
      <c r="E448" s="1" t="n">
        <v>46289</v>
      </c>
      <c r="F448" t="inlineStr">
        <is>
          <t>HALLANDS LÄN</t>
        </is>
      </c>
      <c r="G448" t="inlineStr">
        <is>
          <t>HALMSTAD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40741-2023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45170</v>
      </c>
      <c r="E449" s="1" t="n">
        <v>46289</v>
      </c>
      <c r="F449" t="inlineStr">
        <is>
          <t>HALLANDS LÄN</t>
        </is>
      </c>
      <c r="G449" t="inlineStr">
        <is>
          <t>HALMSTAD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45258</v>
      </c>
      <c r="E450" s="1" t="n">
        <v>46289</v>
      </c>
      <c r="F450" t="inlineStr">
        <is>
          <t>HALLANDS LÄN</t>
        </is>
      </c>
      <c r="G450" t="inlineStr">
        <is>
          <t>HALMSTAD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66730-2021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44520</v>
      </c>
      <c r="E451" s="1" t="n">
        <v>46289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45680</v>
      </c>
      <c r="E452" s="1" t="n">
        <v>46289</v>
      </c>
      <c r="F452" t="inlineStr">
        <is>
          <t>HALLANDS LÄN</t>
        </is>
      </c>
      <c r="G452" t="inlineStr">
        <is>
          <t>HALMSTAD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4869-2024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46289</v>
      </c>
      <c r="F453" t="inlineStr">
        <is>
          <t>HALLANDS LÄN</t>
        </is>
      </c>
      <c r="G453" t="inlineStr">
        <is>
          <t>HALMSTAD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45734</v>
      </c>
      <c r="E454" s="1" t="n">
        <v>46289</v>
      </c>
      <c r="F454" t="inlineStr">
        <is>
          <t>HALLANDS LÄN</t>
        </is>
      </c>
      <c r="G454" t="inlineStr">
        <is>
          <t>HALMSTAD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45358</v>
      </c>
      <c r="E455" s="1" t="n">
        <v>46289</v>
      </c>
      <c r="F455" t="inlineStr">
        <is>
          <t>HALLANDS LÄN</t>
        </is>
      </c>
      <c r="G455" t="inlineStr">
        <is>
          <t>HALMSTAD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45415</v>
      </c>
      <c r="E456" s="1" t="n">
        <v>46289</v>
      </c>
      <c r="F456" t="inlineStr">
        <is>
          <t>HALLANDS LÄN</t>
        </is>
      </c>
      <c r="G456" t="inlineStr">
        <is>
          <t>HALMSTAD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46289</v>
      </c>
      <c r="F457" t="inlineStr">
        <is>
          <t>HALLANDS LÄN</t>
        </is>
      </c>
      <c r="G457" t="inlineStr">
        <is>
          <t>HALMSTAD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45443</v>
      </c>
      <c r="E458" s="1" t="n">
        <v>46289</v>
      </c>
      <c r="F458" t="inlineStr">
        <is>
          <t>HALLANDS LÄN</t>
        </is>
      </c>
      <c r="G458" t="inlineStr">
        <is>
          <t>HALMSTAD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46289</v>
      </c>
      <c r="F459" t="inlineStr">
        <is>
          <t>HALLANDS LÄN</t>
        </is>
      </c>
      <c r="G459" t="inlineStr">
        <is>
          <t>HALMSTAD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40418-2024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46289</v>
      </c>
      <c r="F460" t="inlineStr">
        <is>
          <t>HALLANDS LÄN</t>
        </is>
      </c>
      <c r="G460" t="inlineStr">
        <is>
          <t>HALMSTAD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46289</v>
      </c>
      <c r="F461" t="inlineStr">
        <is>
          <t>HALLANDS LÄN</t>
        </is>
      </c>
      <c r="G461" t="inlineStr">
        <is>
          <t>HALMSTAD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46289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46289</v>
      </c>
      <c r="F463" t="inlineStr">
        <is>
          <t>HALLANDS LÄN</t>
        </is>
      </c>
      <c r="G463" t="inlineStr">
        <is>
          <t>HALMSTAD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45897</v>
      </c>
      <c r="E464" s="1" t="n">
        <v>46289</v>
      </c>
      <c r="F464" t="inlineStr">
        <is>
          <t>HALLANDS LÄN</t>
        </is>
      </c>
      <c r="G464" t="inlineStr">
        <is>
          <t>HALMSTAD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46289</v>
      </c>
      <c r="F465" t="inlineStr">
        <is>
          <t>HALLANDS LÄN</t>
        </is>
      </c>
      <c r="G465" t="inlineStr">
        <is>
          <t>HALMSTAD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46289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46289</v>
      </c>
      <c r="F467" t="inlineStr">
        <is>
          <t>HALLANDS LÄN</t>
        </is>
      </c>
      <c r="G467" t="inlineStr">
        <is>
          <t>HALMSTAD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46289</v>
      </c>
      <c r="F468" t="inlineStr">
        <is>
          <t>HALLANDS LÄN</t>
        </is>
      </c>
      <c r="G468" t="inlineStr">
        <is>
          <t>HALMSTAD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46289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46289</v>
      </c>
      <c r="F470" t="inlineStr">
        <is>
          <t>HALLANDS LÄN</t>
        </is>
      </c>
      <c r="G470" t="inlineStr">
        <is>
          <t>HALMSTAD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46289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46289</v>
      </c>
      <c r="F472" t="inlineStr">
        <is>
          <t>HALLANDS LÄN</t>
        </is>
      </c>
      <c r="G472" t="inlineStr">
        <is>
          <t>HALMSTAD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45988-2025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46289</v>
      </c>
      <c r="F473" t="inlineStr">
        <is>
          <t>HALLANDS LÄN</t>
        </is>
      </c>
      <c r="G473" t="inlineStr">
        <is>
          <t>HALMSTAD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46173</v>
      </c>
      <c r="E474" s="1" t="n">
        <v>46289</v>
      </c>
      <c r="F474" t="inlineStr">
        <is>
          <t>HALLANDS LÄN</t>
        </is>
      </c>
      <c r="G474" t="inlineStr">
        <is>
          <t>HALMSTAD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46173</v>
      </c>
      <c r="E475" s="1" t="n">
        <v>46289</v>
      </c>
      <c r="F475" t="inlineStr">
        <is>
          <t>HALLANDS LÄN</t>
        </is>
      </c>
      <c r="G475" t="inlineStr">
        <is>
          <t>HALMSTAD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46289</v>
      </c>
      <c r="F476" t="inlineStr">
        <is>
          <t>HALLANDS LÄN</t>
        </is>
      </c>
      <c r="G476" t="inlineStr">
        <is>
          <t>HALMSTAD</t>
        </is>
      </c>
      <c r="I476" t="n">
        <v>17.8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46289</v>
      </c>
      <c r="F477" t="inlineStr">
        <is>
          <t>HALLANDS LÄN</t>
        </is>
      </c>
      <c r="G477" t="inlineStr">
        <is>
          <t>HALMSTAD</t>
        </is>
      </c>
      <c r="I477" t="n">
        <v>12.6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46289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46289</v>
      </c>
      <c r="F479" t="inlineStr">
        <is>
          <t>HALLANDS LÄN</t>
        </is>
      </c>
      <c r="G479" t="inlineStr">
        <is>
          <t>HALMSTAD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26335-2026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46182</v>
      </c>
      <c r="E480" s="1" t="n">
        <v>46289</v>
      </c>
      <c r="F480" t="inlineStr">
        <is>
          <t>HALLANDS LÄN</t>
        </is>
      </c>
      <c r="G480" t="inlineStr">
        <is>
          <t>HALMSTAD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46289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46289</v>
      </c>
      <c r="F482" t="inlineStr">
        <is>
          <t>HALLANDS LÄN</t>
        </is>
      </c>
      <c r="G482" t="inlineStr">
        <is>
          <t>HALMSTAD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46289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46289</v>
      </c>
      <c r="F484" t="inlineStr">
        <is>
          <t>HALLANDS LÄN</t>
        </is>
      </c>
      <c r="G484" t="inlineStr">
        <is>
          <t>HALMSTAD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46289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46289</v>
      </c>
      <c r="F486" t="inlineStr">
        <is>
          <t>HALLANDS LÄN</t>
        </is>
      </c>
      <c r="G486" t="inlineStr">
        <is>
          <t>HALMSTAD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46289</v>
      </c>
      <c r="F487" t="inlineStr">
        <is>
          <t>HALLANDS LÄN</t>
        </is>
      </c>
      <c r="G487" t="inlineStr">
        <is>
          <t>HALMSTAD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46289</v>
      </c>
      <c r="F488" t="inlineStr">
        <is>
          <t>HALLANDS LÄN</t>
        </is>
      </c>
      <c r="G488" t="inlineStr">
        <is>
          <t>HALMSTAD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46289</v>
      </c>
      <c r="F489" t="inlineStr">
        <is>
          <t>HALLANDS LÄN</t>
        </is>
      </c>
      <c r="G489" t="inlineStr">
        <is>
          <t>HALMSTAD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46289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46289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46289</v>
      </c>
      <c r="F492" t="inlineStr">
        <is>
          <t>HALLANDS LÄN</t>
        </is>
      </c>
      <c r="G492" t="inlineStr">
        <is>
          <t>HALMSTAD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46289</v>
      </c>
      <c r="F493" t="inlineStr">
        <is>
          <t>HALLANDS LÄN</t>
        </is>
      </c>
      <c r="G493" t="inlineStr">
        <is>
          <t>HALMSTAD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46289</v>
      </c>
      <c r="F494" t="inlineStr">
        <is>
          <t>HALLANDS LÄN</t>
        </is>
      </c>
      <c r="G494" t="inlineStr">
        <is>
          <t>HALMSTAD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46289</v>
      </c>
      <c r="F495" t="inlineStr">
        <is>
          <t>HALLANDS LÄN</t>
        </is>
      </c>
      <c r="G495" t="inlineStr">
        <is>
          <t>HALMSTAD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46289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12009-2026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46085</v>
      </c>
      <c r="E497" s="1" t="n">
        <v>46289</v>
      </c>
      <c r="F497" t="inlineStr">
        <is>
          <t>HALLANDS LÄN</t>
        </is>
      </c>
      <c r="G497" t="inlineStr">
        <is>
          <t>HALMSTAD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46289</v>
      </c>
      <c r="F498" t="inlineStr">
        <is>
          <t>HALLANDS LÄN</t>
        </is>
      </c>
      <c r="G498" t="inlineStr">
        <is>
          <t>HALMSTAD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46289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46289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46210</v>
      </c>
      <c r="E501" s="1" t="n">
        <v>46289</v>
      </c>
      <c r="F501" t="inlineStr">
        <is>
          <t>HALLANDS LÄN</t>
        </is>
      </c>
      <c r="G501" t="inlineStr">
        <is>
          <t>HALMSTAD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46289</v>
      </c>
      <c r="F502" t="inlineStr">
        <is>
          <t>HALLANDS LÄN</t>
        </is>
      </c>
      <c r="G502" t="inlineStr">
        <is>
          <t>HALMSTAD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46289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46289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46289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46289</v>
      </c>
      <c r="F506" t="inlineStr">
        <is>
          <t>HALLANDS LÄN</t>
        </is>
      </c>
      <c r="G506" t="inlineStr">
        <is>
          <t>HALMSTAD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46289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46289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46289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46210</v>
      </c>
      <c r="E510" s="1" t="n">
        <v>46289</v>
      </c>
      <c r="F510" t="inlineStr">
        <is>
          <t>HALLANDS LÄN</t>
        </is>
      </c>
      <c r="G510" t="inlineStr">
        <is>
          <t>HALMSTAD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46289</v>
      </c>
      <c r="F511" t="inlineStr">
        <is>
          <t>HALLANDS LÄN</t>
        </is>
      </c>
      <c r="G511" t="inlineStr">
        <is>
          <t>HALMSTAD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46289</v>
      </c>
      <c r="F512" t="inlineStr">
        <is>
          <t>HALLANDS LÄN</t>
        </is>
      </c>
      <c r="G512" t="inlineStr">
        <is>
          <t>HALMSTAD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46289</v>
      </c>
      <c r="F513" t="inlineStr">
        <is>
          <t>HALLANDS LÄN</t>
        </is>
      </c>
      <c r="G513" t="inlineStr">
        <is>
          <t>HALMSTAD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46289</v>
      </c>
      <c r="F514" t="inlineStr">
        <is>
          <t>HALLANDS LÄN</t>
        </is>
      </c>
      <c r="G514" t="inlineStr">
        <is>
          <t>HALMSTAD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46289</v>
      </c>
      <c r="F515" t="inlineStr">
        <is>
          <t>HALLANDS LÄN</t>
        </is>
      </c>
      <c r="G515" t="inlineStr">
        <is>
          <t>HALMSTAD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46289</v>
      </c>
      <c r="F516" t="inlineStr">
        <is>
          <t>HALLANDS LÄN</t>
        </is>
      </c>
      <c r="G516" t="inlineStr">
        <is>
          <t>HALMSTAD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46289</v>
      </c>
      <c r="F517" t="inlineStr">
        <is>
          <t>HALLANDS LÄN</t>
        </is>
      </c>
      <c r="G517" t="inlineStr">
        <is>
          <t>HALMSTAD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46289</v>
      </c>
      <c r="F518" t="inlineStr">
        <is>
          <t>HALLANDS LÄN</t>
        </is>
      </c>
      <c r="G518" t="inlineStr">
        <is>
          <t>HALMSTAD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46289</v>
      </c>
      <c r="F519" t="inlineStr">
        <is>
          <t>HALLANDS LÄN</t>
        </is>
      </c>
      <c r="G519" t="inlineStr">
        <is>
          <t>HALMSTAD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46289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46289</v>
      </c>
      <c r="F521" t="inlineStr">
        <is>
          <t>HALLANDS LÄN</t>
        </is>
      </c>
      <c r="G521" t="inlineStr">
        <is>
          <t>HALMSTAD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46289</v>
      </c>
      <c r="F522" t="inlineStr">
        <is>
          <t>HALLANDS LÄN</t>
        </is>
      </c>
      <c r="G522" t="inlineStr">
        <is>
          <t>HALMSTAD</t>
        </is>
      </c>
      <c r="I522" t="n">
        <v>10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46289</v>
      </c>
      <c r="F523" t="inlineStr">
        <is>
          <t>HALLANDS LÄN</t>
        </is>
      </c>
      <c r="G523" t="inlineStr">
        <is>
          <t>HALMSTAD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45677</v>
      </c>
      <c r="E524" s="1" t="n">
        <v>46289</v>
      </c>
      <c r="F524" t="inlineStr">
        <is>
          <t>HALLANDS LÄN</t>
        </is>
      </c>
      <c r="G524" t="inlineStr">
        <is>
          <t>HALMSTAD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46289</v>
      </c>
      <c r="F525" t="inlineStr">
        <is>
          <t>HALLANDS LÄN</t>
        </is>
      </c>
      <c r="G525" t="inlineStr">
        <is>
          <t>HALMSTAD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46289</v>
      </c>
      <c r="F526" t="inlineStr">
        <is>
          <t>HALLANDS LÄN</t>
        </is>
      </c>
      <c r="G526" t="inlineStr">
        <is>
          <t>HALMSTAD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46289</v>
      </c>
      <c r="F527" t="inlineStr">
        <is>
          <t>HALLANDS LÄN</t>
        </is>
      </c>
      <c r="G527" t="inlineStr">
        <is>
          <t>HALMSTAD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46027</v>
      </c>
      <c r="E528" s="1" t="n">
        <v>46289</v>
      </c>
      <c r="F528" t="inlineStr">
        <is>
          <t>HALLANDS LÄN</t>
        </is>
      </c>
      <c r="G528" t="inlineStr">
        <is>
          <t>HALMSTAD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46289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46289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46289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46289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46289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46289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46289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46289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46289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46289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46289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46289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46289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2016-2026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46212</v>
      </c>
      <c r="E542" s="1" t="n">
        <v>46289</v>
      </c>
      <c r="F542" t="inlineStr">
        <is>
          <t>HALLANDS LÄN</t>
        </is>
      </c>
      <c r="G542" t="inlineStr">
        <is>
          <t>HALMSTAD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2118-2026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46244</v>
      </c>
      <c r="E543" s="1" t="n">
        <v>46289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2026-09-24T01:57:42Z</dcterms:created>
  <dcterms:modified xmlns:dcterms="http://purl.org/dc/terms/" xmlns:xsi="http://www.w3.org/2001/XMLSchema-instance" xsi:type="dcterms:W3CDTF">2026-09-24T01:57:43Z</dcterms:modified>
</cp:coreProperties>
</file>
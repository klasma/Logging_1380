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46316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46316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46316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46316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46316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46316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46316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46316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46316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46316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46316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46316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46316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40686-2023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46316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8.4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Kambräken
Mattlummer
Åkergroda
Vanlig padda</t>
        </is>
      </c>
      <c r="W16">
        <f>HYPERLINK("https://klasma.github.io/Logging_1380/artfynd/A 40686-2023 artfynd.xlsx", "A 40686-2023")</f>
        <v/>
      </c>
      <c r="X16">
        <f>HYPERLINK("https://klasma.github.io/Logging_1380/kartor/A 40686-2023 karta.png", "A 40686-2023")</f>
        <v/>
      </c>
      <c r="Y16">
        <f>HYPERLINK("https://klasma.github.io/Logging_1380/kartor_geotiff/A 40686-2023 georefererad karta.tif", "A 40686-2023")</f>
        <v/>
      </c>
      <c r="AA16">
        <f>HYPERLINK("https://klasma.github.io/Logging_1380/klagomål/A 40686-2023 FSC-klagomål.docx", "A 40686-2023")</f>
        <v/>
      </c>
      <c r="AB16">
        <f>HYPERLINK("https://klasma.github.io/Logging_1380/klagomålsmail/A 40686-2023 FSC-klagomål mail.docx", "A 40686-2023")</f>
        <v/>
      </c>
      <c r="AC16">
        <f>HYPERLINK("https://klasma.github.io/Logging_1380/tillsyn/A 40686-2023 tillsynsbegäran.docx", "A 40686-2023")</f>
        <v/>
      </c>
      <c r="AD16">
        <f>HYPERLINK("https://klasma.github.io/Logging_1380/tillsynsmail/A 40686-2023 tillsynsbegäran mail.docx", "A 40686-2023")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46316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46316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4.5</v>
      </c>
      <c r="J18" t="n">
        <v>1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Jättesvampmal
Klippfrullania
Västlig hakmossa
Spillkråka</t>
        </is>
      </c>
      <c r="W18">
        <f>HYPERLINK("https://klasma.github.io/Logging_1380/artfynd/A 40697-2023 artfynd.xlsx", "A 40697-2023")</f>
        <v/>
      </c>
      <c r="X18">
        <f>HYPERLINK("https://klasma.github.io/Logging_1380/kartor/A 40697-2023 karta.png", "A 40697-2023")</f>
        <v/>
      </c>
      <c r="Y18">
        <f>HYPERLINK("https://klasma.github.io/Logging_1380/kartor_geotiff/A 40697-2023 georefererad karta.tif", "A 40697-2023")</f>
        <v/>
      </c>
      <c r="AA18">
        <f>HYPERLINK("https://klasma.github.io/Logging_1380/klagomål/A 40697-2023 FSC-klagomål.docx", "A 40697-2023")</f>
        <v/>
      </c>
      <c r="AB18">
        <f>HYPERLINK("https://klasma.github.io/Logging_1380/klagomålsmail/A 40697-2023 FSC-klagomål mail.docx", "A 40697-2023")</f>
        <v/>
      </c>
      <c r="AC18">
        <f>HYPERLINK("https://klasma.github.io/Logging_1380/tillsyn/A 40697-2023 tillsynsbegäran.docx", "A 40697-2023")</f>
        <v/>
      </c>
      <c r="AD18">
        <f>HYPERLINK("https://klasma.github.io/Logging_1380/tillsynsmail/A 40697-2023 tillsynsbegäran mail.docx", "A 40697-2023")</f>
        <v/>
      </c>
      <c r="AE18">
        <f>HYPERLINK("https://klasma.github.io/Logging_1380/fåglar/A 40697-2023 prioriterade fågelarter.docx", "A 40697-2023")</f>
        <v/>
      </c>
    </row>
    <row r="19" ht="15" customHeight="1">
      <c r="A19" t="inlineStr">
        <is>
          <t>A 40491-2023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46316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1.2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Stor sotdyna
Blåmossa
Kambräken
Glansfläck</t>
        </is>
      </c>
      <c r="W19">
        <f>HYPERLINK("https://klasma.github.io/Logging_1380/artfynd/A 40491-2023 artfynd.xlsx", "A 40491-2023")</f>
        <v/>
      </c>
      <c r="X19">
        <f>HYPERLINK("https://klasma.github.io/Logging_1380/kartor/A 40491-2023 karta.png", "A 40491-2023")</f>
        <v/>
      </c>
      <c r="Y19">
        <f>HYPERLINK("https://klasma.github.io/Logging_1380/kartor_geotiff/A 40491-2023 georefererad karta.tif", "A 40491-2023")</f>
        <v/>
      </c>
      <c r="AA19">
        <f>HYPERLINK("https://klasma.github.io/Logging_1380/klagomål/A 40491-2023 FSC-klagomål.docx", "A 40491-2023")</f>
        <v/>
      </c>
      <c r="AB19">
        <f>HYPERLINK("https://klasma.github.io/Logging_1380/klagomålsmail/A 40491-2023 FSC-klagomål mail.docx", "A 40491-2023")</f>
        <v/>
      </c>
      <c r="AC19">
        <f>HYPERLINK("https://klasma.github.io/Logging_1380/tillsyn/A 40491-2023 tillsynsbegäran.docx", "A 40491-2023")</f>
        <v/>
      </c>
      <c r="AD19">
        <f>HYPERLINK("https://klasma.github.io/Logging_1380/tillsynsmail/A 40491-2023 tillsynsbegäran mail.docx", "A 40491-2023")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46316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46316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46316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46316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46316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46316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39252-2026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46288</v>
      </c>
      <c r="E26" s="1" t="n">
        <v>46316</v>
      </c>
      <c r="F26" t="inlineStr">
        <is>
          <t>HALLANDS LÄN</t>
        </is>
      </c>
      <c r="G26" t="inlineStr">
        <is>
          <t>HALMSTAD</t>
        </is>
      </c>
      <c r="I26" t="n">
        <v>0.8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Flikbålmossa
Loppstarr
Mörk dunört</t>
        </is>
      </c>
      <c r="W26">
        <f>HYPERLINK("https://klasma.github.io/Logging_1380/artfynd/A 39252-2026 artfynd.xlsx", "A 39252-2026")</f>
        <v/>
      </c>
      <c r="X26">
        <f>HYPERLINK("https://klasma.github.io/Logging_1380/kartor/A 39252-2026 karta.png", "A 39252-2026")</f>
        <v/>
      </c>
      <c r="Y26">
        <f>HYPERLINK("https://klasma.github.io/Logging_1380/kartor_geotiff/A 39252-2026 georefererad karta.tif", "A 39252-2026")</f>
        <v/>
      </c>
      <c r="AA26">
        <f>HYPERLINK("https://klasma.github.io/Logging_1380/klagomål/A 39252-2026 FSC-klagomål.docx", "A 39252-2026")</f>
        <v/>
      </c>
      <c r="AB26">
        <f>HYPERLINK("https://klasma.github.io/Logging_1380/klagomålsmail/A 39252-2026 FSC-klagomål mail.docx", "A 39252-2026")</f>
        <v/>
      </c>
      <c r="AC26">
        <f>HYPERLINK("https://klasma.github.io/Logging_1380/tillsyn/A 39252-2026 tillsynsbegäran.docx", "A 39252-2026")</f>
        <v/>
      </c>
      <c r="AD26">
        <f>HYPERLINK("https://klasma.github.io/Logging_1380/tillsynsmail/A 39252-2026 tillsynsbegäran mail.docx", "A 39252-2026")</f>
        <v/>
      </c>
    </row>
    <row r="27" ht="15" customHeight="1">
      <c r="A27" t="inlineStr">
        <is>
          <t>A 40531-2023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45168</v>
      </c>
      <c r="E27" s="1" t="n">
        <v>46316</v>
      </c>
      <c r="F27" t="inlineStr">
        <is>
          <t>HALLANDS LÄN</t>
        </is>
      </c>
      <c r="G27" t="inlineStr">
        <is>
          <t>HALMSTAD</t>
        </is>
      </c>
      <c r="H27" t="inlineStr">
        <is>
          <t>Kommuner</t>
        </is>
      </c>
      <c r="I27" t="n">
        <v>4.2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Kambräken
Spillkråka
Kungsfågel</t>
        </is>
      </c>
      <c r="W27">
        <f>HYPERLINK("https://klasma.github.io/Logging_1380/artfynd/A 40531-2023 artfynd.xlsx", "A 40531-2023")</f>
        <v/>
      </c>
      <c r="X27">
        <f>HYPERLINK("https://klasma.github.io/Logging_1380/kartor/A 40531-2023 karta.png", "A 40531-2023")</f>
        <v/>
      </c>
      <c r="Y27">
        <f>HYPERLINK("https://klasma.github.io/Logging_1380/kartor_geotiff/A 40531-2023 georefererad karta.tif", "A 40531-2023")</f>
        <v/>
      </c>
      <c r="AA27">
        <f>HYPERLINK("https://klasma.github.io/Logging_1380/klagomål/A 40531-2023 FSC-klagomål.docx", "A 40531-2023")</f>
        <v/>
      </c>
      <c r="AB27">
        <f>HYPERLINK("https://klasma.github.io/Logging_1380/klagomålsmail/A 40531-2023 FSC-klagomål mail.docx", "A 40531-2023")</f>
        <v/>
      </c>
      <c r="AC27">
        <f>HYPERLINK("https://klasma.github.io/Logging_1380/tillsyn/A 40531-2023 tillsynsbegäran.docx", "A 40531-2023")</f>
        <v/>
      </c>
      <c r="AD27">
        <f>HYPERLINK("https://klasma.github.io/Logging_1380/tillsynsmail/A 40531-2023 tillsynsbegäran mail.docx", "A 40531-2023")</f>
        <v/>
      </c>
      <c r="AE27">
        <f>HYPERLINK("https://klasma.github.io/Logging_1380/fåglar/A 40531-2023 prioriterade fågelarter.docx", "A 40531-2023")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46316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46316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46316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46316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46316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46316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9049-2026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46316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Sångsvan
Grönvit nattviol</t>
        </is>
      </c>
      <c r="W34">
        <f>HYPERLINK("https://klasma.github.io/Logging_1380/artfynd/A 9049-2026 artfynd.xlsx", "A 9049-2026")</f>
        <v/>
      </c>
      <c r="X34">
        <f>HYPERLINK("https://klasma.github.io/Logging_1380/kartor/A 9049-2026 karta.png", "A 9049-2026")</f>
        <v/>
      </c>
      <c r="Y34">
        <f>HYPERLINK("https://klasma.github.io/Logging_1380/kartor_geotiff/A 9049-2026 georefererad karta.tif", "A 9049-2026")</f>
        <v/>
      </c>
      <c r="AA34">
        <f>HYPERLINK("https://klasma.github.io/Logging_1380/klagomål/A 9049-2026 FSC-klagomål.docx", "A 9049-2026")</f>
        <v/>
      </c>
      <c r="AB34">
        <f>HYPERLINK("https://klasma.github.io/Logging_1380/klagomålsmail/A 9049-2026 FSC-klagomål mail.docx", "A 9049-2026")</f>
        <v/>
      </c>
      <c r="AC34">
        <f>HYPERLINK("https://klasma.github.io/Logging_1380/tillsyn/A 9049-2026 tillsynsbegäran.docx", "A 9049-2026")</f>
        <v/>
      </c>
      <c r="AD34">
        <f>HYPERLINK("https://klasma.github.io/Logging_1380/tillsynsmail/A 9049-2026 tillsynsbegäran mail.docx", "A 9049-2026")</f>
        <v/>
      </c>
      <c r="AE34">
        <f>HYPERLINK("https://klasma.github.io/Logging_1380/fåglar/A 9049-2026 prioriterade fågelarter.docx", "A 9049-2026")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46316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46316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46316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46316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46316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46316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46316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46316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46316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46316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46316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27386-2025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45812</v>
      </c>
      <c r="E46" s="1" t="n">
        <v>46316</v>
      </c>
      <c r="F46" t="inlineStr">
        <is>
          <t>HALLANDS LÄN</t>
        </is>
      </c>
      <c r="G46" t="inlineStr">
        <is>
          <t>HALMSTAD</t>
        </is>
      </c>
      <c r="I46" t="n">
        <v>8.5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Kambräken</t>
        </is>
      </c>
      <c r="W46">
        <f>HYPERLINK("https://klasma.github.io/Logging_1380/artfynd/A 27386-2025 artfynd.xlsx", "A 27386-2025")</f>
        <v/>
      </c>
      <c r="X46">
        <f>HYPERLINK("https://klasma.github.io/Logging_1380/kartor/A 27386-2025 karta.png", "A 27386-2025")</f>
        <v/>
      </c>
      <c r="Y46">
        <f>HYPERLINK("https://klasma.github.io/Logging_1380/kartor_geotiff/A 27386-2025 georefererad karta.tif", "A 27386-2025")</f>
        <v/>
      </c>
      <c r="AA46">
        <f>HYPERLINK("https://klasma.github.io/Logging_1380/klagomål/A 27386-2025 FSC-klagomål.docx", "A 27386-2025")</f>
        <v/>
      </c>
      <c r="AB46">
        <f>HYPERLINK("https://klasma.github.io/Logging_1380/klagomålsmail/A 27386-2025 FSC-klagomål mail.docx", "A 27386-2025")</f>
        <v/>
      </c>
      <c r="AC46">
        <f>HYPERLINK("https://klasma.github.io/Logging_1380/tillsyn/A 27386-2025 tillsynsbegäran.docx", "A 27386-2025")</f>
        <v/>
      </c>
      <c r="AD46">
        <f>HYPERLINK("https://klasma.github.io/Logging_1380/tillsynsmail/A 27386-2025 tillsynsbegäran mail.docx", "A 27386-2025")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46316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46316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9816-2025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45715</v>
      </c>
      <c r="E49" s="1" t="n">
        <v>46316</v>
      </c>
      <c r="F49" t="inlineStr">
        <is>
          <t>HALLANDS LÄN</t>
        </is>
      </c>
      <c r="G49" t="inlineStr">
        <is>
          <t>HALMSTAD</t>
        </is>
      </c>
      <c r="H49" t="inlineStr">
        <is>
          <t>Övriga statliga verk och myndigheter</t>
        </is>
      </c>
      <c r="I49" t="n">
        <v>9.4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HYPERLINK("https://klasma.github.io/Logging_1380/artfynd/A 9816-2025 artfynd.xlsx", "A 9816-2025")</f>
        <v/>
      </c>
      <c r="X49">
        <f>HYPERLINK("https://klasma.github.io/Logging_1380/kartor/A 9816-2025 karta.png", "A 9816-2025")</f>
        <v/>
      </c>
      <c r="Y49">
        <f>HYPERLINK("https://klasma.github.io/Logging_1380/kartor_geotiff/A 9816-2025 georefererad karta.tif", "A 9816-2025")</f>
        <v/>
      </c>
      <c r="AA49">
        <f>HYPERLINK("https://klasma.github.io/Logging_1380/klagomål/A 9816-2025 FSC-klagomål.docx", "A 9816-2025")</f>
        <v/>
      </c>
      <c r="AB49">
        <f>HYPERLINK("https://klasma.github.io/Logging_1380/klagomålsmail/A 9816-2025 FSC-klagomål mail.docx", "A 9816-2025")</f>
        <v/>
      </c>
      <c r="AC49">
        <f>HYPERLINK("https://klasma.github.io/Logging_1380/tillsyn/A 9816-2025 tillsynsbegäran.docx", "A 9816-2025")</f>
        <v/>
      </c>
      <c r="AD49">
        <f>HYPERLINK("https://klasma.github.io/Logging_1380/tillsynsmail/A 9816-2025 tillsynsbegäran mail.docx", "A 9816-2025")</f>
        <v/>
      </c>
    </row>
    <row r="50" ht="15" customHeight="1">
      <c r="A50" t="inlineStr">
        <is>
          <t>A 6767-2026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46057</v>
      </c>
      <c r="E50" s="1" t="n">
        <v>46316</v>
      </c>
      <c r="F50" t="inlineStr">
        <is>
          <t>HALLANDS LÄN</t>
        </is>
      </c>
      <c r="G50" t="inlineStr">
        <is>
          <t>HALMSTAD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6767-2026 artfynd.xlsx", "A 6767-2026")</f>
        <v/>
      </c>
      <c r="X50">
        <f>HYPERLINK("https://klasma.github.io/Logging_1380/kartor/A 6767-2026 karta.png", "A 6767-2026")</f>
        <v/>
      </c>
      <c r="Y50">
        <f>HYPERLINK("https://klasma.github.io/Logging_1380/kartor_geotiff/A 6767-2026 georefererad karta.tif", "A 6767-2026")</f>
        <v/>
      </c>
      <c r="AA50">
        <f>HYPERLINK("https://klasma.github.io/Logging_1380/klagomål/A 6767-2026 FSC-klagomål.docx", "A 6767-2026")</f>
        <v/>
      </c>
      <c r="AB50">
        <f>HYPERLINK("https://klasma.github.io/Logging_1380/klagomålsmail/A 6767-2026 FSC-klagomål mail.docx", "A 6767-2026")</f>
        <v/>
      </c>
      <c r="AC50">
        <f>HYPERLINK("https://klasma.github.io/Logging_1380/tillsyn/A 6767-2026 tillsynsbegäran.docx", "A 6767-2026")</f>
        <v/>
      </c>
      <c r="AD50">
        <f>HYPERLINK("https://klasma.github.io/Logging_1380/tillsynsmail/A 6767-2026 tillsynsbegäran mail.docx", "A 6767-2026")</f>
        <v/>
      </c>
    </row>
    <row r="51" ht="15" customHeight="1">
      <c r="A51" t="inlineStr">
        <is>
          <t>A 2994-2024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46316</v>
      </c>
      <c r="F51" t="inlineStr">
        <is>
          <t>HALLANDS LÄN</t>
        </is>
      </c>
      <c r="G51" t="inlineStr">
        <is>
          <t>HALMSTAD</t>
        </is>
      </c>
      <c r="I51" t="n">
        <v>7.9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Grönvit nattviol</t>
        </is>
      </c>
      <c r="W51">
        <f>HYPERLINK("https://klasma.github.io/Logging_1380/artfynd/A 2994-2024 artfynd.xlsx", "A 2994-2024")</f>
        <v/>
      </c>
      <c r="X51">
        <f>HYPERLINK("https://klasma.github.io/Logging_1380/kartor/A 2994-2024 karta.png", "A 2994-2024")</f>
        <v/>
      </c>
      <c r="Y51">
        <f>HYPERLINK("https://klasma.github.io/Logging_1380/kartor_geotiff/A 2994-2024 georefererad karta.tif", "A 2994-2024")</f>
        <v/>
      </c>
      <c r="AA51">
        <f>HYPERLINK("https://klasma.github.io/Logging_1380/klagomål/A 2994-2024 FSC-klagomål.docx", "A 2994-2024")</f>
        <v/>
      </c>
      <c r="AB51">
        <f>HYPERLINK("https://klasma.github.io/Logging_1380/klagomålsmail/A 2994-2024 FSC-klagomål mail.docx", "A 2994-2024")</f>
        <v/>
      </c>
      <c r="AC51">
        <f>HYPERLINK("https://klasma.github.io/Logging_1380/tillsyn/A 2994-2024 tillsynsbegäran.docx", "A 2994-2024")</f>
        <v/>
      </c>
      <c r="AD51">
        <f>HYPERLINK("https://klasma.github.io/Logging_1380/tillsynsmail/A 2994-2024 tillsynsbegäran mail.docx", "A 2994-2024")</f>
        <v/>
      </c>
    </row>
    <row r="52" ht="15" customHeight="1">
      <c r="A52" t="inlineStr">
        <is>
          <t>A 15579-2026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46106</v>
      </c>
      <c r="E52" s="1" t="n">
        <v>46316</v>
      </c>
      <c r="F52" t="inlineStr">
        <is>
          <t>HALLANDS LÄN</t>
        </is>
      </c>
      <c r="G52" t="inlineStr">
        <is>
          <t>HALMSTAD</t>
        </is>
      </c>
      <c r="I52" t="n">
        <v>3.7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Åkerrättika</t>
        </is>
      </c>
      <c r="W52">
        <f>HYPERLINK("https://klasma.github.io/Logging_1380/artfynd/A 15579-2026 artfynd.xlsx", "A 15579-2026")</f>
        <v/>
      </c>
      <c r="X52">
        <f>HYPERLINK("https://klasma.github.io/Logging_1380/kartor/A 15579-2026 karta.png", "A 15579-2026")</f>
        <v/>
      </c>
      <c r="Y52">
        <f>HYPERLINK("https://klasma.github.io/Logging_1380/kartor_geotiff/A 15579-2026 georefererad karta.tif", "A 15579-2026")</f>
        <v/>
      </c>
      <c r="AA52">
        <f>HYPERLINK("https://klasma.github.io/Logging_1380/klagomål/A 15579-2026 FSC-klagomål.docx", "A 15579-2026")</f>
        <v/>
      </c>
      <c r="AB52">
        <f>HYPERLINK("https://klasma.github.io/Logging_1380/klagomålsmail/A 15579-2026 FSC-klagomål mail.docx", "A 15579-2026")</f>
        <v/>
      </c>
      <c r="AC52">
        <f>HYPERLINK("https://klasma.github.io/Logging_1380/tillsyn/A 15579-2026 tillsynsbegäran.docx", "A 15579-2026")</f>
        <v/>
      </c>
      <c r="AD52">
        <f>HYPERLINK("https://klasma.github.io/Logging_1380/tillsynsmail/A 15579-2026 tillsynsbegäran mail.docx", "A 15579-2026")</f>
        <v/>
      </c>
    </row>
    <row r="53" ht="15" customHeight="1">
      <c r="A53" t="inlineStr">
        <is>
          <t>A 32822-2025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45839</v>
      </c>
      <c r="E53" s="1" t="n">
        <v>46316</v>
      </c>
      <c r="F53" t="inlineStr">
        <is>
          <t>HALLANDS LÄN</t>
        </is>
      </c>
      <c r="G53" t="inlineStr">
        <is>
          <t>HALMSTAD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Hasselmus</t>
        </is>
      </c>
      <c r="W53">
        <f>HYPERLINK("https://klasma.github.io/Logging_1380/artfynd/A 32822-2025 artfynd.xlsx", "A 32822-2025")</f>
        <v/>
      </c>
      <c r="X53">
        <f>HYPERLINK("https://klasma.github.io/Logging_1380/kartor/A 32822-2025 karta.png", "A 32822-2025")</f>
        <v/>
      </c>
      <c r="Y53">
        <f>HYPERLINK("https://klasma.github.io/Logging_1380/kartor_geotiff/A 32822-2025 georefererad karta.tif", "A 32822-2025")</f>
        <v/>
      </c>
      <c r="AA53">
        <f>HYPERLINK("https://klasma.github.io/Logging_1380/klagomål/A 32822-2025 FSC-klagomål.docx", "A 32822-2025")</f>
        <v/>
      </c>
      <c r="AB53">
        <f>HYPERLINK("https://klasma.github.io/Logging_1380/klagomålsmail/A 32822-2025 FSC-klagomål mail.docx", "A 32822-2025")</f>
        <v/>
      </c>
      <c r="AC53">
        <f>HYPERLINK("https://klasma.github.io/Logging_1380/tillsyn/A 32822-2025 tillsynsbegäran.docx", "A 32822-2025")</f>
        <v/>
      </c>
      <c r="AD53">
        <f>HYPERLINK("https://klasma.github.io/Logging_1380/tillsynsmail/A 32822-2025 tillsynsbegäran mail.docx", "A 32822-2025")</f>
        <v/>
      </c>
    </row>
    <row r="54" ht="15" customHeight="1">
      <c r="A54" t="inlineStr">
        <is>
          <t>A 40659-2023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46316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40659-2023 artfynd.xlsx", "A 40659-2023")</f>
        <v/>
      </c>
      <c r="X54">
        <f>HYPERLINK("https://klasma.github.io/Logging_1380/kartor/A 40659-2023 karta.png", "A 40659-2023")</f>
        <v/>
      </c>
      <c r="Y54">
        <f>HYPERLINK("https://klasma.github.io/Logging_1380/kartor_geotiff/A 40659-2023 georefererad karta.tif", "A 40659-2023")</f>
        <v/>
      </c>
      <c r="AA54">
        <f>HYPERLINK("https://klasma.github.io/Logging_1380/klagomål/A 40659-2023 FSC-klagomål.docx", "A 40659-2023")</f>
        <v/>
      </c>
      <c r="AB54">
        <f>HYPERLINK("https://klasma.github.io/Logging_1380/klagomålsmail/A 40659-2023 FSC-klagomål mail.docx", "A 40659-2023")</f>
        <v/>
      </c>
      <c r="AC54">
        <f>HYPERLINK("https://klasma.github.io/Logging_1380/tillsyn/A 40659-2023 tillsynsbegäran.docx", "A 40659-2023")</f>
        <v/>
      </c>
      <c r="AD54">
        <f>HYPERLINK("https://klasma.github.io/Logging_1380/tillsynsmail/A 40659-2023 tillsynsbegäran mail.docx", "A 40659-2023")</f>
        <v/>
      </c>
    </row>
    <row r="55" ht="15" customHeight="1">
      <c r="A55" t="inlineStr">
        <is>
          <t>A 10063-2022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46316</v>
      </c>
      <c r="F55" t="inlineStr">
        <is>
          <t>HALLANDS LÄN</t>
        </is>
      </c>
      <c r="G55" t="inlineStr">
        <is>
          <t>HALMSTAD</t>
        </is>
      </c>
      <c r="I55" t="n">
        <v>3.7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Hasselmus</t>
        </is>
      </c>
      <c r="W55">
        <f>HYPERLINK("https://klasma.github.io/Logging_1380/artfynd/A 10063-2022 artfynd.xlsx", "A 10063-2022")</f>
        <v/>
      </c>
      <c r="X55">
        <f>HYPERLINK("https://klasma.github.io/Logging_1380/kartor/A 10063-2022 karta.png", "A 10063-2022")</f>
        <v/>
      </c>
      <c r="Y55">
        <f>HYPERLINK("https://klasma.github.io/Logging_1380/kartor_geotiff/A 10063-2022 georefererad karta.tif", "A 10063-2022")</f>
        <v/>
      </c>
      <c r="AA55">
        <f>HYPERLINK("https://klasma.github.io/Logging_1380/klagomål/A 10063-2022 FSC-klagomål.docx", "A 10063-2022")</f>
        <v/>
      </c>
      <c r="AB55">
        <f>HYPERLINK("https://klasma.github.io/Logging_1380/klagomålsmail/A 10063-2022 FSC-klagomål mail.docx", "A 10063-2022")</f>
        <v/>
      </c>
      <c r="AC55">
        <f>HYPERLINK("https://klasma.github.io/Logging_1380/tillsyn/A 10063-2022 tillsynsbegäran.docx", "A 10063-2022")</f>
        <v/>
      </c>
      <c r="AD55">
        <f>HYPERLINK("https://klasma.github.io/Logging_1380/tillsynsmail/A 10063-2022 tillsynsbegäran mail.docx", "A 10063-2022")</f>
        <v/>
      </c>
    </row>
    <row r="56" ht="15" customHeight="1">
      <c r="A56" t="inlineStr">
        <is>
          <t>A 5240-2025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45692</v>
      </c>
      <c r="E56" s="1" t="n">
        <v>46316</v>
      </c>
      <c r="F56" t="inlineStr">
        <is>
          <t>HALLANDS LÄN</t>
        </is>
      </c>
      <c r="G56" t="inlineStr">
        <is>
          <t>HALMSTAD</t>
        </is>
      </c>
      <c r="I56" t="n">
        <v>8.300000000000001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Mussellav</t>
        </is>
      </c>
      <c r="W56">
        <f>HYPERLINK("https://klasma.github.io/Logging_1380/artfynd/A 5240-2025 artfynd.xlsx", "A 5240-2025")</f>
        <v/>
      </c>
      <c r="X56">
        <f>HYPERLINK("https://klasma.github.io/Logging_1380/kartor/A 5240-2025 karta.png", "A 5240-2025")</f>
        <v/>
      </c>
      <c r="Y56">
        <f>HYPERLINK("https://klasma.github.io/Logging_1380/kartor_geotiff/A 5240-2025 georefererad karta.tif", "A 5240-2025")</f>
        <v/>
      </c>
      <c r="AA56">
        <f>HYPERLINK("https://klasma.github.io/Logging_1380/klagomål/A 5240-2025 FSC-klagomål.docx", "A 5240-2025")</f>
        <v/>
      </c>
      <c r="AB56">
        <f>HYPERLINK("https://klasma.github.io/Logging_1380/klagomålsmail/A 5240-2025 FSC-klagomål mail.docx", "A 5240-2025")</f>
        <v/>
      </c>
      <c r="AC56">
        <f>HYPERLINK("https://klasma.github.io/Logging_1380/tillsyn/A 5240-2025 tillsynsbegäran.docx", "A 5240-2025")</f>
        <v/>
      </c>
      <c r="AD56">
        <f>HYPERLINK("https://klasma.github.io/Logging_1380/tillsynsmail/A 5240-2025 tillsynsbegäran mail.docx", "A 5240-2025")</f>
        <v/>
      </c>
    </row>
    <row r="57" ht="15" customHeight="1">
      <c r="A57" t="inlineStr">
        <is>
          <t>A 20419-2022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44699</v>
      </c>
      <c r="E57" s="1" t="n">
        <v>46316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6.5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</t>
        </is>
      </c>
      <c r="W57">
        <f>HYPERLINK("https://klasma.github.io/Logging_1380/artfynd/A 20419-2022 artfynd.xlsx", "A 20419-2022")</f>
        <v/>
      </c>
      <c r="X57">
        <f>HYPERLINK("https://klasma.github.io/Logging_1380/kartor/A 20419-2022 karta.png", "A 20419-2022")</f>
        <v/>
      </c>
      <c r="Y57">
        <f>HYPERLINK("https://klasma.github.io/Logging_1380/kartor_geotiff/A 20419-2022 georefererad karta.tif", "A 20419-2022")</f>
        <v/>
      </c>
      <c r="AA57">
        <f>HYPERLINK("https://klasma.github.io/Logging_1380/klagomål/A 20419-2022 FSC-klagomål.docx", "A 20419-2022")</f>
        <v/>
      </c>
      <c r="AB57">
        <f>HYPERLINK("https://klasma.github.io/Logging_1380/klagomålsmail/A 20419-2022 FSC-klagomål mail.docx", "A 20419-2022")</f>
        <v/>
      </c>
      <c r="AC57">
        <f>HYPERLINK("https://klasma.github.io/Logging_1380/tillsyn/A 20419-2022 tillsynsbegäran.docx", "A 20419-2022")</f>
        <v/>
      </c>
      <c r="AD57">
        <f>HYPERLINK("https://klasma.github.io/Logging_1380/tillsynsmail/A 20419-2022 tillsynsbegäran mail.docx", "A 20419-2022")</f>
        <v/>
      </c>
    </row>
    <row r="58" ht="15" customHeight="1">
      <c r="A58" t="inlineStr">
        <is>
          <t>A 24383-2023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46316</v>
      </c>
      <c r="F58" t="inlineStr">
        <is>
          <t>HALLANDS LÄN</t>
        </is>
      </c>
      <c r="G58" t="inlineStr">
        <is>
          <t>HALMSTAD</t>
        </is>
      </c>
      <c r="I58" t="n">
        <v>3.2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24383-2023 artfynd.xlsx", "A 24383-2023")</f>
        <v/>
      </c>
      <c r="X58">
        <f>HYPERLINK("https://klasma.github.io/Logging_1380/kartor/A 24383-2023 karta.png", "A 24383-2023")</f>
        <v/>
      </c>
      <c r="Y58">
        <f>HYPERLINK("https://klasma.github.io/Logging_1380/kartor_geotiff/A 24383-2023 georefererad karta.tif", "A 24383-2023")</f>
        <v/>
      </c>
      <c r="AA58">
        <f>HYPERLINK("https://klasma.github.io/Logging_1380/klagomål/A 24383-2023 FSC-klagomål.docx", "A 24383-2023")</f>
        <v/>
      </c>
      <c r="AB58">
        <f>HYPERLINK("https://klasma.github.io/Logging_1380/klagomålsmail/A 24383-2023 FSC-klagomål mail.docx", "A 24383-2023")</f>
        <v/>
      </c>
      <c r="AC58">
        <f>HYPERLINK("https://klasma.github.io/Logging_1380/tillsyn/A 24383-2023 tillsynsbegäran.docx", "A 24383-2023")</f>
        <v/>
      </c>
      <c r="AD58">
        <f>HYPERLINK("https://klasma.github.io/Logging_1380/tillsynsmail/A 24383-2023 tillsynsbegäran mail.docx", "A 24383-2023")</f>
        <v/>
      </c>
    </row>
    <row r="59" ht="15" customHeight="1">
      <c r="A59" t="inlineStr">
        <is>
          <t>A 19588-2023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45050</v>
      </c>
      <c r="E59" s="1" t="n">
        <v>46316</v>
      </c>
      <c r="F59" t="inlineStr">
        <is>
          <t>HALLANDS LÄN</t>
        </is>
      </c>
      <c r="G59" t="inlineStr">
        <is>
          <t>HALMSTAD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Ljungögontröst</t>
        </is>
      </c>
      <c r="W59">
        <f>HYPERLINK("https://klasma.github.io/Logging_1380/artfynd/A 19588-2023 artfynd.xlsx", "A 19588-2023")</f>
        <v/>
      </c>
      <c r="X59">
        <f>HYPERLINK("https://klasma.github.io/Logging_1380/kartor/A 19588-2023 karta.png", "A 19588-2023")</f>
        <v/>
      </c>
      <c r="Y59">
        <f>HYPERLINK("https://klasma.github.io/Logging_1380/kartor_geotiff/A 19588-2023 georefererad karta.tif", "A 19588-2023")</f>
        <v/>
      </c>
      <c r="AA59">
        <f>HYPERLINK("https://klasma.github.io/Logging_1380/klagomål/A 19588-2023 FSC-klagomål.docx", "A 19588-2023")</f>
        <v/>
      </c>
      <c r="AB59">
        <f>HYPERLINK("https://klasma.github.io/Logging_1380/klagomålsmail/A 19588-2023 FSC-klagomål mail.docx", "A 19588-2023")</f>
        <v/>
      </c>
      <c r="AC59">
        <f>HYPERLINK("https://klasma.github.io/Logging_1380/tillsyn/A 19588-2023 tillsynsbegäran.docx", "A 19588-2023")</f>
        <v/>
      </c>
      <c r="AD59">
        <f>HYPERLINK("https://klasma.github.io/Logging_1380/tillsynsmail/A 19588-2023 tillsynsbegäran mail.docx", "A 19588-2023")</f>
        <v/>
      </c>
    </row>
    <row r="60" ht="15" customHeight="1">
      <c r="A60" t="inlineStr">
        <is>
          <t>A 16387-2023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45029</v>
      </c>
      <c r="E60" s="1" t="n">
        <v>46316</v>
      </c>
      <c r="F60" t="inlineStr">
        <is>
          <t>HALLANDS LÄN</t>
        </is>
      </c>
      <c r="G60" t="inlineStr">
        <is>
          <t>HALMSTAD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HYPERLINK("https://klasma.github.io/Logging_1380/artfynd/A 16387-2023 artfynd.xlsx", "A 16387-2023")</f>
        <v/>
      </c>
      <c r="X60">
        <f>HYPERLINK("https://klasma.github.io/Logging_1380/kartor/A 16387-2023 karta.png", "A 16387-2023")</f>
        <v/>
      </c>
      <c r="Y60">
        <f>HYPERLINK("https://klasma.github.io/Logging_1380/kartor_geotiff/A 16387-2023 georefererad karta.tif", "A 16387-2023")</f>
        <v/>
      </c>
      <c r="AA60">
        <f>HYPERLINK("https://klasma.github.io/Logging_1380/klagomål/A 16387-2023 FSC-klagomål.docx", "A 16387-2023")</f>
        <v/>
      </c>
      <c r="AB60">
        <f>HYPERLINK("https://klasma.github.io/Logging_1380/klagomålsmail/A 16387-2023 FSC-klagomål mail.docx", "A 16387-2023")</f>
        <v/>
      </c>
      <c r="AC60">
        <f>HYPERLINK("https://klasma.github.io/Logging_1380/tillsyn/A 16387-2023 tillsynsbegäran.docx", "A 16387-2023")</f>
        <v/>
      </c>
      <c r="AD60">
        <f>HYPERLINK("https://klasma.github.io/Logging_1380/tillsynsmail/A 16387-2023 tillsynsbegäran mail.docx", "A 16387-2023")</f>
        <v/>
      </c>
      <c r="AE60">
        <f>HYPERLINK("https://klasma.github.io/Logging_1380/fåglar/A 16387-2023 prioriterade fågelarter.docx", "A 16387-2023")</f>
        <v/>
      </c>
    </row>
    <row r="61" ht="15" customHeight="1">
      <c r="A61" t="inlineStr">
        <is>
          <t>A 37139-2025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45874</v>
      </c>
      <c r="E61" s="1" t="n">
        <v>46316</v>
      </c>
      <c r="F61" t="inlineStr">
        <is>
          <t>HALLANDS LÄN</t>
        </is>
      </c>
      <c r="G61" t="inlineStr">
        <is>
          <t>HALMSTAD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Kornknutmossa</t>
        </is>
      </c>
      <c r="W61">
        <f>HYPERLINK("https://klasma.github.io/Logging_1380/artfynd/A 37139-2025 artfynd.xlsx", "A 37139-2025")</f>
        <v/>
      </c>
      <c r="X61">
        <f>HYPERLINK("https://klasma.github.io/Logging_1380/kartor/A 37139-2025 karta.png", "A 37139-2025")</f>
        <v/>
      </c>
      <c r="Y61">
        <f>HYPERLINK("https://klasma.github.io/Logging_1380/kartor_geotiff/A 37139-2025 georefererad karta.tif", "A 37139-2025")</f>
        <v/>
      </c>
      <c r="AA61">
        <f>HYPERLINK("https://klasma.github.io/Logging_1380/klagomål/A 37139-2025 FSC-klagomål.docx", "A 37139-2025")</f>
        <v/>
      </c>
      <c r="AB61">
        <f>HYPERLINK("https://klasma.github.io/Logging_1380/klagomålsmail/A 37139-2025 FSC-klagomål mail.docx", "A 37139-2025")</f>
        <v/>
      </c>
      <c r="AC61">
        <f>HYPERLINK("https://klasma.github.io/Logging_1380/tillsyn/A 37139-2025 tillsynsbegäran.docx", "A 37139-2025")</f>
        <v/>
      </c>
      <c r="AD61">
        <f>HYPERLINK("https://klasma.github.io/Logging_1380/tillsynsmail/A 37139-2025 tillsynsbegäran mail.docx", "A 37139-2025")</f>
        <v/>
      </c>
    </row>
    <row r="62" ht="15" customHeight="1">
      <c r="A62" t="inlineStr">
        <is>
          <t>A 38318-2025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45883</v>
      </c>
      <c r="E62" s="1" t="n">
        <v>46316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Kungsfågel</t>
        </is>
      </c>
      <c r="W62">
        <f>HYPERLINK("https://klasma.github.io/Logging_1380/artfynd/A 38318-2025 artfynd.xlsx", "A 38318-2025")</f>
        <v/>
      </c>
      <c r="X62">
        <f>HYPERLINK("https://klasma.github.io/Logging_1380/kartor/A 38318-2025 karta.png", "A 38318-2025")</f>
        <v/>
      </c>
      <c r="Y62">
        <f>HYPERLINK("https://klasma.github.io/Logging_1380/kartor_geotiff/A 38318-2025 georefererad karta.tif", "A 38318-2025")</f>
        <v/>
      </c>
      <c r="AA62">
        <f>HYPERLINK("https://klasma.github.io/Logging_1380/klagomål/A 38318-2025 FSC-klagomål.docx", "A 38318-2025")</f>
        <v/>
      </c>
      <c r="AB62">
        <f>HYPERLINK("https://klasma.github.io/Logging_1380/klagomålsmail/A 38318-2025 FSC-klagomål mail.docx", "A 38318-2025")</f>
        <v/>
      </c>
      <c r="AC62">
        <f>HYPERLINK("https://klasma.github.io/Logging_1380/tillsyn/A 38318-2025 tillsynsbegäran.docx", "A 38318-2025")</f>
        <v/>
      </c>
      <c r="AD62">
        <f>HYPERLINK("https://klasma.github.io/Logging_1380/tillsynsmail/A 38318-2025 tillsynsbegäran mail.docx", "A 38318-2025")</f>
        <v/>
      </c>
    </row>
    <row r="63" ht="15" customHeight="1">
      <c r="A63" t="inlineStr">
        <is>
          <t>A 21626-2026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46316</v>
      </c>
      <c r="F63" t="inlineStr">
        <is>
          <t>HALLANDS LÄN</t>
        </is>
      </c>
      <c r="G63" t="inlineStr">
        <is>
          <t>HALMSTAD</t>
        </is>
      </c>
      <c r="I63" t="n">
        <v>9.6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Hårginst</t>
        </is>
      </c>
      <c r="W63">
        <f>HYPERLINK("https://klasma.github.io/Logging_1380/artfynd/A 21626-2026 artfynd.xlsx", "A 21626-2026")</f>
        <v/>
      </c>
      <c r="X63">
        <f>HYPERLINK("https://klasma.github.io/Logging_1380/kartor/A 21626-2026 karta.png", "A 21626-2026")</f>
        <v/>
      </c>
      <c r="Y63">
        <f>HYPERLINK("https://klasma.github.io/Logging_1380/kartor_geotiff/A 21626-2026 georefererad karta.tif", "A 21626-2026")</f>
        <v/>
      </c>
      <c r="AA63">
        <f>HYPERLINK("https://klasma.github.io/Logging_1380/klagomål/A 21626-2026 FSC-klagomål.docx", "A 21626-2026")</f>
        <v/>
      </c>
      <c r="AB63">
        <f>HYPERLINK("https://klasma.github.io/Logging_1380/klagomålsmail/A 21626-2026 FSC-klagomål mail.docx", "A 21626-2026")</f>
        <v/>
      </c>
      <c r="AC63">
        <f>HYPERLINK("https://klasma.github.io/Logging_1380/tillsyn/A 21626-2026 tillsynsbegäran.docx", "A 21626-2026")</f>
        <v/>
      </c>
      <c r="AD63">
        <f>HYPERLINK("https://klasma.github.io/Logging_1380/tillsynsmail/A 21626-2026 tillsynsbegäran mail.docx", "A 21626-2026")</f>
        <v/>
      </c>
    </row>
    <row r="64" ht="15" customHeight="1">
      <c r="A64" t="inlineStr">
        <is>
          <t>A 9045-2026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46069</v>
      </c>
      <c r="E64" s="1" t="n">
        <v>46316</v>
      </c>
      <c r="F64" t="inlineStr">
        <is>
          <t>HALLANDS LÄN</t>
        </is>
      </c>
      <c r="G64" t="inlineStr">
        <is>
          <t>HALMSTAD</t>
        </is>
      </c>
      <c r="I64" t="n">
        <v>3.8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HYPERLINK("https://klasma.github.io/Logging_1380/artfynd/A 9045-2026 artfynd.xlsx", "A 9045-2026")</f>
        <v/>
      </c>
      <c r="X64">
        <f>HYPERLINK("https://klasma.github.io/Logging_1380/kartor/A 9045-2026 karta.png", "A 9045-2026")</f>
        <v/>
      </c>
      <c r="Y64">
        <f>HYPERLINK("https://klasma.github.io/Logging_1380/kartor_geotiff/A 9045-2026 georefererad karta.tif", "A 9045-2026")</f>
        <v/>
      </c>
      <c r="AA64">
        <f>HYPERLINK("https://klasma.github.io/Logging_1380/klagomål/A 9045-2026 FSC-klagomål.docx", "A 9045-2026")</f>
        <v/>
      </c>
      <c r="AB64">
        <f>HYPERLINK("https://klasma.github.io/Logging_1380/klagomålsmail/A 9045-2026 FSC-klagomål mail.docx", "A 9045-2026")</f>
        <v/>
      </c>
      <c r="AC64">
        <f>HYPERLINK("https://klasma.github.io/Logging_1380/tillsyn/A 9045-2026 tillsynsbegäran.docx", "A 9045-2026")</f>
        <v/>
      </c>
      <c r="AD64">
        <f>HYPERLINK("https://klasma.github.io/Logging_1380/tillsynsmail/A 9045-2026 tillsynsbegäran mail.docx", "A 9045-2026")</f>
        <v/>
      </c>
    </row>
    <row r="65" ht="15" customHeight="1">
      <c r="A65" t="inlineStr">
        <is>
          <t>A 23305-2026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46162</v>
      </c>
      <c r="E65" s="1" t="n">
        <v>46316</v>
      </c>
      <c r="F65" t="inlineStr">
        <is>
          <t>HALLANDS LÄN</t>
        </is>
      </c>
      <c r="G65" t="inlineStr">
        <is>
          <t>HALMSTAD</t>
        </is>
      </c>
      <c r="I65" t="n">
        <v>1.6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23305-2026 artfynd.xlsx", "A 23305-2026")</f>
        <v/>
      </c>
      <c r="X65">
        <f>HYPERLINK("https://klasma.github.io/Logging_1380/kartor/A 23305-2026 karta.png", "A 23305-2026")</f>
        <v/>
      </c>
      <c r="Y65">
        <f>HYPERLINK("https://klasma.github.io/Logging_1380/kartor_geotiff/A 23305-2026 georefererad karta.tif", "A 23305-2026")</f>
        <v/>
      </c>
      <c r="AA65">
        <f>HYPERLINK("https://klasma.github.io/Logging_1380/klagomål/A 23305-2026 FSC-klagomål.docx", "A 23305-2026")</f>
        <v/>
      </c>
      <c r="AB65">
        <f>HYPERLINK("https://klasma.github.io/Logging_1380/klagomålsmail/A 23305-2026 FSC-klagomål mail.docx", "A 23305-2026")</f>
        <v/>
      </c>
      <c r="AC65">
        <f>HYPERLINK("https://klasma.github.io/Logging_1380/tillsyn/A 23305-2026 tillsynsbegäran.docx", "A 23305-2026")</f>
        <v/>
      </c>
      <c r="AD65">
        <f>HYPERLINK("https://klasma.github.io/Logging_1380/tillsynsmail/A 23305-2026 tillsynsbegäran mail.docx", "A 23305-2026")</f>
        <v/>
      </c>
    </row>
    <row r="66" ht="15" customHeight="1">
      <c r="A66" t="inlineStr">
        <is>
          <t>A 5530-2025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45692</v>
      </c>
      <c r="E66" s="1" t="n">
        <v>46316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1</v>
      </c>
      <c r="V66" s="2" t="inlineStr">
        <is>
          <t>Igelkott</t>
        </is>
      </c>
      <c r="W66">
        <f>HYPERLINK("https://klasma.github.io/Logging_1380/artfynd/A 5530-2025 artfynd.xlsx", "A 5530-2025")</f>
        <v/>
      </c>
      <c r="X66">
        <f>HYPERLINK("https://klasma.github.io/Logging_1380/kartor/A 5530-2025 karta.png", "A 5530-2025")</f>
        <v/>
      </c>
      <c r="Y66">
        <f>HYPERLINK("https://klasma.github.io/Logging_1380/kartor_geotiff/A 5530-2025 georefererad karta.tif", "A 5530-2025")</f>
        <v/>
      </c>
      <c r="AA66">
        <f>HYPERLINK("https://klasma.github.io/Logging_1380/klagomål/A 5530-2025 FSC-klagomål.docx", "A 5530-2025")</f>
        <v/>
      </c>
      <c r="AB66">
        <f>HYPERLINK("https://klasma.github.io/Logging_1380/klagomålsmail/A 5530-2025 FSC-klagomål mail.docx", "A 5530-2025")</f>
        <v/>
      </c>
      <c r="AC66">
        <f>HYPERLINK("https://klasma.github.io/Logging_1380/tillsyn/A 5530-2025 tillsynsbegäran.docx", "A 5530-2025")</f>
        <v/>
      </c>
      <c r="AD66">
        <f>HYPERLINK("https://klasma.github.io/Logging_1380/tillsynsmail/A 5530-2025 tillsynsbegäran mail.docx", "A 5530-2025")</f>
        <v/>
      </c>
    </row>
    <row r="67" ht="15" customHeight="1">
      <c r="A67" t="inlineStr">
        <is>
          <t>A 17266-2023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45035</v>
      </c>
      <c r="E67" s="1" t="n">
        <v>46316</v>
      </c>
      <c r="F67" t="inlineStr">
        <is>
          <t>HALLANDS LÄN</t>
        </is>
      </c>
      <c r="G67" t="inlineStr">
        <is>
          <t>HALMSTAD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Tibast</t>
        </is>
      </c>
      <c r="W67">
        <f>HYPERLINK("https://klasma.github.io/Logging_1380/artfynd/A 17266-2023 artfynd.xlsx", "A 17266-2023")</f>
        <v/>
      </c>
      <c r="X67">
        <f>HYPERLINK("https://klasma.github.io/Logging_1380/kartor/A 17266-2023 karta.png", "A 17266-2023")</f>
        <v/>
      </c>
      <c r="Y67">
        <f>HYPERLINK("https://klasma.github.io/Logging_1380/kartor_geotiff/A 17266-2023 georefererad karta.tif", "A 17266-2023")</f>
        <v/>
      </c>
      <c r="AA67">
        <f>HYPERLINK("https://klasma.github.io/Logging_1380/klagomål/A 17266-2023 FSC-klagomål.docx", "A 17266-2023")</f>
        <v/>
      </c>
      <c r="AB67">
        <f>HYPERLINK("https://klasma.github.io/Logging_1380/klagomålsmail/A 17266-2023 FSC-klagomål mail.docx", "A 17266-2023")</f>
        <v/>
      </c>
      <c r="AC67">
        <f>HYPERLINK("https://klasma.github.io/Logging_1380/tillsyn/A 17266-2023 tillsynsbegäran.docx", "A 17266-2023")</f>
        <v/>
      </c>
      <c r="AD67">
        <f>HYPERLINK("https://klasma.github.io/Logging_1380/tillsynsmail/A 17266-2023 tillsynsbegäran mail.docx", "A 17266-2023")</f>
        <v/>
      </c>
    </row>
    <row r="68" ht="15" customHeight="1">
      <c r="A68" t="inlineStr">
        <is>
          <t>A 22842-2022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46316</v>
      </c>
      <c r="F68" t="inlineStr">
        <is>
          <t>HALLANDS LÄN</t>
        </is>
      </c>
      <c r="G68" t="inlineStr">
        <is>
          <t>HALMSTAD</t>
        </is>
      </c>
      <c r="I68" t="n">
        <v>6.1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4</v>
      </c>
      <c r="U68" t="n">
        <v>4</v>
      </c>
      <c r="V68" s="2" t="inlineStr">
        <is>
          <t>Spillkråka</t>
        </is>
      </c>
      <c r="W68">
        <f>HYPERLINK("https://klasma.github.io/Logging_1380/artfynd/A 22842-2022 artfynd.xlsx", "A 22842-2022")</f>
        <v/>
      </c>
      <c r="X68">
        <f>HYPERLINK("https://klasma.github.io/Logging_1380/kartor/A 22842-2022 karta.png", "A 22842-2022")</f>
        <v/>
      </c>
      <c r="Y68">
        <f>HYPERLINK("https://klasma.github.io/Logging_1380/kartor_geotiff/A 22842-2022 georefererad karta.tif", "A 22842-2022")</f>
        <v/>
      </c>
      <c r="AA68">
        <f>HYPERLINK("https://klasma.github.io/Logging_1380/klagomål/A 22842-2022 FSC-klagomål.docx", "A 22842-2022")</f>
        <v/>
      </c>
      <c r="AB68">
        <f>HYPERLINK("https://klasma.github.io/Logging_1380/klagomålsmail/A 22842-2022 FSC-klagomål mail.docx", "A 22842-2022")</f>
        <v/>
      </c>
      <c r="AC68">
        <f>HYPERLINK("https://klasma.github.io/Logging_1380/tillsyn/A 22842-2022 tillsynsbegäran.docx", "A 22842-2022")</f>
        <v/>
      </c>
      <c r="AD68">
        <f>HYPERLINK("https://klasma.github.io/Logging_1380/tillsynsmail/A 22842-2022 tillsynsbegäran mail.docx", "A 22842-2022")</f>
        <v/>
      </c>
      <c r="AE68">
        <f>HYPERLINK("https://klasma.github.io/Logging_1380/fåglar/A 22842-2022 prioriterade fågelarter.docx", "A 22842-2022")</f>
        <v/>
      </c>
    </row>
    <row r="69" ht="15" customHeight="1">
      <c r="A69" t="inlineStr">
        <is>
          <t>A 25382-2026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46176</v>
      </c>
      <c r="E69" s="1" t="n">
        <v>46316</v>
      </c>
      <c r="F69" t="inlineStr">
        <is>
          <t>HALLANDS LÄN</t>
        </is>
      </c>
      <c r="G69" t="inlineStr">
        <is>
          <t>HALMSTAD</t>
        </is>
      </c>
      <c r="I69" t="n">
        <v>10.9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HYPERLINK("https://klasma.github.io/Logging_1380/artfynd/A 25382-2026 artfynd.xlsx", "A 25382-2026")</f>
        <v/>
      </c>
      <c r="X69">
        <f>HYPERLINK("https://klasma.github.io/Logging_1380/kartor/A 25382-2026 karta.png", "A 25382-2026")</f>
        <v/>
      </c>
      <c r="Y69">
        <f>HYPERLINK("https://klasma.github.io/Logging_1380/kartor_geotiff/A 25382-2026 georefererad karta.tif", "A 25382-2026")</f>
        <v/>
      </c>
      <c r="AA69">
        <f>HYPERLINK("https://klasma.github.io/Logging_1380/klagomål/A 25382-2026 FSC-klagomål.docx", "A 25382-2026")</f>
        <v/>
      </c>
      <c r="AB69">
        <f>HYPERLINK("https://klasma.github.io/Logging_1380/klagomålsmail/A 25382-2026 FSC-klagomål mail.docx", "A 25382-2026")</f>
        <v/>
      </c>
      <c r="AC69">
        <f>HYPERLINK("https://klasma.github.io/Logging_1380/tillsyn/A 25382-2026 tillsynsbegäran.docx", "A 25382-2026")</f>
        <v/>
      </c>
      <c r="AD69">
        <f>HYPERLINK("https://klasma.github.io/Logging_1380/tillsynsmail/A 25382-2026 tillsynsbegäran mail.docx", "A 25382-2026")</f>
        <v/>
      </c>
    </row>
    <row r="70" ht="15" customHeight="1">
      <c r="A70" t="inlineStr">
        <is>
          <t>A 25887-2026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46178</v>
      </c>
      <c r="E70" s="1" t="n">
        <v>46316</v>
      </c>
      <c r="F70" t="inlineStr">
        <is>
          <t>HALLANDS LÄN</t>
        </is>
      </c>
      <c r="G70" t="inlineStr">
        <is>
          <t>HALMSTAD</t>
        </is>
      </c>
      <c r="I70" t="n">
        <v>14.9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Vanlig snok</t>
        </is>
      </c>
      <c r="W70">
        <f>HYPERLINK("https://klasma.github.io/Logging_1380/artfynd/A 25887-2026 artfynd.xlsx", "A 25887-2026")</f>
        <v/>
      </c>
      <c r="X70">
        <f>HYPERLINK("https://klasma.github.io/Logging_1380/kartor/A 25887-2026 karta.png", "A 25887-2026")</f>
        <v/>
      </c>
      <c r="Y70">
        <f>HYPERLINK("https://klasma.github.io/Logging_1380/kartor_geotiff/A 25887-2026 georefererad karta.tif", "A 25887-2026")</f>
        <v/>
      </c>
      <c r="AA70">
        <f>HYPERLINK("https://klasma.github.io/Logging_1380/klagomål/A 25887-2026 FSC-klagomål.docx", "A 25887-2026")</f>
        <v/>
      </c>
      <c r="AB70">
        <f>HYPERLINK("https://klasma.github.io/Logging_1380/klagomålsmail/A 25887-2026 FSC-klagomål mail.docx", "A 25887-2026")</f>
        <v/>
      </c>
      <c r="AC70">
        <f>HYPERLINK("https://klasma.github.io/Logging_1380/tillsyn/A 25887-2026 tillsynsbegäran.docx", "A 25887-2026")</f>
        <v/>
      </c>
      <c r="AD70">
        <f>HYPERLINK("https://klasma.github.io/Logging_1380/tillsynsmail/A 25887-2026 tillsynsbegäran mail.docx", "A 25887-2026")</f>
        <v/>
      </c>
    </row>
    <row r="71" ht="15" customHeight="1">
      <c r="A71" t="inlineStr">
        <is>
          <t>A 46505-2025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45925</v>
      </c>
      <c r="E71" s="1" t="n">
        <v>46316</v>
      </c>
      <c r="F71" t="inlineStr">
        <is>
          <t>HALLANDS LÄN</t>
        </is>
      </c>
      <c r="G71" t="inlineStr">
        <is>
          <t>HALMSTAD</t>
        </is>
      </c>
      <c r="I71" t="n">
        <v>9.1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46505-2025 artfynd.xlsx", "A 46505-2025")</f>
        <v/>
      </c>
      <c r="X71">
        <f>HYPERLINK("https://klasma.github.io/Logging_1380/kartor/A 46505-2025 karta.png", "A 46505-2025")</f>
        <v/>
      </c>
      <c r="Y71">
        <f>HYPERLINK("https://klasma.github.io/Logging_1380/kartor_geotiff/A 46505-2025 georefererad karta.tif", "A 46505-2025")</f>
        <v/>
      </c>
      <c r="AA71">
        <f>HYPERLINK("https://klasma.github.io/Logging_1380/klagomål/A 46505-2025 FSC-klagomål.docx", "A 46505-2025")</f>
        <v/>
      </c>
      <c r="AB71">
        <f>HYPERLINK("https://klasma.github.io/Logging_1380/klagomålsmail/A 46505-2025 FSC-klagomål mail.docx", "A 46505-2025")</f>
        <v/>
      </c>
      <c r="AC71">
        <f>HYPERLINK("https://klasma.github.io/Logging_1380/tillsyn/A 46505-2025 tillsynsbegäran.docx", "A 46505-2025")</f>
        <v/>
      </c>
      <c r="AD71">
        <f>HYPERLINK("https://klasma.github.io/Logging_1380/tillsynsmail/A 46505-2025 tillsynsbegäran mail.docx", "A 46505-2025")</f>
        <v/>
      </c>
    </row>
    <row r="72" ht="15" customHeight="1">
      <c r="A72" t="inlineStr">
        <is>
          <t>A 26330-2026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46182</v>
      </c>
      <c r="E72" s="1" t="n">
        <v>46316</v>
      </c>
      <c r="F72" t="inlineStr">
        <is>
          <t>HALLANDS LÄN</t>
        </is>
      </c>
      <c r="G72" t="inlineStr">
        <is>
          <t>HALMSTAD</t>
        </is>
      </c>
      <c r="I72" t="n">
        <v>9.1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Revlummer</t>
        </is>
      </c>
      <c r="W72">
        <f>HYPERLINK("https://klasma.github.io/Logging_1380/artfynd/A 26330-2026 artfynd.xlsx", "A 26330-2026")</f>
        <v/>
      </c>
      <c r="X72">
        <f>HYPERLINK("https://klasma.github.io/Logging_1380/kartor/A 26330-2026 karta.png", "A 26330-2026")</f>
        <v/>
      </c>
      <c r="Y72">
        <f>HYPERLINK("https://klasma.github.io/Logging_1380/kartor_geotiff/A 26330-2026 georefererad karta.tif", "A 26330-2026")</f>
        <v/>
      </c>
      <c r="AA72">
        <f>HYPERLINK("https://klasma.github.io/Logging_1380/klagomål/A 26330-2026 FSC-klagomål.docx", "A 26330-2026")</f>
        <v/>
      </c>
      <c r="AB72">
        <f>HYPERLINK("https://klasma.github.io/Logging_1380/klagomålsmail/A 26330-2026 FSC-klagomål mail.docx", "A 26330-2026")</f>
        <v/>
      </c>
      <c r="AC72">
        <f>HYPERLINK("https://klasma.github.io/Logging_1380/tillsyn/A 26330-2026 tillsynsbegäran.docx", "A 26330-2026")</f>
        <v/>
      </c>
      <c r="AD72">
        <f>HYPERLINK("https://klasma.github.io/Logging_1380/tillsynsmail/A 26330-2026 tillsynsbegäran mail.docx", "A 26330-2026")</f>
        <v/>
      </c>
    </row>
    <row r="73" ht="15" customHeight="1">
      <c r="A73" t="inlineStr">
        <is>
          <t>A 21483-2024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45441</v>
      </c>
      <c r="E73" s="1" t="n">
        <v>46316</v>
      </c>
      <c r="F73" t="inlineStr">
        <is>
          <t>HALLANDS LÄN</t>
        </is>
      </c>
      <c r="G73" t="inlineStr">
        <is>
          <t>HALMSTAD</t>
        </is>
      </c>
      <c r="I73" t="n">
        <v>0.8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21483-2024 artfynd.xlsx", "A 21483-2024")</f>
        <v/>
      </c>
      <c r="X73">
        <f>HYPERLINK("https://klasma.github.io/Logging_1380/kartor/A 21483-2024 karta.png", "A 21483-2024")</f>
        <v/>
      </c>
      <c r="Y73">
        <f>HYPERLINK("https://klasma.github.io/Logging_1380/kartor_geotiff/A 21483-2024 georefererad karta.tif", "A 21483-2024")</f>
        <v/>
      </c>
      <c r="AA73">
        <f>HYPERLINK("https://klasma.github.io/Logging_1380/klagomål/A 21483-2024 FSC-klagomål.docx", "A 21483-2024")</f>
        <v/>
      </c>
      <c r="AB73">
        <f>HYPERLINK("https://klasma.github.io/Logging_1380/klagomålsmail/A 21483-2024 FSC-klagomål mail.docx", "A 21483-2024")</f>
        <v/>
      </c>
      <c r="AC73">
        <f>HYPERLINK("https://klasma.github.io/Logging_1380/tillsyn/A 21483-2024 tillsynsbegäran.docx", "A 21483-2024")</f>
        <v/>
      </c>
      <c r="AD73">
        <f>HYPERLINK("https://klasma.github.io/Logging_1380/tillsynsmail/A 21483-2024 tillsynsbegäran mail.docx", "A 21483-2024")</f>
        <v/>
      </c>
    </row>
    <row r="74" ht="15" customHeight="1">
      <c r="A74" t="inlineStr">
        <is>
          <t>A 36808-2023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45154</v>
      </c>
      <c r="E74" s="1" t="n">
        <v>46316</v>
      </c>
      <c r="F74" t="inlineStr">
        <is>
          <t>HALLANDS LÄN</t>
        </is>
      </c>
      <c r="G74" t="inlineStr">
        <is>
          <t>HALMSTAD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Ljungögontröst</t>
        </is>
      </c>
      <c r="W74">
        <f>HYPERLINK("https://klasma.github.io/Logging_1380/artfynd/A 36808-2023 artfynd.xlsx", "A 36808-2023")</f>
        <v/>
      </c>
      <c r="X74">
        <f>HYPERLINK("https://klasma.github.io/Logging_1380/kartor/A 36808-2023 karta.png", "A 36808-2023")</f>
        <v/>
      </c>
      <c r="Y74">
        <f>HYPERLINK("https://klasma.github.io/Logging_1380/kartor_geotiff/A 36808-2023 georefererad karta.tif", "A 36808-2023")</f>
        <v/>
      </c>
      <c r="AA74">
        <f>HYPERLINK("https://klasma.github.io/Logging_1380/klagomål/A 36808-2023 FSC-klagomål.docx", "A 36808-2023")</f>
        <v/>
      </c>
      <c r="AB74">
        <f>HYPERLINK("https://klasma.github.io/Logging_1380/klagomålsmail/A 36808-2023 FSC-klagomål mail.docx", "A 36808-2023")</f>
        <v/>
      </c>
      <c r="AC74">
        <f>HYPERLINK("https://klasma.github.io/Logging_1380/tillsyn/A 36808-2023 tillsynsbegäran.docx", "A 36808-2023")</f>
        <v/>
      </c>
      <c r="AD74">
        <f>HYPERLINK("https://klasma.github.io/Logging_1380/tillsynsmail/A 36808-2023 tillsynsbegäran mail.docx", "A 36808-2023")</f>
        <v/>
      </c>
    </row>
    <row r="75" ht="15" customHeight="1">
      <c r="A75" t="inlineStr">
        <is>
          <t>A 6775-2026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46057</v>
      </c>
      <c r="E75" s="1" t="n">
        <v>46316</v>
      </c>
      <c r="F75" t="inlineStr">
        <is>
          <t>HALLANDS LÄN</t>
        </is>
      </c>
      <c r="G75" t="inlineStr">
        <is>
          <t>HALMSTAD</t>
        </is>
      </c>
      <c r="I75" t="n">
        <v>8.199999999999999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Barbastell</t>
        </is>
      </c>
      <c r="W75">
        <f>HYPERLINK("https://klasma.github.io/Logging_1380/artfynd/A 6775-2026 artfynd.xlsx", "A 6775-2026")</f>
        <v/>
      </c>
      <c r="X75">
        <f>HYPERLINK("https://klasma.github.io/Logging_1380/kartor/A 6775-2026 karta.png", "A 6775-2026")</f>
        <v/>
      </c>
      <c r="Y75">
        <f>HYPERLINK("https://klasma.github.io/Logging_1380/kartor_geotiff/A 6775-2026 georefererad karta.tif", "A 6775-2026")</f>
        <v/>
      </c>
      <c r="AA75">
        <f>HYPERLINK("https://klasma.github.io/Logging_1380/klagomål/A 6775-2026 FSC-klagomål.docx", "A 6775-2026")</f>
        <v/>
      </c>
      <c r="AB75">
        <f>HYPERLINK("https://klasma.github.io/Logging_1380/klagomålsmail/A 6775-2026 FSC-klagomål mail.docx", "A 6775-2026")</f>
        <v/>
      </c>
      <c r="AC75">
        <f>HYPERLINK("https://klasma.github.io/Logging_1380/tillsyn/A 6775-2026 tillsynsbegäran.docx", "A 6775-2026")</f>
        <v/>
      </c>
      <c r="AD75">
        <f>HYPERLINK("https://klasma.github.io/Logging_1380/tillsynsmail/A 6775-2026 tillsynsbegäran mail.docx", "A 6775-2026")</f>
        <v/>
      </c>
    </row>
    <row r="76" ht="15" customHeight="1">
      <c r="A76" t="inlineStr">
        <is>
          <t>A 6987-2026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46316</v>
      </c>
      <c r="F76" t="inlineStr">
        <is>
          <t>HALLANDS LÄN</t>
        </is>
      </c>
      <c r="G76" t="inlineStr">
        <is>
          <t>HALMSTAD</t>
        </is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Dvärgpipistrell</t>
        </is>
      </c>
      <c r="W76">
        <f>HYPERLINK("https://klasma.github.io/Logging_1380/artfynd/A 6987-2026 artfynd.xlsx", "A 6987-2026")</f>
        <v/>
      </c>
      <c r="X76">
        <f>HYPERLINK("https://klasma.github.io/Logging_1380/kartor/A 6987-2026 karta.png", "A 6987-2026")</f>
        <v/>
      </c>
      <c r="Y76">
        <f>HYPERLINK("https://klasma.github.io/Logging_1380/kartor_geotiff/A 6987-2026 georefererad karta.tif", "A 6987-2026")</f>
        <v/>
      </c>
      <c r="AA76">
        <f>HYPERLINK("https://klasma.github.io/Logging_1380/klagomål/A 6987-2026 FSC-klagomål.docx", "A 6987-2026")</f>
        <v/>
      </c>
      <c r="AB76">
        <f>HYPERLINK("https://klasma.github.io/Logging_1380/klagomålsmail/A 6987-2026 FSC-klagomål mail.docx", "A 6987-2026")</f>
        <v/>
      </c>
      <c r="AC76">
        <f>HYPERLINK("https://klasma.github.io/Logging_1380/tillsyn/A 6987-2026 tillsynsbegäran.docx", "A 6987-2026")</f>
        <v/>
      </c>
      <c r="AD76">
        <f>HYPERLINK("https://klasma.github.io/Logging_1380/tillsynsmail/A 6987-2026 tillsynsbegäran mail.docx", "A 6987-2026")</f>
        <v/>
      </c>
    </row>
    <row r="77" ht="15" customHeight="1">
      <c r="A77" t="inlineStr">
        <is>
          <t>A 53797-2024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46316</v>
      </c>
      <c r="F77" t="inlineStr">
        <is>
          <t>HALLANDS LÄN</t>
        </is>
      </c>
      <c r="G77" t="inlineStr">
        <is>
          <t>HALMSTAD</t>
        </is>
      </c>
      <c r="I77" t="n">
        <v>3.5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Dvärglin</t>
        </is>
      </c>
      <c r="W77">
        <f>HYPERLINK("https://klasma.github.io/Logging_1380/artfynd/A 53797-2024 artfynd.xlsx", "A 53797-2024")</f>
        <v/>
      </c>
      <c r="X77">
        <f>HYPERLINK("https://klasma.github.io/Logging_1380/kartor/A 53797-2024 karta.png", "A 53797-2024")</f>
        <v/>
      </c>
      <c r="Y77">
        <f>HYPERLINK("https://klasma.github.io/Logging_1380/kartor_geotiff/A 53797-2024 georefererad karta.tif", "A 53797-2024")</f>
        <v/>
      </c>
      <c r="AA77">
        <f>HYPERLINK("https://klasma.github.io/Logging_1380/klagomål/A 53797-2024 FSC-klagomål.docx", "A 53797-2024")</f>
        <v/>
      </c>
      <c r="AB77">
        <f>HYPERLINK("https://klasma.github.io/Logging_1380/klagomålsmail/A 53797-2024 FSC-klagomål mail.docx", "A 53797-2024")</f>
        <v/>
      </c>
      <c r="AC77">
        <f>HYPERLINK("https://klasma.github.io/Logging_1380/tillsyn/A 53797-2024 tillsynsbegäran.docx", "A 53797-2024")</f>
        <v/>
      </c>
      <c r="AD77">
        <f>HYPERLINK("https://klasma.github.io/Logging_1380/tillsynsmail/A 53797-2024 tillsynsbegäran mail.docx", "A 53797-2024")</f>
        <v/>
      </c>
    </row>
    <row r="78" ht="15" customHeight="1">
      <c r="A78" t="inlineStr">
        <is>
          <t>A 41364-2026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46300</v>
      </c>
      <c r="E78" s="1" t="n">
        <v>46316</v>
      </c>
      <c r="F78" t="inlineStr">
        <is>
          <t>HALLANDS LÄN</t>
        </is>
      </c>
      <c r="G78" t="inlineStr">
        <is>
          <t>HALMSTAD</t>
        </is>
      </c>
      <c r="I78" t="n">
        <v>7.4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Västlig hakmossa</t>
        </is>
      </c>
      <c r="W78">
        <f>HYPERLINK("https://klasma.github.io/Logging_1380/artfynd/A 41364-2026 artfynd.xlsx", "A 41364-2026")</f>
        <v/>
      </c>
      <c r="X78">
        <f>HYPERLINK("https://klasma.github.io/Logging_1380/kartor/A 41364-2026 karta.png", "A 41364-2026")</f>
        <v/>
      </c>
      <c r="Y78">
        <f>HYPERLINK("https://klasma.github.io/Logging_1380/kartor_geotiff/A 41364-2026 georefererad karta.tif", "A 41364-2026")</f>
        <v/>
      </c>
      <c r="AA78">
        <f>HYPERLINK("https://klasma.github.io/Logging_1380/klagomål/A 41364-2026 FSC-klagomål.docx", "A 41364-2026")</f>
        <v/>
      </c>
      <c r="AB78">
        <f>HYPERLINK("https://klasma.github.io/Logging_1380/klagomålsmail/A 41364-2026 FSC-klagomål mail.docx", "A 41364-2026")</f>
        <v/>
      </c>
      <c r="AC78">
        <f>HYPERLINK("https://klasma.github.io/Logging_1380/tillsyn/A 41364-2026 tillsynsbegäran.docx", "A 41364-2026")</f>
        <v/>
      </c>
      <c r="AD78">
        <f>HYPERLINK("https://klasma.github.io/Logging_1380/tillsynsmail/A 41364-2026 tillsynsbegäran mail.docx", "A 41364-2026")</f>
        <v/>
      </c>
    </row>
    <row r="79" ht="15" customHeight="1">
      <c r="A79" t="inlineStr">
        <is>
          <t>A 40650-2023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46316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14.7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HYPERLINK("https://klasma.github.io/Logging_1380/artfynd/A 40650-2023 artfynd.xlsx", "A 40650-2023")</f>
        <v/>
      </c>
      <c r="X79">
        <f>HYPERLINK("https://klasma.github.io/Logging_1380/kartor/A 40650-2023 karta.png", "A 40650-2023")</f>
        <v/>
      </c>
      <c r="Y79">
        <f>HYPERLINK("https://klasma.github.io/Logging_1380/kartor_geotiff/A 40650-2023 georefererad karta.tif", "A 40650-2023")</f>
        <v/>
      </c>
      <c r="AA79">
        <f>HYPERLINK("https://klasma.github.io/Logging_1380/klagomål/A 40650-2023 FSC-klagomål.docx", "A 40650-2023")</f>
        <v/>
      </c>
      <c r="AB79">
        <f>HYPERLINK("https://klasma.github.io/Logging_1380/klagomålsmail/A 40650-2023 FSC-klagomål mail.docx", "A 40650-2023")</f>
        <v/>
      </c>
      <c r="AC79">
        <f>HYPERLINK("https://klasma.github.io/Logging_1380/tillsyn/A 40650-2023 tillsynsbegäran.docx", "A 40650-2023")</f>
        <v/>
      </c>
      <c r="AD79">
        <f>HYPERLINK("https://klasma.github.io/Logging_1380/tillsynsmail/A 40650-2023 tillsynsbegäran mail.docx", "A 40650-2023")</f>
        <v/>
      </c>
    </row>
    <row r="80" ht="15" customHeight="1">
      <c r="A80" t="inlineStr">
        <is>
          <t>A 21488-2024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45441</v>
      </c>
      <c r="E80" s="1" t="n">
        <v>46316</v>
      </c>
      <c r="F80" t="inlineStr">
        <is>
          <t>HALLANDS LÄN</t>
        </is>
      </c>
      <c r="G80" t="inlineStr">
        <is>
          <t>HALMSTAD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Hårginst</t>
        </is>
      </c>
      <c r="W80">
        <f>HYPERLINK("https://klasma.github.io/Logging_1380/artfynd/A 21488-2024 artfynd.xlsx", "A 21488-2024")</f>
        <v/>
      </c>
      <c r="X80">
        <f>HYPERLINK("https://klasma.github.io/Logging_1380/kartor/A 21488-2024 karta.png", "A 21488-2024")</f>
        <v/>
      </c>
      <c r="Y80">
        <f>HYPERLINK("https://klasma.github.io/Logging_1380/kartor_geotiff/A 21488-2024 georefererad karta.tif", "A 21488-2024")</f>
        <v/>
      </c>
      <c r="AA80">
        <f>HYPERLINK("https://klasma.github.io/Logging_1380/klagomål/A 21488-2024 FSC-klagomål.docx", "A 21488-2024")</f>
        <v/>
      </c>
      <c r="AB80">
        <f>HYPERLINK("https://klasma.github.io/Logging_1380/klagomålsmail/A 21488-2024 FSC-klagomål mail.docx", "A 21488-2024")</f>
        <v/>
      </c>
      <c r="AC80">
        <f>HYPERLINK("https://klasma.github.io/Logging_1380/tillsyn/A 21488-2024 tillsynsbegäran.docx", "A 21488-2024")</f>
        <v/>
      </c>
      <c r="AD80">
        <f>HYPERLINK("https://klasma.github.io/Logging_1380/tillsynsmail/A 21488-2024 tillsynsbegäran mail.docx", "A 21488-2024")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46316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46316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S 2703-2026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46314</v>
      </c>
      <c r="E83" s="1" t="n">
        <v>46316</v>
      </c>
      <c r="F83" t="inlineStr">
        <is>
          <t>HALLANDS LÄN</t>
        </is>
      </c>
      <c r="G83" t="inlineStr">
        <is>
          <t>HALMSTAD</t>
        </is>
      </c>
      <c r="I83" t="n">
        <v>1.2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Korallrot</t>
        </is>
      </c>
      <c r="W83">
        <f>HYPERLINK("https://klasma.github.io/Logging_1380/artfynd/S 2703-2026 artfynd.xlsx", "S 2703-2026")</f>
        <v/>
      </c>
      <c r="X83">
        <f>HYPERLINK("https://klasma.github.io/Logging_1380/kartor/S 2703-2026 karta.png", "S 2703-2026")</f>
        <v/>
      </c>
      <c r="Y83">
        <f>HYPERLINK("https://klasma.github.io/Logging_1380/kartor_geotiff/S 2703-2026 georefererad karta.tif", "S 2703-2026")</f>
        <v/>
      </c>
      <c r="AA83">
        <f>HYPERLINK("https://klasma.github.io/Logging_1380/klagomål/S 2703-2026 FSC-klagomål.docx", "S 2703-2026")</f>
        <v/>
      </c>
      <c r="AB83">
        <f>HYPERLINK("https://klasma.github.io/Logging_1380/klagomålsmail/S 2703-2026 FSC-klagomål mail.docx", "S 2703-2026")</f>
        <v/>
      </c>
      <c r="AC83">
        <f>HYPERLINK("https://klasma.github.io/Logging_1380/tillsyn/S 2703-2026 tillsynsbegäran.docx", "S 2703-2026")</f>
        <v/>
      </c>
      <c r="AD83">
        <f>HYPERLINK("https://klasma.github.io/Logging_1380/tillsynsmail/S 2703-2026 tillsynsbegäran mail.docx", "S 2703-2026")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46316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46316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46316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46316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46316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46316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46316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46316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46316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46316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46316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46316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46316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46316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46316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46316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46316</v>
      </c>
      <c r="F100" t="inlineStr">
        <is>
          <t>HALLANDS LÄN</t>
        </is>
      </c>
      <c r="G100" t="inlineStr">
        <is>
          <t>HALMSTAD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44677</v>
      </c>
      <c r="E101" s="1" t="n">
        <v>46316</v>
      </c>
      <c r="F101" t="inlineStr">
        <is>
          <t>HALLANDS LÄN</t>
        </is>
      </c>
      <c r="G101" t="inlineStr">
        <is>
          <t>HALMSTAD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46316</v>
      </c>
      <c r="F102" t="inlineStr">
        <is>
          <t>HALLANDS LÄN</t>
        </is>
      </c>
      <c r="G102" t="inlineStr">
        <is>
          <t>HALMSTAD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70897-2021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46316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70724-2021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46316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46316</v>
      </c>
      <c r="F105" t="inlineStr">
        <is>
          <t>HALLANDS LÄN</t>
        </is>
      </c>
      <c r="G105" t="inlineStr">
        <is>
          <t>HALMSTAD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46316</v>
      </c>
      <c r="F106" t="inlineStr">
        <is>
          <t>HALLANDS LÄN</t>
        </is>
      </c>
      <c r="G106" t="inlineStr">
        <is>
          <t>HALMSTAD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59922-2021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46316</v>
      </c>
      <c r="F107" t="inlineStr">
        <is>
          <t>HALLANDS LÄN</t>
        </is>
      </c>
      <c r="G107" t="inlineStr">
        <is>
          <t>HALMSTAD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46316</v>
      </c>
      <c r="F108" t="inlineStr">
        <is>
          <t>HALLANDS LÄN</t>
        </is>
      </c>
      <c r="G108" t="inlineStr">
        <is>
          <t>HALMSTAD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72139-2021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44544</v>
      </c>
      <c r="E109" s="1" t="n">
        <v>46316</v>
      </c>
      <c r="F109" t="inlineStr">
        <is>
          <t>HALLANDS LÄN</t>
        </is>
      </c>
      <c r="G109" t="inlineStr">
        <is>
          <t>HALMSTAD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64230-2023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45279</v>
      </c>
      <c r="E110" s="1" t="n">
        <v>46316</v>
      </c>
      <c r="F110" t="inlineStr">
        <is>
          <t>HALLANDS LÄN</t>
        </is>
      </c>
      <c r="G110" t="inlineStr">
        <is>
          <t>HALMSTAD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44875</v>
      </c>
      <c r="E111" s="1" t="n">
        <v>46316</v>
      </c>
      <c r="F111" t="inlineStr">
        <is>
          <t>HALLANDS LÄN</t>
        </is>
      </c>
      <c r="G111" t="inlineStr">
        <is>
          <t>HALMSTAD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45363</v>
      </c>
      <c r="E112" s="1" t="n">
        <v>46316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45079</v>
      </c>
      <c r="E113" s="1" t="n">
        <v>46316</v>
      </c>
      <c r="F113" t="inlineStr">
        <is>
          <t>HALLANDS LÄN</t>
        </is>
      </c>
      <c r="G113" t="inlineStr">
        <is>
          <t>HALMSTAD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9149-2024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45358</v>
      </c>
      <c r="E114" s="1" t="n">
        <v>46316</v>
      </c>
      <c r="F114" t="inlineStr">
        <is>
          <t>HALLANDS LÄN</t>
        </is>
      </c>
      <c r="G114" t="inlineStr">
        <is>
          <t>HALMSTAD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45630</v>
      </c>
      <c r="E115" s="1" t="n">
        <v>46316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46316</v>
      </c>
      <c r="F116" t="inlineStr">
        <is>
          <t>HALLANDS LÄN</t>
        </is>
      </c>
      <c r="G116" t="inlineStr">
        <is>
          <t>HALMSTAD</t>
        </is>
      </c>
      <c r="H116" t="inlineStr">
        <is>
          <t>Kyrkan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45183</v>
      </c>
      <c r="E117" s="1" t="n">
        <v>46316</v>
      </c>
      <c r="F117" t="inlineStr">
        <is>
          <t>HALLANDS LÄN</t>
        </is>
      </c>
      <c r="G117" t="inlineStr">
        <is>
          <t>HALMSTAD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45091</v>
      </c>
      <c r="E118" s="1" t="n">
        <v>46316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46104-2023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45196</v>
      </c>
      <c r="E119" s="1" t="n">
        <v>46316</v>
      </c>
      <c r="F119" t="inlineStr">
        <is>
          <t>HALLANDS LÄN</t>
        </is>
      </c>
      <c r="G119" t="inlineStr">
        <is>
          <t>HALMSTAD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63609-2023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45275</v>
      </c>
      <c r="E120" s="1" t="n">
        <v>46316</v>
      </c>
      <c r="F120" t="inlineStr">
        <is>
          <t>HALLANDS LÄN</t>
        </is>
      </c>
      <c r="G120" t="inlineStr">
        <is>
          <t>HALMSTAD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61853-2023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45265</v>
      </c>
      <c r="E121" s="1" t="n">
        <v>46316</v>
      </c>
      <c r="F121" t="inlineStr">
        <is>
          <t>HALLANDS LÄN</t>
        </is>
      </c>
      <c r="G121" t="inlineStr">
        <is>
          <t>HALMSTAD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46316</v>
      </c>
      <c r="F122" t="inlineStr">
        <is>
          <t>HALLANDS LÄN</t>
        </is>
      </c>
      <c r="G122" t="inlineStr">
        <is>
          <t>HALMSTAD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23609-2025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45792</v>
      </c>
      <c r="E123" s="1" t="n">
        <v>46316</v>
      </c>
      <c r="F123" t="inlineStr">
        <is>
          <t>HALLANDS LÄN</t>
        </is>
      </c>
      <c r="G123" t="inlineStr">
        <is>
          <t>HALMSTAD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45694</v>
      </c>
      <c r="E124" s="1" t="n">
        <v>46316</v>
      </c>
      <c r="F124" t="inlineStr">
        <is>
          <t>HALLANDS LÄN</t>
        </is>
      </c>
      <c r="G124" t="inlineStr">
        <is>
          <t>HALMSTAD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46316</v>
      </c>
      <c r="F125" t="inlineStr">
        <is>
          <t>HALLANDS LÄN</t>
        </is>
      </c>
      <c r="G125" t="inlineStr">
        <is>
          <t>HALMSTAD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44677</v>
      </c>
      <c r="E126" s="1" t="n">
        <v>46316</v>
      </c>
      <c r="F126" t="inlineStr">
        <is>
          <t>HALLANDS LÄN</t>
        </is>
      </c>
      <c r="G126" t="inlineStr">
        <is>
          <t>HALMSTAD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52913-2023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45226</v>
      </c>
      <c r="E127" s="1" t="n">
        <v>46316</v>
      </c>
      <c r="F127" t="inlineStr">
        <is>
          <t>HALLANDS LÄN</t>
        </is>
      </c>
      <c r="G127" t="inlineStr">
        <is>
          <t>HALMSTAD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45562</v>
      </c>
      <c r="E128" s="1" t="n">
        <v>46316</v>
      </c>
      <c r="F128" t="inlineStr">
        <is>
          <t>HALLANDS LÄN</t>
        </is>
      </c>
      <c r="G128" t="inlineStr">
        <is>
          <t>HALMSTAD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24265-2025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45797</v>
      </c>
      <c r="E129" s="1" t="n">
        <v>46316</v>
      </c>
      <c r="F129" t="inlineStr">
        <is>
          <t>HALLANDS LÄN</t>
        </is>
      </c>
      <c r="G129" t="inlineStr">
        <is>
          <t>HALMSTAD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46316</v>
      </c>
      <c r="F130" t="inlineStr">
        <is>
          <t>HALLANDS LÄN</t>
        </is>
      </c>
      <c r="G130" t="inlineStr">
        <is>
          <t>HALMSTAD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45316</v>
      </c>
      <c r="E131" s="1" t="n">
        <v>46316</v>
      </c>
      <c r="F131" t="inlineStr">
        <is>
          <t>HALLANDS LÄN</t>
        </is>
      </c>
      <c r="G131" t="inlineStr">
        <is>
          <t>HALMSTAD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56683-2024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45627</v>
      </c>
      <c r="E132" s="1" t="n">
        <v>46316</v>
      </c>
      <c r="F132" t="inlineStr">
        <is>
          <t>HALLANDS LÄN</t>
        </is>
      </c>
      <c r="G132" t="inlineStr">
        <is>
          <t>HALMSTAD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26097-2025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46316</v>
      </c>
      <c r="F133" t="inlineStr">
        <is>
          <t>HALLANDS LÄN</t>
        </is>
      </c>
      <c r="G133" t="inlineStr">
        <is>
          <t>HALMSTAD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62812-2025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46316</v>
      </c>
      <c r="F134" t="inlineStr">
        <is>
          <t>HALLANDS LÄN</t>
        </is>
      </c>
      <c r="G134" t="inlineStr">
        <is>
          <t>HALMSTAD</t>
        </is>
      </c>
      <c r="H134" t="inlineStr">
        <is>
          <t>Kommuner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25349-2025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45800</v>
      </c>
      <c r="E135" s="1" t="n">
        <v>46316</v>
      </c>
      <c r="F135" t="inlineStr">
        <is>
          <t>HALLANDS LÄN</t>
        </is>
      </c>
      <c r="G135" t="inlineStr">
        <is>
          <t>HALMSTAD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46007</v>
      </c>
      <c r="E136" s="1" t="n">
        <v>46316</v>
      </c>
      <c r="F136" t="inlineStr">
        <is>
          <t>HALLANDS LÄN</t>
        </is>
      </c>
      <c r="G136" t="inlineStr">
        <is>
          <t>HALMSTAD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46008</v>
      </c>
      <c r="E137" s="1" t="n">
        <v>46316</v>
      </c>
      <c r="F137" t="inlineStr">
        <is>
          <t>HALLANDS LÄN</t>
        </is>
      </c>
      <c r="G137" t="inlineStr">
        <is>
          <t>HALMSTAD</t>
        </is>
      </c>
      <c r="H137" t="inlineStr">
        <is>
          <t>Kommuner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45714</v>
      </c>
      <c r="E138" s="1" t="n">
        <v>46316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63524-2025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46316</v>
      </c>
      <c r="F139" t="inlineStr">
        <is>
          <t>HALLANDS LÄN</t>
        </is>
      </c>
      <c r="G139" t="inlineStr">
        <is>
          <t>HALMSTAD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46316</v>
      </c>
      <c r="F140" t="inlineStr">
        <is>
          <t>HALLANDS LÄN</t>
        </is>
      </c>
      <c r="G140" t="inlineStr">
        <is>
          <t>HALMSTAD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45750</v>
      </c>
      <c r="E141" s="1" t="n">
        <v>46316</v>
      </c>
      <c r="F141" t="inlineStr">
        <is>
          <t>HALLANDS LÄN</t>
        </is>
      </c>
      <c r="G141" t="inlineStr">
        <is>
          <t>HALMSTAD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40047-2025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45894</v>
      </c>
      <c r="E142" s="1" t="n">
        <v>46316</v>
      </c>
      <c r="F142" t="inlineStr">
        <is>
          <t>HALLANDS LÄN</t>
        </is>
      </c>
      <c r="G142" t="inlineStr">
        <is>
          <t>HALMSTAD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45735</v>
      </c>
      <c r="E143" s="1" t="n">
        <v>46316</v>
      </c>
      <c r="F143" t="inlineStr">
        <is>
          <t>HALLANDS LÄN</t>
        </is>
      </c>
      <c r="G143" t="inlineStr">
        <is>
          <t>HALMSTAD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45330</v>
      </c>
      <c r="E144" s="1" t="n">
        <v>46316</v>
      </c>
      <c r="F144" t="inlineStr">
        <is>
          <t>HALLANDS LÄN</t>
        </is>
      </c>
      <c r="G144" t="inlineStr">
        <is>
          <t>HALMSTAD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46316</v>
      </c>
      <c r="F145" t="inlineStr">
        <is>
          <t>HALLANDS LÄN</t>
        </is>
      </c>
      <c r="G145" t="inlineStr">
        <is>
          <t>HALMSTAD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46316</v>
      </c>
      <c r="F146" t="inlineStr">
        <is>
          <t>HALLANDS LÄN</t>
        </is>
      </c>
      <c r="G146" t="inlineStr">
        <is>
          <t>HALMSTAD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14001-2025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46316</v>
      </c>
      <c r="F147" t="inlineStr">
        <is>
          <t>HALLANDS LÄN</t>
        </is>
      </c>
      <c r="G147" t="inlineStr">
        <is>
          <t>HALMSTAD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45817</v>
      </c>
      <c r="E148" s="1" t="n">
        <v>46316</v>
      </c>
      <c r="F148" t="inlineStr">
        <is>
          <t>HALLANDS LÄN</t>
        </is>
      </c>
      <c r="G148" t="inlineStr">
        <is>
          <t>HALMSTAD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44845</v>
      </c>
      <c r="E149" s="1" t="n">
        <v>46316</v>
      </c>
      <c r="F149" t="inlineStr">
        <is>
          <t>HALLANDS LÄN</t>
        </is>
      </c>
      <c r="G149" t="inlineStr">
        <is>
          <t>HALMSTAD</t>
        </is>
      </c>
      <c r="H149" t="inlineStr">
        <is>
          <t>Kyrkan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46316</v>
      </c>
      <c r="F150" t="inlineStr">
        <is>
          <t>HALLANDS LÄN</t>
        </is>
      </c>
      <c r="G150" t="inlineStr">
        <is>
          <t>HALMSTAD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46316</v>
      </c>
      <c r="F151" t="inlineStr">
        <is>
          <t>HALLANDS LÄN</t>
        </is>
      </c>
      <c r="G151" t="inlineStr">
        <is>
          <t>HALMSTAD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45733</v>
      </c>
      <c r="E152" s="1" t="n">
        <v>46316</v>
      </c>
      <c r="F152" t="inlineStr">
        <is>
          <t>HALLANDS LÄN</t>
        </is>
      </c>
      <c r="G152" t="inlineStr">
        <is>
          <t>HALMSTAD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45642</v>
      </c>
      <c r="E153" s="1" t="n">
        <v>46316</v>
      </c>
      <c r="F153" t="inlineStr">
        <is>
          <t>HALLANDS LÄN</t>
        </is>
      </c>
      <c r="G153" t="inlineStr">
        <is>
          <t>HALMSTAD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20436-2025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45775</v>
      </c>
      <c r="E154" s="1" t="n">
        <v>46316</v>
      </c>
      <c r="F154" t="inlineStr">
        <is>
          <t>HALLANDS LÄN</t>
        </is>
      </c>
      <c r="G154" t="inlineStr">
        <is>
          <t>HALMSTAD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41777-2024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45561</v>
      </c>
      <c r="E155" s="1" t="n">
        <v>46316</v>
      </c>
      <c r="F155" t="inlineStr">
        <is>
          <t>HALLANDS LÄN</t>
        </is>
      </c>
      <c r="G155" t="inlineStr">
        <is>
          <t>HALMSTAD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45240</v>
      </c>
      <c r="E156" s="1" t="n">
        <v>46316</v>
      </c>
      <c r="F156" t="inlineStr">
        <is>
          <t>HALLANDS LÄN</t>
        </is>
      </c>
      <c r="G156" t="inlineStr">
        <is>
          <t>HALMSTAD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46316</v>
      </c>
      <c r="F157" t="inlineStr">
        <is>
          <t>HALLANDS LÄN</t>
        </is>
      </c>
      <c r="G157" t="inlineStr">
        <is>
          <t>HALMSTAD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45660</v>
      </c>
      <c r="E158" s="1" t="n">
        <v>46316</v>
      </c>
      <c r="F158" t="inlineStr">
        <is>
          <t>HALLANDS LÄN</t>
        </is>
      </c>
      <c r="G158" t="inlineStr">
        <is>
          <t>HALMSTAD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45168</v>
      </c>
      <c r="E159" s="1" t="n">
        <v>46316</v>
      </c>
      <c r="F159" t="inlineStr">
        <is>
          <t>HALLANDS LÄN</t>
        </is>
      </c>
      <c r="G159" t="inlineStr">
        <is>
          <t>HALMSTAD</t>
        </is>
      </c>
      <c r="H159" t="inlineStr">
        <is>
          <t>Kommuner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44541-2025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46316</v>
      </c>
      <c r="F160" t="inlineStr">
        <is>
          <t>HALLANDS LÄN</t>
        </is>
      </c>
      <c r="G160" t="inlineStr">
        <is>
          <t>HALMSTAD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45916</v>
      </c>
      <c r="E161" s="1" t="n">
        <v>46316</v>
      </c>
      <c r="F161" t="inlineStr">
        <is>
          <t>HALLANDS LÄN</t>
        </is>
      </c>
      <c r="G161" t="inlineStr">
        <is>
          <t>HALMSTAD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46316</v>
      </c>
      <c r="F162" t="inlineStr">
        <is>
          <t>HALLANDS LÄN</t>
        </is>
      </c>
      <c r="G162" t="inlineStr">
        <is>
          <t>HALMSTAD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45715</v>
      </c>
      <c r="E163" s="1" t="n">
        <v>46316</v>
      </c>
      <c r="F163" t="inlineStr">
        <is>
          <t>HALLANDS LÄN</t>
        </is>
      </c>
      <c r="G163" t="inlineStr">
        <is>
          <t>HALMSTAD</t>
        </is>
      </c>
      <c r="H163" t="inlineStr">
        <is>
          <t>Övriga statliga verk och myndigheter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46050</v>
      </c>
      <c r="E164" s="1" t="n">
        <v>46316</v>
      </c>
      <c r="F164" t="inlineStr">
        <is>
          <t>HALLANDS LÄN</t>
        </is>
      </c>
      <c r="G164" t="inlineStr">
        <is>
          <t>HALMSTAD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45168</v>
      </c>
      <c r="E165" s="1" t="n">
        <v>46316</v>
      </c>
      <c r="F165" t="inlineStr">
        <is>
          <t>HALLANDS LÄN</t>
        </is>
      </c>
      <c r="G165" t="inlineStr">
        <is>
          <t>HALMSTAD</t>
        </is>
      </c>
      <c r="H165" t="inlineStr">
        <is>
          <t>Kommuner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40658-2023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46316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46316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45863-2025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45923</v>
      </c>
      <c r="E168" s="1" t="n">
        <v>46316</v>
      </c>
      <c r="F168" t="inlineStr">
        <is>
          <t>HALLANDS LÄN</t>
        </is>
      </c>
      <c r="G168" t="inlineStr">
        <is>
          <t>HALMSTAD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46057</v>
      </c>
      <c r="E169" s="1" t="n">
        <v>46316</v>
      </c>
      <c r="F169" t="inlineStr">
        <is>
          <t>HALLANDS LÄN</t>
        </is>
      </c>
      <c r="G169" t="inlineStr">
        <is>
          <t>HALMSTAD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7538-2026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46316</v>
      </c>
      <c r="F170" t="inlineStr">
        <is>
          <t>HALLANDS LÄN</t>
        </is>
      </c>
      <c r="G170" t="inlineStr">
        <is>
          <t>HALMSTAD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46316</v>
      </c>
      <c r="F171" t="inlineStr">
        <is>
          <t>HALLANDS LÄN</t>
        </is>
      </c>
      <c r="G171" t="inlineStr">
        <is>
          <t>HALMSTAD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45926</v>
      </c>
      <c r="E172" s="1" t="n">
        <v>46316</v>
      </c>
      <c r="F172" t="inlineStr">
        <is>
          <t>HALLANDS LÄN</t>
        </is>
      </c>
      <c r="G172" t="inlineStr">
        <is>
          <t>HALMSTAD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19087-2022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44691</v>
      </c>
      <c r="E173" s="1" t="n">
        <v>46316</v>
      </c>
      <c r="F173" t="inlineStr">
        <is>
          <t>HALLANDS LÄN</t>
        </is>
      </c>
      <c r="G173" t="inlineStr">
        <is>
          <t>HALMSTAD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40398-2022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44823</v>
      </c>
      <c r="E174" s="1" t="n">
        <v>46316</v>
      </c>
      <c r="F174" t="inlineStr">
        <is>
          <t>HALLANDS LÄN</t>
        </is>
      </c>
      <c r="G174" t="inlineStr">
        <is>
          <t>HALMSTAD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12960-2025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45734</v>
      </c>
      <c r="E175" s="1" t="n">
        <v>46316</v>
      </c>
      <c r="F175" t="inlineStr">
        <is>
          <t>HALLANDS LÄN</t>
        </is>
      </c>
      <c r="G175" t="inlineStr">
        <is>
          <t>HALMSTAD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46316</v>
      </c>
      <c r="F176" t="inlineStr">
        <is>
          <t>HALLANDS LÄN</t>
        </is>
      </c>
      <c r="G176" t="inlineStr">
        <is>
          <t>HALMSTAD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45239</v>
      </c>
      <c r="E177" s="1" t="n">
        <v>46316</v>
      </c>
      <c r="F177" t="inlineStr">
        <is>
          <t>HALLANDS LÄN</t>
        </is>
      </c>
      <c r="G177" t="inlineStr">
        <is>
          <t>HALMSTAD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44594</v>
      </c>
      <c r="E178" s="1" t="n">
        <v>46316</v>
      </c>
      <c r="F178" t="inlineStr">
        <is>
          <t>HALLANDS LÄN</t>
        </is>
      </c>
      <c r="G178" t="inlineStr">
        <is>
          <t>HALMSTAD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47552-2025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46316</v>
      </c>
      <c r="F179" t="inlineStr">
        <is>
          <t>HALLANDS LÄN</t>
        </is>
      </c>
      <c r="G179" t="inlineStr">
        <is>
          <t>HALMSTAD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47556-2025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45931</v>
      </c>
      <c r="E180" s="1" t="n">
        <v>46316</v>
      </c>
      <c r="F180" t="inlineStr">
        <is>
          <t>HALLANDS LÄN</t>
        </is>
      </c>
      <c r="G180" t="inlineStr">
        <is>
          <t>HALMSTAD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45329</v>
      </c>
      <c r="E181" s="1" t="n">
        <v>46316</v>
      </c>
      <c r="F181" t="inlineStr">
        <is>
          <t>HALLANDS LÄN</t>
        </is>
      </c>
      <c r="G181" t="inlineStr">
        <is>
          <t>HALMSTAD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8617-2026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46066</v>
      </c>
      <c r="E182" s="1" t="n">
        <v>46316</v>
      </c>
      <c r="F182" t="inlineStr">
        <is>
          <t>HALLANDS LÄN</t>
        </is>
      </c>
      <c r="G182" t="inlineStr">
        <is>
          <t>HALMSTAD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46066</v>
      </c>
      <c r="E183" s="1" t="n">
        <v>46316</v>
      </c>
      <c r="F183" t="inlineStr">
        <is>
          <t>HALLANDS LÄN</t>
        </is>
      </c>
      <c r="G183" t="inlineStr">
        <is>
          <t>HALMSTAD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46316</v>
      </c>
      <c r="F184" t="inlineStr">
        <is>
          <t>HALLANDS LÄN</t>
        </is>
      </c>
      <c r="G184" t="inlineStr">
        <is>
          <t>HALMSTAD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49403-2025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45938</v>
      </c>
      <c r="E185" s="1" t="n">
        <v>46316</v>
      </c>
      <c r="F185" t="inlineStr">
        <is>
          <t>HALLANDS LÄN</t>
        </is>
      </c>
      <c r="G185" t="inlineStr">
        <is>
          <t>HALMSTAD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18598-2022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44687</v>
      </c>
      <c r="E186" s="1" t="n">
        <v>46316</v>
      </c>
      <c r="F186" t="inlineStr">
        <is>
          <t>HALLANDS LÄN</t>
        </is>
      </c>
      <c r="G186" t="inlineStr">
        <is>
          <t>HALMSTAD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11085-2026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46079</v>
      </c>
      <c r="E187" s="1" t="n">
        <v>46316</v>
      </c>
      <c r="F187" t="inlineStr">
        <is>
          <t>HALLANDS LÄN</t>
        </is>
      </c>
      <c r="G187" t="inlineStr">
        <is>
          <t>HALMSTAD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46316</v>
      </c>
      <c r="F188" t="inlineStr">
        <is>
          <t>HALLANDS LÄN</t>
        </is>
      </c>
      <c r="G188" t="inlineStr">
        <is>
          <t>HALMSTAD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46316</v>
      </c>
      <c r="F189" t="inlineStr">
        <is>
          <t>HALLANDS LÄN</t>
        </is>
      </c>
      <c r="G189" t="inlineStr">
        <is>
          <t>HALMSTAD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45231</v>
      </c>
      <c r="E190" s="1" t="n">
        <v>46316</v>
      </c>
      <c r="F190" t="inlineStr">
        <is>
          <t>HALLANDS LÄN</t>
        </is>
      </c>
      <c r="G190" t="inlineStr">
        <is>
          <t>HALMSTAD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55966-2025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46316</v>
      </c>
      <c r="F191" t="inlineStr">
        <is>
          <t>HALLANDS LÄN</t>
        </is>
      </c>
      <c r="G191" t="inlineStr">
        <is>
          <t>HALMSTAD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45168</v>
      </c>
      <c r="E192" s="1" t="n">
        <v>46316</v>
      </c>
      <c r="F192" t="inlineStr">
        <is>
          <t>HALLANDS LÄN</t>
        </is>
      </c>
      <c r="G192" t="inlineStr">
        <is>
          <t>HALMSTAD</t>
        </is>
      </c>
      <c r="H192" t="inlineStr">
        <is>
          <t>Kommuner</t>
        </is>
      </c>
      <c r="I192" t="n">
        <v>13.4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60831-2023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45260</v>
      </c>
      <c r="E193" s="1" t="n">
        <v>46316</v>
      </c>
      <c r="F193" t="inlineStr">
        <is>
          <t>HALLANDS LÄN</t>
        </is>
      </c>
      <c r="G193" t="inlineStr">
        <is>
          <t>HALMSTAD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12593-2026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46090</v>
      </c>
      <c r="E194" s="1" t="n">
        <v>46316</v>
      </c>
      <c r="F194" t="inlineStr">
        <is>
          <t>HALLANDS LÄN</t>
        </is>
      </c>
      <c r="G194" t="inlineStr">
        <is>
          <t>HALMSTAD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46092</v>
      </c>
      <c r="E195" s="1" t="n">
        <v>46316</v>
      </c>
      <c r="F195" t="inlineStr">
        <is>
          <t>HALLANDS LÄN</t>
        </is>
      </c>
      <c r="G195" t="inlineStr">
        <is>
          <t>HALMSTAD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41612-2022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44827</v>
      </c>
      <c r="E196" s="1" t="n">
        <v>46316</v>
      </c>
      <c r="F196" t="inlineStr">
        <is>
          <t>HALLANDS LÄN</t>
        </is>
      </c>
      <c r="G196" t="inlineStr">
        <is>
          <t>HALMSTAD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46316</v>
      </c>
      <c r="F197" t="inlineStr">
        <is>
          <t>HALLANDS LÄN</t>
        </is>
      </c>
      <c r="G197" t="inlineStr">
        <is>
          <t>HALMSTAD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60032-2023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45258</v>
      </c>
      <c r="E198" s="1" t="n">
        <v>46316</v>
      </c>
      <c r="F198" t="inlineStr">
        <is>
          <t>HALLANDS LÄN</t>
        </is>
      </c>
      <c r="G198" t="inlineStr">
        <is>
          <t>HALMSTAD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1146-2024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45302</v>
      </c>
      <c r="E199" s="1" t="n">
        <v>46316</v>
      </c>
      <c r="F199" t="inlineStr">
        <is>
          <t>HALLANDS LÄN</t>
        </is>
      </c>
      <c r="G199" t="inlineStr">
        <is>
          <t>HALMSTAD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45952</v>
      </c>
      <c r="E200" s="1" t="n">
        <v>46316</v>
      </c>
      <c r="F200" t="inlineStr">
        <is>
          <t>HALLANDS LÄN</t>
        </is>
      </c>
      <c r="G200" t="inlineStr">
        <is>
          <t>HALMSTAD</t>
        </is>
      </c>
      <c r="H200" t="inlineStr">
        <is>
          <t>Bergvik skog väst AB</t>
        </is>
      </c>
      <c r="I200" t="n">
        <v>19.5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45065</v>
      </c>
      <c r="E201" s="1" t="n">
        <v>46316</v>
      </c>
      <c r="F201" t="inlineStr">
        <is>
          <t>HALLANDS LÄN</t>
        </is>
      </c>
      <c r="G201" t="inlineStr">
        <is>
          <t>HALMSTAD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12632-2023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45000</v>
      </c>
      <c r="E202" s="1" t="n">
        <v>46316</v>
      </c>
      <c r="F202" t="inlineStr">
        <is>
          <t>HALLANDS LÄN</t>
        </is>
      </c>
      <c r="G202" t="inlineStr">
        <is>
          <t>HALMSTAD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46316</v>
      </c>
      <c r="F203" t="inlineStr">
        <is>
          <t>HALLANDS LÄN</t>
        </is>
      </c>
      <c r="G203" t="inlineStr">
        <is>
          <t>HALMSTAD</t>
        </is>
      </c>
      <c r="H203" t="inlineStr">
        <is>
          <t>Bergvik skog väst AB</t>
        </is>
      </c>
      <c r="I203" t="n">
        <v>11.2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45959</v>
      </c>
      <c r="E204" s="1" t="n">
        <v>46316</v>
      </c>
      <c r="F204" t="inlineStr">
        <is>
          <t>HALLANDS LÄN</t>
        </is>
      </c>
      <c r="G204" t="inlineStr">
        <is>
          <t>HALMSTAD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31112-2025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46316</v>
      </c>
      <c r="F205" t="inlineStr">
        <is>
          <t>HALLANDS LÄN</t>
        </is>
      </c>
      <c r="G205" t="inlineStr">
        <is>
          <t>HALMSTAD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46316</v>
      </c>
      <c r="F206" t="inlineStr">
        <is>
          <t>HALLANDS LÄN</t>
        </is>
      </c>
      <c r="G206" t="inlineStr">
        <is>
          <t>HALMSTAD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45831</v>
      </c>
      <c r="E207" s="1" t="n">
        <v>46316</v>
      </c>
      <c r="F207" t="inlineStr">
        <is>
          <t>HALLANDS LÄN</t>
        </is>
      </c>
      <c r="G207" t="inlineStr">
        <is>
          <t>HALMSTAD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31103-2025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45831</v>
      </c>
      <c r="E208" s="1" t="n">
        <v>46316</v>
      </c>
      <c r="F208" t="inlineStr">
        <is>
          <t>HALLANDS LÄN</t>
        </is>
      </c>
      <c r="G208" t="inlineStr">
        <is>
          <t>HALMSTAD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46106</v>
      </c>
      <c r="E209" s="1" t="n">
        <v>46316</v>
      </c>
      <c r="F209" t="inlineStr">
        <is>
          <t>HALLANDS LÄN</t>
        </is>
      </c>
      <c r="G209" t="inlineStr">
        <is>
          <t>HALMSTAD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15109-2026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46105</v>
      </c>
      <c r="E210" s="1" t="n">
        <v>46316</v>
      </c>
      <c r="F210" t="inlineStr">
        <is>
          <t>HALLANDS LÄN</t>
        </is>
      </c>
      <c r="G210" t="inlineStr">
        <is>
          <t>HALMSTAD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46105</v>
      </c>
      <c r="E211" s="1" t="n">
        <v>46316</v>
      </c>
      <c r="F211" t="inlineStr">
        <is>
          <t>HALLANDS LÄN</t>
        </is>
      </c>
      <c r="G211" t="inlineStr">
        <is>
          <t>HALMSTAD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46105</v>
      </c>
      <c r="E212" s="1" t="n">
        <v>46316</v>
      </c>
      <c r="F212" t="inlineStr">
        <is>
          <t>HALLANDS LÄN</t>
        </is>
      </c>
      <c r="G212" t="inlineStr">
        <is>
          <t>HALMSTAD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15833-2026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46107</v>
      </c>
      <c r="E213" s="1" t="n">
        <v>46316</v>
      </c>
      <c r="F213" t="inlineStr">
        <is>
          <t>HALLANDS LÄN</t>
        </is>
      </c>
      <c r="G213" t="inlineStr">
        <is>
          <t>HALMSTAD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60396-2023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45259</v>
      </c>
      <c r="E214" s="1" t="n">
        <v>46316</v>
      </c>
      <c r="F214" t="inlineStr">
        <is>
          <t>HALLANDS LÄN</t>
        </is>
      </c>
      <c r="G214" t="inlineStr">
        <is>
          <t>HALMSTAD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14987-2023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45015</v>
      </c>
      <c r="E215" s="1" t="n">
        <v>46316</v>
      </c>
      <c r="F215" t="inlineStr">
        <is>
          <t>HALLANDS LÄN</t>
        </is>
      </c>
      <c r="G215" t="inlineStr">
        <is>
          <t>HALMSTAD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45015</v>
      </c>
      <c r="E216" s="1" t="n">
        <v>46316</v>
      </c>
      <c r="F216" t="inlineStr">
        <is>
          <t>HALLANDS LÄN</t>
        </is>
      </c>
      <c r="G216" t="inlineStr">
        <is>
          <t>HALMSTAD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15029-2023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45015</v>
      </c>
      <c r="E217" s="1" t="n">
        <v>46316</v>
      </c>
      <c r="F217" t="inlineStr">
        <is>
          <t>HALLANDS LÄN</t>
        </is>
      </c>
      <c r="G217" t="inlineStr">
        <is>
          <t>HALMSTAD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8705-2024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45356</v>
      </c>
      <c r="E218" s="1" t="n">
        <v>46316</v>
      </c>
      <c r="F218" t="inlineStr">
        <is>
          <t>HALLANDS LÄN</t>
        </is>
      </c>
      <c r="G218" t="inlineStr">
        <is>
          <t>HALMSTAD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45680</v>
      </c>
      <c r="E219" s="1" t="n">
        <v>46316</v>
      </c>
      <c r="F219" t="inlineStr">
        <is>
          <t>HALLANDS LÄN</t>
        </is>
      </c>
      <c r="G219" t="inlineStr">
        <is>
          <t>HALMSTAD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40542-2023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45168</v>
      </c>
      <c r="E220" s="1" t="n">
        <v>46316</v>
      </c>
      <c r="F220" t="inlineStr">
        <is>
          <t>HALLANDS LÄN</t>
        </is>
      </c>
      <c r="G220" t="inlineStr">
        <is>
          <t>HALMSTAD</t>
        </is>
      </c>
      <c r="H220" t="inlineStr">
        <is>
          <t>Kommuner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41778-2024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45561</v>
      </c>
      <c r="E221" s="1" t="n">
        <v>46316</v>
      </c>
      <c r="F221" t="inlineStr">
        <is>
          <t>HALLANDS LÄN</t>
        </is>
      </c>
      <c r="G221" t="inlineStr">
        <is>
          <t>HALMSTAD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55050-2025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45967</v>
      </c>
      <c r="E222" s="1" t="n">
        <v>46316</v>
      </c>
      <c r="F222" t="inlineStr">
        <is>
          <t>HALLANDS LÄN</t>
        </is>
      </c>
      <c r="G222" t="inlineStr">
        <is>
          <t>HALMSTAD</t>
        </is>
      </c>
      <c r="H222" t="inlineStr">
        <is>
          <t>Kyrkan</t>
        </is>
      </c>
      <c r="I222" t="n">
        <v>10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44885</v>
      </c>
      <c r="E223" s="1" t="n">
        <v>46316</v>
      </c>
      <c r="F223" t="inlineStr">
        <is>
          <t>HALLANDS LÄN</t>
        </is>
      </c>
      <c r="G223" t="inlineStr">
        <is>
          <t>HALMSTAD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54869-2022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44885</v>
      </c>
      <c r="E224" s="1" t="n">
        <v>46316</v>
      </c>
      <c r="F224" t="inlineStr">
        <is>
          <t>HALLANDS LÄN</t>
        </is>
      </c>
      <c r="G224" t="inlineStr">
        <is>
          <t>HALMSTAD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44952</v>
      </c>
      <c r="E225" s="1" t="n">
        <v>46316</v>
      </c>
      <c r="F225" t="inlineStr">
        <is>
          <t>HALLANDS LÄN</t>
        </is>
      </c>
      <c r="G225" t="inlineStr">
        <is>
          <t>HALMSTAD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27365-2022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44742</v>
      </c>
      <c r="E226" s="1" t="n">
        <v>46316</v>
      </c>
      <c r="F226" t="inlineStr">
        <is>
          <t>HALLANDS LÄN</t>
        </is>
      </c>
      <c r="G226" t="inlineStr">
        <is>
          <t>HALMSTAD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56028-2023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45240</v>
      </c>
      <c r="E227" s="1" t="n">
        <v>46316</v>
      </c>
      <c r="F227" t="inlineStr">
        <is>
          <t>HALLANDS LÄN</t>
        </is>
      </c>
      <c r="G227" t="inlineStr">
        <is>
          <t>HALMSTAD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63608-2023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45275</v>
      </c>
      <c r="E228" s="1" t="n">
        <v>46316</v>
      </c>
      <c r="F228" t="inlineStr">
        <is>
          <t>HALLANDS LÄN</t>
        </is>
      </c>
      <c r="G228" t="inlineStr">
        <is>
          <t>HALMSTAD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10263-2022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44622</v>
      </c>
      <c r="E229" s="1" t="n">
        <v>46316</v>
      </c>
      <c r="F229" t="inlineStr">
        <is>
          <t>HALLANDS LÄN</t>
        </is>
      </c>
      <c r="G229" t="inlineStr">
        <is>
          <t>HALMSTAD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17580-2026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46121</v>
      </c>
      <c r="E230" s="1" t="n">
        <v>46316</v>
      </c>
      <c r="F230" t="inlineStr">
        <is>
          <t>HALLANDS LÄN</t>
        </is>
      </c>
      <c r="G230" t="inlineStr">
        <is>
          <t>HALMSTAD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46121</v>
      </c>
      <c r="E231" s="1" t="n">
        <v>46316</v>
      </c>
      <c r="F231" t="inlineStr">
        <is>
          <t>HALLANDS LÄN</t>
        </is>
      </c>
      <c r="G231" t="inlineStr">
        <is>
          <t>HALMSTAD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17641-2026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46121</v>
      </c>
      <c r="E232" s="1" t="n">
        <v>46316</v>
      </c>
      <c r="F232" t="inlineStr">
        <is>
          <t>HALLANDS LÄN</t>
        </is>
      </c>
      <c r="G232" t="inlineStr">
        <is>
          <t>HALMSTAD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59913-2023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46316</v>
      </c>
      <c r="F233" t="inlineStr">
        <is>
          <t>HALLANDS LÄN</t>
        </is>
      </c>
      <c r="G233" t="inlineStr">
        <is>
          <t>HALMSTAD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46128</v>
      </c>
      <c r="E234" s="1" t="n">
        <v>46316</v>
      </c>
      <c r="F234" t="inlineStr">
        <is>
          <t>HALLANDS LÄN</t>
        </is>
      </c>
      <c r="G234" t="inlineStr">
        <is>
          <t>HALMSTAD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33688-2025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46316</v>
      </c>
      <c r="F235" t="inlineStr">
        <is>
          <t>HALLANDS LÄN</t>
        </is>
      </c>
      <c r="G235" t="inlineStr">
        <is>
          <t>HALMSTAD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33686-2025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46316</v>
      </c>
      <c r="F236" t="inlineStr">
        <is>
          <t>HALLANDS LÄN</t>
        </is>
      </c>
      <c r="G236" t="inlineStr">
        <is>
          <t>HALMSTAD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29996-2024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45488</v>
      </c>
      <c r="E237" s="1" t="n">
        <v>46316</v>
      </c>
      <c r="F237" t="inlineStr">
        <is>
          <t>HALLANDS LÄN</t>
        </is>
      </c>
      <c r="G237" t="inlineStr">
        <is>
          <t>HALMSTAD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41951-2022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44830</v>
      </c>
      <c r="E238" s="1" t="n">
        <v>46316</v>
      </c>
      <c r="F238" t="inlineStr">
        <is>
          <t>HALLANDS LÄN</t>
        </is>
      </c>
      <c r="G238" t="inlineStr">
        <is>
          <t>HALMSTAD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45415</v>
      </c>
      <c r="E239" s="1" t="n">
        <v>46316</v>
      </c>
      <c r="F239" t="inlineStr">
        <is>
          <t>HALLANDS LÄN</t>
        </is>
      </c>
      <c r="G239" t="inlineStr">
        <is>
          <t>HALMSTAD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57922-2025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45981</v>
      </c>
      <c r="E240" s="1" t="n">
        <v>46316</v>
      </c>
      <c r="F240" t="inlineStr">
        <is>
          <t>HALLANDS LÄN</t>
        </is>
      </c>
      <c r="G240" t="inlineStr">
        <is>
          <t>HALMSTAD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45660</v>
      </c>
      <c r="E241" s="1" t="n">
        <v>46316</v>
      </c>
      <c r="F241" t="inlineStr">
        <is>
          <t>HALLANDS LÄN</t>
        </is>
      </c>
      <c r="G241" t="inlineStr">
        <is>
          <t>HALMSTAD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46316</v>
      </c>
      <c r="F242" t="inlineStr">
        <is>
          <t>HALLANDS LÄN</t>
        </is>
      </c>
      <c r="G242" t="inlineStr">
        <is>
          <t>HALMSTAD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8211-2025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45708</v>
      </c>
      <c r="E243" s="1" t="n">
        <v>46316</v>
      </c>
      <c r="F243" t="inlineStr">
        <is>
          <t>HALLANDS LÄN</t>
        </is>
      </c>
      <c r="G243" t="inlineStr">
        <is>
          <t>HALMSTAD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23785-2025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45793</v>
      </c>
      <c r="E244" s="1" t="n">
        <v>46316</v>
      </c>
      <c r="F244" t="inlineStr">
        <is>
          <t>HALLANDS LÄN</t>
        </is>
      </c>
      <c r="G244" t="inlineStr">
        <is>
          <t>HALMSTAD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45846</v>
      </c>
      <c r="E245" s="1" t="n">
        <v>46316</v>
      </c>
      <c r="F245" t="inlineStr">
        <is>
          <t>HALLANDS LÄN</t>
        </is>
      </c>
      <c r="G245" t="inlineStr">
        <is>
          <t>HALMSTAD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35376-2024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45531</v>
      </c>
      <c r="E246" s="1" t="n">
        <v>46316</v>
      </c>
      <c r="F246" t="inlineStr">
        <is>
          <t>HALLANDS LÄN</t>
        </is>
      </c>
      <c r="G246" t="inlineStr">
        <is>
          <t>HALMSTAD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29865-2025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45826</v>
      </c>
      <c r="E247" s="1" t="n">
        <v>46316</v>
      </c>
      <c r="F247" t="inlineStr">
        <is>
          <t>HALLANDS LÄN</t>
        </is>
      </c>
      <c r="G247" t="inlineStr">
        <is>
          <t>HALMSTAD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45681</v>
      </c>
      <c r="E248" s="1" t="n">
        <v>46316</v>
      </c>
      <c r="F248" t="inlineStr">
        <is>
          <t>HALLANDS LÄN</t>
        </is>
      </c>
      <c r="G248" t="inlineStr">
        <is>
          <t>HALMSTAD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58737-2023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45251</v>
      </c>
      <c r="E249" s="1" t="n">
        <v>46316</v>
      </c>
      <c r="F249" t="inlineStr">
        <is>
          <t>HALLANDS LÄN</t>
        </is>
      </c>
      <c r="G249" t="inlineStr">
        <is>
          <t>HALMSTAD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46316</v>
      </c>
      <c r="F250" t="inlineStr">
        <is>
          <t>HALLANDS LÄN</t>
        </is>
      </c>
      <c r="G250" t="inlineStr">
        <is>
          <t>HALMSTAD</t>
        </is>
      </c>
      <c r="H250" t="inlineStr">
        <is>
          <t>Kommuner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45681</v>
      </c>
      <c r="E251" s="1" t="n">
        <v>46316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4073-2024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45323</v>
      </c>
      <c r="E252" s="1" t="n">
        <v>46316</v>
      </c>
      <c r="F252" t="inlineStr">
        <is>
          <t>HALLANDS LÄN</t>
        </is>
      </c>
      <c r="G252" t="inlineStr">
        <is>
          <t>HALMSTAD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35362-2025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45854</v>
      </c>
      <c r="E253" s="1" t="n">
        <v>46316</v>
      </c>
      <c r="F253" t="inlineStr">
        <is>
          <t>HALLANDS LÄN</t>
        </is>
      </c>
      <c r="G253" t="inlineStr">
        <is>
          <t>HALMSTAD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35515-2025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45856</v>
      </c>
      <c r="E254" s="1" t="n">
        <v>46316</v>
      </c>
      <c r="F254" t="inlineStr">
        <is>
          <t>HALLANDS LÄN</t>
        </is>
      </c>
      <c r="G254" t="inlineStr">
        <is>
          <t>HALMSTAD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45692</v>
      </c>
      <c r="E255" s="1" t="n">
        <v>46316</v>
      </c>
      <c r="F255" t="inlineStr">
        <is>
          <t>HALLANDS LÄN</t>
        </is>
      </c>
      <c r="G255" t="inlineStr">
        <is>
          <t>HALMSTAD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15550-2024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45401</v>
      </c>
      <c r="E256" s="1" t="n">
        <v>46316</v>
      </c>
      <c r="F256" t="inlineStr">
        <is>
          <t>HALLANDS LÄN</t>
        </is>
      </c>
      <c r="G256" t="inlineStr">
        <is>
          <t>HALMSTAD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45750</v>
      </c>
      <c r="E257" s="1" t="n">
        <v>46316</v>
      </c>
      <c r="F257" t="inlineStr">
        <is>
          <t>HALLANDS LÄN</t>
        </is>
      </c>
      <c r="G257" t="inlineStr">
        <is>
          <t>HALMSTAD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59766-2023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45257</v>
      </c>
      <c r="E258" s="1" t="n">
        <v>46316</v>
      </c>
      <c r="F258" t="inlineStr">
        <is>
          <t>HALLANDS LÄN</t>
        </is>
      </c>
      <c r="G258" t="inlineStr">
        <is>
          <t>HALMSTAD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45741</v>
      </c>
      <c r="E259" s="1" t="n">
        <v>46316</v>
      </c>
      <c r="F259" t="inlineStr">
        <is>
          <t>HALLANDS LÄN</t>
        </is>
      </c>
      <c r="G259" t="inlineStr">
        <is>
          <t>HALMSTAD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45408</v>
      </c>
      <c r="E260" s="1" t="n">
        <v>46316</v>
      </c>
      <c r="F260" t="inlineStr">
        <is>
          <t>HALLANDS LÄN</t>
        </is>
      </c>
      <c r="G260" t="inlineStr">
        <is>
          <t>HALMSTAD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45356</v>
      </c>
      <c r="E261" s="1" t="n">
        <v>46316</v>
      </c>
      <c r="F261" t="inlineStr">
        <is>
          <t>HALLANDS LÄN</t>
        </is>
      </c>
      <c r="G261" t="inlineStr">
        <is>
          <t>HALMSTAD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45316</v>
      </c>
      <c r="E262" s="1" t="n">
        <v>46316</v>
      </c>
      <c r="F262" t="inlineStr">
        <is>
          <t>HALLANDS LÄN</t>
        </is>
      </c>
      <c r="G262" t="inlineStr">
        <is>
          <t>HALMSTAD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50113-2023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45215</v>
      </c>
      <c r="E263" s="1" t="n">
        <v>46316</v>
      </c>
      <c r="F263" t="inlineStr">
        <is>
          <t>HALLANDS LÄN</t>
        </is>
      </c>
      <c r="G263" t="inlineStr">
        <is>
          <t>HALMSTAD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30692-2025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46316</v>
      </c>
      <c r="F264" t="inlineStr">
        <is>
          <t>HALLANDS LÄN</t>
        </is>
      </c>
      <c r="G264" t="inlineStr">
        <is>
          <t>HALMSTAD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48022-2024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45589</v>
      </c>
      <c r="E265" s="1" t="n">
        <v>46316</v>
      </c>
      <c r="F265" t="inlineStr">
        <is>
          <t>HALLANDS LÄN</t>
        </is>
      </c>
      <c r="G265" t="inlineStr">
        <is>
          <t>HALMSTAD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40652-2023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46316</v>
      </c>
      <c r="F266" t="inlineStr">
        <is>
          <t>HALLANDS LÄN</t>
        </is>
      </c>
      <c r="G266" t="inlineStr">
        <is>
          <t>HALMSTAD</t>
        </is>
      </c>
      <c r="H266" t="inlineStr">
        <is>
          <t>Kommuner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40741-2023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45170</v>
      </c>
      <c r="E267" s="1" t="n">
        <v>46316</v>
      </c>
      <c r="F267" t="inlineStr">
        <is>
          <t>HALLANDS LÄN</t>
        </is>
      </c>
      <c r="G267" t="inlineStr">
        <is>
          <t>HALMSTAD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30599-2024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45493</v>
      </c>
      <c r="E268" s="1" t="n">
        <v>46316</v>
      </c>
      <c r="F268" t="inlineStr">
        <is>
          <t>HALLANDS LÄN</t>
        </is>
      </c>
      <c r="G268" t="inlineStr">
        <is>
          <t>HALMSTAD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45729</v>
      </c>
      <c r="E269" s="1" t="n">
        <v>46316</v>
      </c>
      <c r="F269" t="inlineStr">
        <is>
          <t>HALLANDS LÄN</t>
        </is>
      </c>
      <c r="G269" t="inlineStr">
        <is>
          <t>HALMSTAD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40846-2023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45172</v>
      </c>
      <c r="E270" s="1" t="n">
        <v>46316</v>
      </c>
      <c r="F270" t="inlineStr">
        <is>
          <t>HALLANDS LÄN</t>
        </is>
      </c>
      <c r="G270" t="inlineStr">
        <is>
          <t>HALMSTAD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61775-2022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44917</v>
      </c>
      <c r="E271" s="1" t="n">
        <v>46316</v>
      </c>
      <c r="F271" t="inlineStr">
        <is>
          <t>HALLANDS LÄN</t>
        </is>
      </c>
      <c r="G271" t="inlineStr">
        <is>
          <t>HALMSTAD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61783-2022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46316</v>
      </c>
      <c r="F272" t="inlineStr">
        <is>
          <t>HALLANDS LÄN</t>
        </is>
      </c>
      <c r="G272" t="inlineStr">
        <is>
          <t>HALMSTAD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24087-2023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45079</v>
      </c>
      <c r="E273" s="1" t="n">
        <v>46316</v>
      </c>
      <c r="F273" t="inlineStr">
        <is>
          <t>HALLANDS LÄN</t>
        </is>
      </c>
      <c r="G273" t="inlineStr">
        <is>
          <t>HALMSTAD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12717-2023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45000</v>
      </c>
      <c r="E274" s="1" t="n">
        <v>46316</v>
      </c>
      <c r="F274" t="inlineStr">
        <is>
          <t>HALLANDS LÄN</t>
        </is>
      </c>
      <c r="G274" t="inlineStr">
        <is>
          <t>HALMSTAD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61778-2022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46316</v>
      </c>
      <c r="F275" t="inlineStr">
        <is>
          <t>HALLANDS LÄN</t>
        </is>
      </c>
      <c r="G275" t="inlineStr">
        <is>
          <t>HALMSTAD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45736</v>
      </c>
      <c r="E276" s="1" t="n">
        <v>46316</v>
      </c>
      <c r="F276" t="inlineStr">
        <is>
          <t>HALLANDS LÄN</t>
        </is>
      </c>
      <c r="G276" t="inlineStr">
        <is>
          <t>HALMSTAD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53126-2023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45229</v>
      </c>
      <c r="E277" s="1" t="n">
        <v>46316</v>
      </c>
      <c r="F277" t="inlineStr">
        <is>
          <t>HALLANDS LÄN</t>
        </is>
      </c>
      <c r="G277" t="inlineStr">
        <is>
          <t>HALMSTAD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53539-2022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44879</v>
      </c>
      <c r="E278" s="1" t="n">
        <v>46316</v>
      </c>
      <c r="F278" t="inlineStr">
        <is>
          <t>HALLANDS LÄN</t>
        </is>
      </c>
      <c r="G278" t="inlineStr">
        <is>
          <t>HALMSTAD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53550-2022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44879</v>
      </c>
      <c r="E279" s="1" t="n">
        <v>46316</v>
      </c>
      <c r="F279" t="inlineStr">
        <is>
          <t>HALLANDS LÄN</t>
        </is>
      </c>
      <c r="G279" t="inlineStr">
        <is>
          <t>HALMSTAD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26049-2023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45091</v>
      </c>
      <c r="E280" s="1" t="n">
        <v>46316</v>
      </c>
      <c r="F280" t="inlineStr">
        <is>
          <t>HALLANDS LÄN</t>
        </is>
      </c>
      <c r="G280" t="inlineStr">
        <is>
          <t>HALMSTAD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61779-2022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46316</v>
      </c>
      <c r="F281" t="inlineStr">
        <is>
          <t>HALLANDS LÄN</t>
        </is>
      </c>
      <c r="G281" t="inlineStr">
        <is>
          <t>HALMSTAD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46295-2024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45581</v>
      </c>
      <c r="E282" s="1" t="n">
        <v>46316</v>
      </c>
      <c r="F282" t="inlineStr">
        <is>
          <t>HALLANDS LÄN</t>
        </is>
      </c>
      <c r="G282" t="inlineStr">
        <is>
          <t>HALMSTAD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24375-2023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45082</v>
      </c>
      <c r="E283" s="1" t="n">
        <v>46316</v>
      </c>
      <c r="F283" t="inlineStr">
        <is>
          <t>HALLANDS LÄN</t>
        </is>
      </c>
      <c r="G283" t="inlineStr">
        <is>
          <t>HALMSTAD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12762-2023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45001</v>
      </c>
      <c r="E284" s="1" t="n">
        <v>46316</v>
      </c>
      <c r="F284" t="inlineStr">
        <is>
          <t>HALLANDS LÄN</t>
        </is>
      </c>
      <c r="G284" t="inlineStr">
        <is>
          <t>HALMSTAD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2647-2022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44580</v>
      </c>
      <c r="E285" s="1" t="n">
        <v>46316</v>
      </c>
      <c r="F285" t="inlineStr">
        <is>
          <t>HALLANDS LÄN</t>
        </is>
      </c>
      <c r="G285" t="inlineStr">
        <is>
          <t>HALMSTAD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39274-2022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44817</v>
      </c>
      <c r="E286" s="1" t="n">
        <v>46316</v>
      </c>
      <c r="F286" t="inlineStr">
        <is>
          <t>HALLANDS LÄN</t>
        </is>
      </c>
      <c r="G286" t="inlineStr">
        <is>
          <t>HALMSTAD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2438-2024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45311</v>
      </c>
      <c r="E287" s="1" t="n">
        <v>46316</v>
      </c>
      <c r="F287" t="inlineStr">
        <is>
          <t>HALLANDS LÄN</t>
        </is>
      </c>
      <c r="G287" t="inlineStr">
        <is>
          <t>HALMSTAD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46316</v>
      </c>
      <c r="F288" t="inlineStr">
        <is>
          <t>HALLANDS LÄN</t>
        </is>
      </c>
      <c r="G288" t="inlineStr">
        <is>
          <t>HALMSTAD</t>
        </is>
      </c>
      <c r="I288" t="n">
        <v>12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60442-2024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45642</v>
      </c>
      <c r="E289" s="1" t="n">
        <v>46316</v>
      </c>
      <c r="F289" t="inlineStr">
        <is>
          <t>HALLANDS LÄN</t>
        </is>
      </c>
      <c r="G289" t="inlineStr">
        <is>
          <t>HALMSTAD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45692</v>
      </c>
      <c r="E290" s="1" t="n">
        <v>46316</v>
      </c>
      <c r="F290" t="inlineStr">
        <is>
          <t>HALLANDS LÄN</t>
        </is>
      </c>
      <c r="G290" t="inlineStr">
        <is>
          <t>HALMSTAD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13532-2023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46316</v>
      </c>
      <c r="F291" t="inlineStr">
        <is>
          <t>HALLANDS LÄN</t>
        </is>
      </c>
      <c r="G291" t="inlineStr">
        <is>
          <t>HALMSTAD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63823-2023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45278</v>
      </c>
      <c r="E292" s="1" t="n">
        <v>46316</v>
      </c>
      <c r="F292" t="inlineStr">
        <is>
          <t>HALLANDS LÄN</t>
        </is>
      </c>
      <c r="G292" t="inlineStr">
        <is>
          <t>HALMSTAD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53109-2024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45611</v>
      </c>
      <c r="E293" s="1" t="n">
        <v>46316</v>
      </c>
      <c r="F293" t="inlineStr">
        <is>
          <t>HALLANDS LÄN</t>
        </is>
      </c>
      <c r="G293" t="inlineStr">
        <is>
          <t>HALMSTAD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37748-2023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45159</v>
      </c>
      <c r="E294" s="1" t="n">
        <v>46316</v>
      </c>
      <c r="F294" t="inlineStr">
        <is>
          <t>HALLANDS LÄN</t>
        </is>
      </c>
      <c r="G294" t="inlineStr">
        <is>
          <t>HALMSTAD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15545-2022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44662</v>
      </c>
      <c r="E295" s="1" t="n">
        <v>46316</v>
      </c>
      <c r="F295" t="inlineStr">
        <is>
          <t>HALLANDS LÄN</t>
        </is>
      </c>
      <c r="G295" t="inlineStr">
        <is>
          <t>HALMSTAD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10061-2022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44621</v>
      </c>
      <c r="E296" s="1" t="n">
        <v>46316</v>
      </c>
      <c r="F296" t="inlineStr">
        <is>
          <t>HALLANDS LÄN</t>
        </is>
      </c>
      <c r="G296" t="inlineStr">
        <is>
          <t>HALMSTAD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28069-2023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45099</v>
      </c>
      <c r="E297" s="1" t="n">
        <v>46316</v>
      </c>
      <c r="F297" t="inlineStr">
        <is>
          <t>HALLANDS LÄN</t>
        </is>
      </c>
      <c r="G297" t="inlineStr">
        <is>
          <t>HALMSTAD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46316</v>
      </c>
      <c r="F298" t="inlineStr">
        <is>
          <t>HALLANDS LÄN</t>
        </is>
      </c>
      <c r="G298" t="inlineStr">
        <is>
          <t>HALMSTAD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45357</v>
      </c>
      <c r="E299" s="1" t="n">
        <v>46316</v>
      </c>
      <c r="F299" t="inlineStr">
        <is>
          <t>HALLANDS LÄN</t>
        </is>
      </c>
      <c r="G299" t="inlineStr">
        <is>
          <t>HALMSTAD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24266-2025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45797</v>
      </c>
      <c r="E300" s="1" t="n">
        <v>46316</v>
      </c>
      <c r="F300" t="inlineStr">
        <is>
          <t>HALLANDS LÄN</t>
        </is>
      </c>
      <c r="G300" t="inlineStr">
        <is>
          <t>HALMSTAD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20414-2022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44699</v>
      </c>
      <c r="E301" s="1" t="n">
        <v>46316</v>
      </c>
      <c r="F301" t="inlineStr">
        <is>
          <t>HALLANDS LÄN</t>
        </is>
      </c>
      <c r="G301" t="inlineStr">
        <is>
          <t>HALMSTAD</t>
        </is>
      </c>
      <c r="H301" t="inlineStr">
        <is>
          <t>Kommuner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21869-2023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45068</v>
      </c>
      <c r="E302" s="1" t="n">
        <v>46316</v>
      </c>
      <c r="F302" t="inlineStr">
        <is>
          <t>HALLANDS LÄN</t>
        </is>
      </c>
      <c r="G302" t="inlineStr">
        <is>
          <t>HALMSTAD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22070-2022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44711</v>
      </c>
      <c r="E303" s="1" t="n">
        <v>46316</v>
      </c>
      <c r="F303" t="inlineStr">
        <is>
          <t>HALLANDS LÄN</t>
        </is>
      </c>
      <c r="G303" t="inlineStr">
        <is>
          <t>HALMSTAD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46316-2024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45581</v>
      </c>
      <c r="E304" s="1" t="n">
        <v>46316</v>
      </c>
      <c r="F304" t="inlineStr">
        <is>
          <t>HALLANDS LÄN</t>
        </is>
      </c>
      <c r="G304" t="inlineStr">
        <is>
          <t>HALMSTAD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45836-2024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45579</v>
      </c>
      <c r="E305" s="1" t="n">
        <v>46316</v>
      </c>
      <c r="F305" t="inlineStr">
        <is>
          <t>HALLANDS LÄN</t>
        </is>
      </c>
      <c r="G305" t="inlineStr">
        <is>
          <t>HALMSTAD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45299</v>
      </c>
      <c r="E306" s="1" t="n">
        <v>46316</v>
      </c>
      <c r="F306" t="inlineStr">
        <is>
          <t>HALLANDS LÄN</t>
        </is>
      </c>
      <c r="G306" t="inlineStr">
        <is>
          <t>HALMSTAD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45874</v>
      </c>
      <c r="E307" s="1" t="n">
        <v>46316</v>
      </c>
      <c r="F307" t="inlineStr">
        <is>
          <t>HALLANDS LÄN</t>
        </is>
      </c>
      <c r="G307" t="inlineStr">
        <is>
          <t>HALMSTAD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45259</v>
      </c>
      <c r="E308" s="1" t="n">
        <v>46316</v>
      </c>
      <c r="F308" t="inlineStr">
        <is>
          <t>HALLANDS LÄN</t>
        </is>
      </c>
      <c r="G308" t="inlineStr">
        <is>
          <t>HALMSTAD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37136-2025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45874</v>
      </c>
      <c r="E309" s="1" t="n">
        <v>46316</v>
      </c>
      <c r="F309" t="inlineStr">
        <is>
          <t>HALLANDS LÄN</t>
        </is>
      </c>
      <c r="G309" t="inlineStr">
        <is>
          <t>HALMSTAD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45874</v>
      </c>
      <c r="E310" s="1" t="n">
        <v>46316</v>
      </c>
      <c r="F310" t="inlineStr">
        <is>
          <t>HALLANDS LÄN</t>
        </is>
      </c>
      <c r="G310" t="inlineStr">
        <is>
          <t>HALMSTAD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29993-2024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45488</v>
      </c>
      <c r="E311" s="1" t="n">
        <v>46316</v>
      </c>
      <c r="F311" t="inlineStr">
        <is>
          <t>HALLANDS LÄN</t>
        </is>
      </c>
      <c r="G311" t="inlineStr">
        <is>
          <t>HALMSTAD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37270-2025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45876</v>
      </c>
      <c r="E312" s="1" t="n">
        <v>46316</v>
      </c>
      <c r="F312" t="inlineStr">
        <is>
          <t>HALLANDS LÄN</t>
        </is>
      </c>
      <c r="G312" t="inlineStr">
        <is>
          <t>HALMSTAD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5886-2024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45335</v>
      </c>
      <c r="E313" s="1" t="n">
        <v>46316</v>
      </c>
      <c r="F313" t="inlineStr">
        <is>
          <t>HALLANDS LÄN</t>
        </is>
      </c>
      <c r="G313" t="inlineStr">
        <is>
          <t>HALMSTAD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45880</v>
      </c>
      <c r="E314" s="1" t="n">
        <v>46316</v>
      </c>
      <c r="F314" t="inlineStr">
        <is>
          <t>HALLANDS LÄN</t>
        </is>
      </c>
      <c r="G314" t="inlineStr">
        <is>
          <t>HALMSTAD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64231-2023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45279</v>
      </c>
      <c r="E315" s="1" t="n">
        <v>46316</v>
      </c>
      <c r="F315" t="inlineStr">
        <is>
          <t>HALLANDS LÄN</t>
        </is>
      </c>
      <c r="G315" t="inlineStr">
        <is>
          <t>HALMSTAD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45562</v>
      </c>
      <c r="E316" s="1" t="n">
        <v>46316</v>
      </c>
      <c r="F316" t="inlineStr">
        <is>
          <t>HALLANDS LÄN</t>
        </is>
      </c>
      <c r="G316" t="inlineStr">
        <is>
          <t>HALMSTAD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42204-2024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45562</v>
      </c>
      <c r="E317" s="1" t="n">
        <v>46316</v>
      </c>
      <c r="F317" t="inlineStr">
        <is>
          <t>HALLANDS LÄN</t>
        </is>
      </c>
      <c r="G317" t="inlineStr">
        <is>
          <t>HALMSTAD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39746-2023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45167</v>
      </c>
      <c r="E318" s="1" t="n">
        <v>46316</v>
      </c>
      <c r="F318" t="inlineStr">
        <is>
          <t>HALLANDS LÄN</t>
        </is>
      </c>
      <c r="G318" t="inlineStr">
        <is>
          <t>HALMSTAD</t>
        </is>
      </c>
      <c r="H318" t="inlineStr">
        <is>
          <t>Kommuner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58980-2024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45636</v>
      </c>
      <c r="E319" s="1" t="n">
        <v>46316</v>
      </c>
      <c r="F319" t="inlineStr">
        <is>
          <t>HALLANDS LÄN</t>
        </is>
      </c>
      <c r="G319" t="inlineStr">
        <is>
          <t>HALMSTAD</t>
        </is>
      </c>
      <c r="H319" t="inlineStr">
        <is>
          <t>Kommuner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58983-2024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45636</v>
      </c>
      <c r="E320" s="1" t="n">
        <v>46316</v>
      </c>
      <c r="F320" t="inlineStr">
        <is>
          <t>HALLANDS LÄN</t>
        </is>
      </c>
      <c r="G320" t="inlineStr">
        <is>
          <t>HALMSTAD</t>
        </is>
      </c>
      <c r="H320" t="inlineStr">
        <is>
          <t>Kommuner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45769</v>
      </c>
      <c r="E321" s="1" t="n">
        <v>46316</v>
      </c>
      <c r="F321" t="inlineStr">
        <is>
          <t>HALLANDS LÄN</t>
        </is>
      </c>
      <c r="G321" t="inlineStr">
        <is>
          <t>HALMSTAD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38467-2025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45883</v>
      </c>
      <c r="E322" s="1" t="n">
        <v>46316</v>
      </c>
      <c r="F322" t="inlineStr">
        <is>
          <t>HALLANDS LÄN</t>
        </is>
      </c>
      <c r="G322" t="inlineStr">
        <is>
          <t>HALMSTAD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45555</v>
      </c>
      <c r="E323" s="1" t="n">
        <v>46316</v>
      </c>
      <c r="F323" t="inlineStr">
        <is>
          <t>HALLANDS LÄN</t>
        </is>
      </c>
      <c r="G323" t="inlineStr">
        <is>
          <t>HALMSTAD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22181-2026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46316</v>
      </c>
      <c r="F324" t="inlineStr">
        <is>
          <t>HALLANDS LÄN</t>
        </is>
      </c>
      <c r="G324" t="inlineStr">
        <is>
          <t>HALMSTAD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43269-2023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45183</v>
      </c>
      <c r="E325" s="1" t="n">
        <v>46316</v>
      </c>
      <c r="F325" t="inlineStr">
        <is>
          <t>HALLANDS LÄN</t>
        </is>
      </c>
      <c r="G325" t="inlineStr">
        <is>
          <t>HALMSTAD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15198-2026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46316</v>
      </c>
      <c r="F326" t="inlineStr">
        <is>
          <t>HALLANDS LÄN</t>
        </is>
      </c>
      <c r="G326" t="inlineStr">
        <is>
          <t>HALMSTAD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64136-2023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45279</v>
      </c>
      <c r="E327" s="1" t="n">
        <v>46316</v>
      </c>
      <c r="F327" t="inlineStr">
        <is>
          <t>HALLANDS LÄN</t>
        </is>
      </c>
      <c r="G327" t="inlineStr">
        <is>
          <t>HALMSTAD</t>
        </is>
      </c>
      <c r="H327" t="inlineStr">
        <is>
          <t>Bergvik skog väst AB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40561-2023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45168</v>
      </c>
      <c r="E328" s="1" t="n">
        <v>46316</v>
      </c>
      <c r="F328" t="inlineStr">
        <is>
          <t>HALLANDS LÄN</t>
        </is>
      </c>
      <c r="G328" t="inlineStr">
        <is>
          <t>HALMSTAD</t>
        </is>
      </c>
      <c r="H328" t="inlineStr">
        <is>
          <t>Kommuner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62766-2023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45268</v>
      </c>
      <c r="E329" s="1" t="n">
        <v>46316</v>
      </c>
      <c r="F329" t="inlineStr">
        <is>
          <t>HALLANDS LÄN</t>
        </is>
      </c>
      <c r="G329" t="inlineStr">
        <is>
          <t>HALMSTAD</t>
        </is>
      </c>
      <c r="H329" t="inlineStr">
        <is>
          <t>Sveaskog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48859-2023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45209</v>
      </c>
      <c r="E330" s="1" t="n">
        <v>46316</v>
      </c>
      <c r="F330" t="inlineStr">
        <is>
          <t>HALLANDS LÄN</t>
        </is>
      </c>
      <c r="G330" t="inlineStr">
        <is>
          <t>HALMSTAD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45897</v>
      </c>
      <c r="E331" s="1" t="n">
        <v>46316</v>
      </c>
      <c r="F331" t="inlineStr">
        <is>
          <t>HALLANDS LÄN</t>
        </is>
      </c>
      <c r="G331" t="inlineStr">
        <is>
          <t>HALMSTAD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19572-2023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45050</v>
      </c>
      <c r="E332" s="1" t="n">
        <v>46316</v>
      </c>
      <c r="F332" t="inlineStr">
        <is>
          <t>HALLANDS LÄN</t>
        </is>
      </c>
      <c r="G332" t="inlineStr">
        <is>
          <t>HALMSTAD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4869-2024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45329</v>
      </c>
      <c r="E333" s="1" t="n">
        <v>46316</v>
      </c>
      <c r="F333" t="inlineStr">
        <is>
          <t>HALLANDS LÄN</t>
        </is>
      </c>
      <c r="G333" t="inlineStr">
        <is>
          <t>HALMSTAD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23299-2026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46316</v>
      </c>
      <c r="F334" t="inlineStr">
        <is>
          <t>HALLANDS LÄN</t>
        </is>
      </c>
      <c r="G334" t="inlineStr">
        <is>
          <t>HALMSTAD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23315-2026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46162</v>
      </c>
      <c r="E335" s="1" t="n">
        <v>46316</v>
      </c>
      <c r="F335" t="inlineStr">
        <is>
          <t>HALLANDS LÄN</t>
        </is>
      </c>
      <c r="G335" t="inlineStr">
        <is>
          <t>HALMSTAD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46316</v>
      </c>
      <c r="F336" t="inlineStr">
        <is>
          <t>HALLANDS LÄN</t>
        </is>
      </c>
      <c r="G336" t="inlineStr">
        <is>
          <t>HALMSTAD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46316</v>
      </c>
      <c r="F337" t="inlineStr">
        <is>
          <t>HALLANDS LÄN</t>
        </is>
      </c>
      <c r="G337" t="inlineStr">
        <is>
          <t>HALMSTAD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23878-2026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46167</v>
      </c>
      <c r="E338" s="1" t="n">
        <v>46316</v>
      </c>
      <c r="F338" t="inlineStr">
        <is>
          <t>HALLANDS LÄN</t>
        </is>
      </c>
      <c r="G338" t="inlineStr">
        <is>
          <t>HALMSTAD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23883-2026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46167</v>
      </c>
      <c r="E339" s="1" t="n">
        <v>46316</v>
      </c>
      <c r="F339" t="inlineStr">
        <is>
          <t>HALLANDS LÄN</t>
        </is>
      </c>
      <c r="G339" t="inlineStr">
        <is>
          <t>HALMSTAD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22146-2022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44712</v>
      </c>
      <c r="E340" s="1" t="n">
        <v>46316</v>
      </c>
      <c r="F340" t="inlineStr">
        <is>
          <t>HALLANDS LÄN</t>
        </is>
      </c>
      <c r="G340" t="inlineStr">
        <is>
          <t>HALMSTAD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23888-2026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46167</v>
      </c>
      <c r="E341" s="1" t="n">
        <v>46316</v>
      </c>
      <c r="F341" t="inlineStr">
        <is>
          <t>HALLANDS LÄN</t>
        </is>
      </c>
      <c r="G341" t="inlineStr">
        <is>
          <t>HALMSTAD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23892-2026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46167</v>
      </c>
      <c r="E342" s="1" t="n">
        <v>46316</v>
      </c>
      <c r="F342" t="inlineStr">
        <is>
          <t>HALLANDS LÄN</t>
        </is>
      </c>
      <c r="G342" t="inlineStr">
        <is>
          <t>HALMSTAD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46168</v>
      </c>
      <c r="E343" s="1" t="n">
        <v>46316</v>
      </c>
      <c r="F343" t="inlineStr">
        <is>
          <t>HALLANDS LÄN</t>
        </is>
      </c>
      <c r="G343" t="inlineStr">
        <is>
          <t>HALMSTAD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61663-2023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45264</v>
      </c>
      <c r="E344" s="1" t="n">
        <v>46316</v>
      </c>
      <c r="F344" t="inlineStr">
        <is>
          <t>HALLANDS LÄN</t>
        </is>
      </c>
      <c r="G344" t="inlineStr">
        <is>
          <t>HALMSTAD</t>
        </is>
      </c>
      <c r="H344" t="inlineStr">
        <is>
          <t>Bergvik skog väst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60139-2023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45258</v>
      </c>
      <c r="E345" s="1" t="n">
        <v>46316</v>
      </c>
      <c r="F345" t="inlineStr">
        <is>
          <t>HALLANDS LÄN</t>
        </is>
      </c>
      <c r="G345" t="inlineStr">
        <is>
          <t>HALMSTAD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11091-2022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44628</v>
      </c>
      <c r="E346" s="1" t="n">
        <v>46316</v>
      </c>
      <c r="F346" t="inlineStr">
        <is>
          <t>HALLANDS LÄN</t>
        </is>
      </c>
      <c r="G346" t="inlineStr">
        <is>
          <t>HALMSTAD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53873-2022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44880</v>
      </c>
      <c r="E347" s="1" t="n">
        <v>46316</v>
      </c>
      <c r="F347" t="inlineStr">
        <is>
          <t>HALLANDS LÄN</t>
        </is>
      </c>
      <c r="G347" t="inlineStr">
        <is>
          <t>HALMSTAD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59254-2022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44897</v>
      </c>
      <c r="E348" s="1" t="n">
        <v>46316</v>
      </c>
      <c r="F348" t="inlineStr">
        <is>
          <t>HALLANDS LÄN</t>
        </is>
      </c>
      <c r="G348" t="inlineStr">
        <is>
          <t>HALMSTAD</t>
        </is>
      </c>
      <c r="H348" t="inlineStr">
        <is>
          <t>Bergvik skog väst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24818-2026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46173</v>
      </c>
      <c r="E349" s="1" t="n">
        <v>46316</v>
      </c>
      <c r="F349" t="inlineStr">
        <is>
          <t>HALLANDS LÄN</t>
        </is>
      </c>
      <c r="G349" t="inlineStr">
        <is>
          <t>HALMSTAD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45988-2025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45924</v>
      </c>
      <c r="E350" s="1" t="n">
        <v>46316</v>
      </c>
      <c r="F350" t="inlineStr">
        <is>
          <t>HALLANDS LÄN</t>
        </is>
      </c>
      <c r="G350" t="inlineStr">
        <is>
          <t>HALMSTAD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1778-2026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46034</v>
      </c>
      <c r="E351" s="1" t="n">
        <v>46316</v>
      </c>
      <c r="F351" t="inlineStr">
        <is>
          <t>HALLANDS LÄN</t>
        </is>
      </c>
      <c r="G351" t="inlineStr">
        <is>
          <t>HALMSTAD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17637-2025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45758</v>
      </c>
      <c r="E352" s="1" t="n">
        <v>46316</v>
      </c>
      <c r="F352" t="inlineStr">
        <is>
          <t>HALLANDS LÄN</t>
        </is>
      </c>
      <c r="G352" t="inlineStr">
        <is>
          <t>HALMSTAD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24817-2026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46173</v>
      </c>
      <c r="E353" s="1" t="n">
        <v>46316</v>
      </c>
      <c r="F353" t="inlineStr">
        <is>
          <t>HALLANDS LÄN</t>
        </is>
      </c>
      <c r="G353" t="inlineStr">
        <is>
          <t>HALMSTAD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45727</v>
      </c>
      <c r="E354" s="1" t="n">
        <v>46316</v>
      </c>
      <c r="F354" t="inlineStr">
        <is>
          <t>HALLANDS LÄN</t>
        </is>
      </c>
      <c r="G354" t="inlineStr">
        <is>
          <t>HALMSTAD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25383-2026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46176</v>
      </c>
      <c r="E355" s="1" t="n">
        <v>46316</v>
      </c>
      <c r="F355" t="inlineStr">
        <is>
          <t>HALLANDS LÄN</t>
        </is>
      </c>
      <c r="G355" t="inlineStr">
        <is>
          <t>HALMSTAD</t>
        </is>
      </c>
      <c r="I355" t="n">
        <v>17.8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74038-2021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44557</v>
      </c>
      <c r="E356" s="1" t="n">
        <v>46316</v>
      </c>
      <c r="F356" t="inlineStr">
        <is>
          <t>HALLANDS LÄN</t>
        </is>
      </c>
      <c r="G356" t="inlineStr">
        <is>
          <t>HALMSTAD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25286-2026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46176</v>
      </c>
      <c r="E357" s="1" t="n">
        <v>46316</v>
      </c>
      <c r="F357" t="inlineStr">
        <is>
          <t>HALLANDS LÄN</t>
        </is>
      </c>
      <c r="G357" t="inlineStr">
        <is>
          <t>HALMSTAD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25886-2026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46178</v>
      </c>
      <c r="E358" s="1" t="n">
        <v>46316</v>
      </c>
      <c r="F358" t="inlineStr">
        <is>
          <t>HALLANDS LÄN</t>
        </is>
      </c>
      <c r="G358" t="inlineStr">
        <is>
          <t>HALMSTAD</t>
        </is>
      </c>
      <c r="I358" t="n">
        <v>12.6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25896-2026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46178</v>
      </c>
      <c r="E359" s="1" t="n">
        <v>46316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28029-2024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45476</v>
      </c>
      <c r="E360" s="1" t="n">
        <v>46316</v>
      </c>
      <c r="F360" t="inlineStr">
        <is>
          <t>HALLANDS LÄN</t>
        </is>
      </c>
      <c r="G360" t="inlineStr">
        <is>
          <t>HALMSTAD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28031-2024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45476</v>
      </c>
      <c r="E361" s="1" t="n">
        <v>46316</v>
      </c>
      <c r="F361" t="inlineStr">
        <is>
          <t>HALLANDS LÄN</t>
        </is>
      </c>
      <c r="G361" t="inlineStr">
        <is>
          <t>HALMSTAD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26335-2026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46182</v>
      </c>
      <c r="E362" s="1" t="n">
        <v>46316</v>
      </c>
      <c r="F362" t="inlineStr">
        <is>
          <t>HALLANDS LÄN</t>
        </is>
      </c>
      <c r="G362" t="inlineStr">
        <is>
          <t>HALMSTAD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51901-2024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45607</v>
      </c>
      <c r="E363" s="1" t="n">
        <v>46316</v>
      </c>
      <c r="F363" t="inlineStr">
        <is>
          <t>HALLANDS LÄN</t>
        </is>
      </c>
      <c r="G363" t="inlineStr">
        <is>
          <t>HALMSTAD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46181</v>
      </c>
      <c r="E364" s="1" t="n">
        <v>46316</v>
      </c>
      <c r="F364" t="inlineStr">
        <is>
          <t>HALLANDS LÄN</t>
        </is>
      </c>
      <c r="G364" t="inlineStr">
        <is>
          <t>HALMSTAD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50791-2023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45217</v>
      </c>
      <c r="E365" s="1" t="n">
        <v>46316</v>
      </c>
      <c r="F365" t="inlineStr">
        <is>
          <t>HALLANDS LÄN</t>
        </is>
      </c>
      <c r="G365" t="inlineStr">
        <is>
          <t>HALMSTAD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7633-2024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45348</v>
      </c>
      <c r="E366" s="1" t="n">
        <v>46316</v>
      </c>
      <c r="F366" t="inlineStr">
        <is>
          <t>HALLANDS LÄN</t>
        </is>
      </c>
      <c r="G366" t="inlineStr">
        <is>
          <t>HALMSTAD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45699</v>
      </c>
      <c r="E367" s="1" t="n">
        <v>46316</v>
      </c>
      <c r="F367" t="inlineStr">
        <is>
          <t>HALLANDS LÄN</t>
        </is>
      </c>
      <c r="G367" t="inlineStr">
        <is>
          <t>HALMSTAD</t>
        </is>
      </c>
      <c r="I367" t="n">
        <v>11.8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27175-2026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46316</v>
      </c>
      <c r="F368" t="inlineStr">
        <is>
          <t>HALLANDS LÄN</t>
        </is>
      </c>
      <c r="G368" t="inlineStr">
        <is>
          <t>HALMSTAD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27176-2026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46188</v>
      </c>
      <c r="E369" s="1" t="n">
        <v>46316</v>
      </c>
      <c r="F369" t="inlineStr">
        <is>
          <t>HALLANDS LÄN</t>
        </is>
      </c>
      <c r="G369" t="inlineStr">
        <is>
          <t>HALMSTAD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46316</v>
      </c>
      <c r="F370" t="inlineStr">
        <is>
          <t>HALLANDS LÄN</t>
        </is>
      </c>
      <c r="G370" t="inlineStr">
        <is>
          <t>HALMSTAD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46188</v>
      </c>
      <c r="E371" s="1" t="n">
        <v>46316</v>
      </c>
      <c r="F371" t="inlineStr">
        <is>
          <t>HALLANDS LÄN</t>
        </is>
      </c>
      <c r="G371" t="inlineStr">
        <is>
          <t>HALMSTAD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4005-2024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45323</v>
      </c>
      <c r="E372" s="1" t="n">
        <v>46316</v>
      </c>
      <c r="F372" t="inlineStr">
        <is>
          <t>HALLANDS LÄN</t>
        </is>
      </c>
      <c r="G372" t="inlineStr">
        <is>
          <t>HALMSTAD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27191-2026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46316</v>
      </c>
      <c r="F373" t="inlineStr">
        <is>
          <t>HALLANDS LÄN</t>
        </is>
      </c>
      <c r="G373" t="inlineStr">
        <is>
          <t>HALMSTAD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7639-2022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44607</v>
      </c>
      <c r="E374" s="1" t="n">
        <v>46316</v>
      </c>
      <c r="F374" t="inlineStr">
        <is>
          <t>HALLANDS LÄN</t>
        </is>
      </c>
      <c r="G374" t="inlineStr">
        <is>
          <t>HALMSTAD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27197-2026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46188</v>
      </c>
      <c r="E375" s="1" t="n">
        <v>46316</v>
      </c>
      <c r="F375" t="inlineStr">
        <is>
          <t>HALLANDS LÄN</t>
        </is>
      </c>
      <c r="G375" t="inlineStr">
        <is>
          <t>HALMSTAD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27185-2026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46316</v>
      </c>
      <c r="F376" t="inlineStr">
        <is>
          <t>HALLANDS LÄN</t>
        </is>
      </c>
      <c r="G376" t="inlineStr">
        <is>
          <t>HALMSTAD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27205-2026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46188</v>
      </c>
      <c r="E377" s="1" t="n">
        <v>46316</v>
      </c>
      <c r="F377" t="inlineStr">
        <is>
          <t>HALLANDS LÄN</t>
        </is>
      </c>
      <c r="G377" t="inlineStr">
        <is>
          <t>HALMSTAD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27200-2026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46316</v>
      </c>
      <c r="F378" t="inlineStr">
        <is>
          <t>HALLANDS LÄN</t>
        </is>
      </c>
      <c r="G378" t="inlineStr">
        <is>
          <t>HALMSTAD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66311-2021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44518</v>
      </c>
      <c r="E379" s="1" t="n">
        <v>46316</v>
      </c>
      <c r="F379" t="inlineStr">
        <is>
          <t>HALLANDS LÄN</t>
        </is>
      </c>
      <c r="G379" t="inlineStr">
        <is>
          <t>HALMSTAD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66730-2021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44520</v>
      </c>
      <c r="E380" s="1" t="n">
        <v>46316</v>
      </c>
      <c r="F380" t="inlineStr">
        <is>
          <t>HALLANDS LÄN</t>
        </is>
      </c>
      <c r="G380" t="inlineStr">
        <is>
          <t>HALMSTAD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46316</v>
      </c>
      <c r="F381" t="inlineStr">
        <is>
          <t>HALLANDS LÄN</t>
        </is>
      </c>
      <c r="G381" t="inlineStr">
        <is>
          <t>HALMSTAD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31656-2023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45117</v>
      </c>
      <c r="E382" s="1" t="n">
        <v>46316</v>
      </c>
      <c r="F382" t="inlineStr">
        <is>
          <t>HALLANDS LÄN</t>
        </is>
      </c>
      <c r="G382" t="inlineStr">
        <is>
          <t>HALMSTAD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36714-2024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45537</v>
      </c>
      <c r="E383" s="1" t="n">
        <v>46316</v>
      </c>
      <c r="F383" t="inlineStr">
        <is>
          <t>HALLANDS LÄN</t>
        </is>
      </c>
      <c r="G383" t="inlineStr">
        <is>
          <t>HALMSTAD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27202-2026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46316</v>
      </c>
      <c r="F384" t="inlineStr">
        <is>
          <t>HALLANDS LÄN</t>
        </is>
      </c>
      <c r="G384" t="inlineStr">
        <is>
          <t>HALMSTAD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7542-2026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46059</v>
      </c>
      <c r="E385" s="1" t="n">
        <v>46316</v>
      </c>
      <c r="F385" t="inlineStr">
        <is>
          <t>HALLANDS LÄN</t>
        </is>
      </c>
      <c r="G385" t="inlineStr">
        <is>
          <t>HALMSTAD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27499-2026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46189</v>
      </c>
      <c r="E386" s="1" t="n">
        <v>46316</v>
      </c>
      <c r="F386" t="inlineStr">
        <is>
          <t>HALLANDS LÄN</t>
        </is>
      </c>
      <c r="G386" t="inlineStr">
        <is>
          <t>HALMSTAD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8284-2022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44610</v>
      </c>
      <c r="E387" s="1" t="n">
        <v>46316</v>
      </c>
      <c r="F387" t="inlineStr">
        <is>
          <t>HALLANDS LÄN</t>
        </is>
      </c>
      <c r="G387" t="inlineStr">
        <is>
          <t>HALMSTAD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29471-2022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44753</v>
      </c>
      <c r="E388" s="1" t="n">
        <v>46316</v>
      </c>
      <c r="F388" t="inlineStr">
        <is>
          <t>HALLANDS LÄN</t>
        </is>
      </c>
      <c r="G388" t="inlineStr">
        <is>
          <t>HALMSTAD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23483-2022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44721</v>
      </c>
      <c r="E389" s="1" t="n">
        <v>46316</v>
      </c>
      <c r="F389" t="inlineStr">
        <is>
          <t>HALLANDS LÄN</t>
        </is>
      </c>
      <c r="G389" t="inlineStr">
        <is>
          <t>HALMSTAD</t>
        </is>
      </c>
      <c r="I389" t="n">
        <v>7.9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44742</v>
      </c>
      <c r="E390" s="1" t="n">
        <v>46316</v>
      </c>
      <c r="F390" t="inlineStr">
        <is>
          <t>HALLANDS LÄN</t>
        </is>
      </c>
      <c r="G390" t="inlineStr">
        <is>
          <t>HALMSTAD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5210-2023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44959</v>
      </c>
      <c r="E391" s="1" t="n">
        <v>46316</v>
      </c>
      <c r="F391" t="inlineStr">
        <is>
          <t>HALLANDS LÄN</t>
        </is>
      </c>
      <c r="G391" t="inlineStr">
        <is>
          <t>HALMSTAD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28202-2026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46196</v>
      </c>
      <c r="E392" s="1" t="n">
        <v>46316</v>
      </c>
      <c r="F392" t="inlineStr">
        <is>
          <t>HALLANDS LÄN</t>
        </is>
      </c>
      <c r="G392" t="inlineStr">
        <is>
          <t>HALMSTAD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40735-2023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45170</v>
      </c>
      <c r="E393" s="1" t="n">
        <v>46316</v>
      </c>
      <c r="F393" t="inlineStr">
        <is>
          <t>HALLANDS LÄN</t>
        </is>
      </c>
      <c r="G393" t="inlineStr">
        <is>
          <t>HALMSTAD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37571-2023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45159</v>
      </c>
      <c r="E394" s="1" t="n">
        <v>46316</v>
      </c>
      <c r="F394" t="inlineStr">
        <is>
          <t>HALLANDS LÄN</t>
        </is>
      </c>
      <c r="G394" t="inlineStr">
        <is>
          <t>HALMSTAD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38174-2022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44802</v>
      </c>
      <c r="E395" s="1" t="n">
        <v>46316</v>
      </c>
      <c r="F395" t="inlineStr">
        <is>
          <t>HALLANDS LÄN</t>
        </is>
      </c>
      <c r="G395" t="inlineStr">
        <is>
          <t>HALMSTAD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12009-2026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46085</v>
      </c>
      <c r="E396" s="1" t="n">
        <v>46316</v>
      </c>
      <c r="F396" t="inlineStr">
        <is>
          <t>HALLANDS LÄN</t>
        </is>
      </c>
      <c r="G396" t="inlineStr">
        <is>
          <t>HALMSTAD</t>
        </is>
      </c>
      <c r="I396" t="n">
        <v>8.4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45316</v>
      </c>
      <c r="E397" s="1" t="n">
        <v>46316</v>
      </c>
      <c r="F397" t="inlineStr">
        <is>
          <t>HALLANDS LÄN</t>
        </is>
      </c>
      <c r="G397" t="inlineStr">
        <is>
          <t>HALMSTAD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5522-2022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44595</v>
      </c>
      <c r="E398" s="1" t="n">
        <v>46316</v>
      </c>
      <c r="F398" t="inlineStr">
        <is>
          <t>HALLANDS LÄN</t>
        </is>
      </c>
      <c r="G398" t="inlineStr">
        <is>
          <t>HALMSTAD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61757-2022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44917</v>
      </c>
      <c r="E399" s="1" t="n">
        <v>46316</v>
      </c>
      <c r="F399" t="inlineStr">
        <is>
          <t>HALLANDS LÄN</t>
        </is>
      </c>
      <c r="G399" t="inlineStr">
        <is>
          <t>HALMSTAD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46316</v>
      </c>
      <c r="F400" t="inlineStr">
        <is>
          <t>HALLANDS LÄN</t>
        </is>
      </c>
      <c r="G400" t="inlineStr">
        <is>
          <t>HALMSTAD</t>
        </is>
      </c>
      <c r="I400" t="n">
        <v>6.9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30028-2026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46206</v>
      </c>
      <c r="E401" s="1" t="n">
        <v>46316</v>
      </c>
      <c r="F401" t="inlineStr">
        <is>
          <t>HALLANDS LÄN</t>
        </is>
      </c>
      <c r="G401" t="inlineStr">
        <is>
          <t>HALMSTAD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34114-2023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45126</v>
      </c>
      <c r="E402" s="1" t="n">
        <v>46316</v>
      </c>
      <c r="F402" t="inlineStr">
        <is>
          <t>HALLANDS LÄN</t>
        </is>
      </c>
      <c r="G402" t="inlineStr">
        <is>
          <t>HALMSTAD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19304-2023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45049</v>
      </c>
      <c r="E403" s="1" t="n">
        <v>46316</v>
      </c>
      <c r="F403" t="inlineStr">
        <is>
          <t>HALLANDS LÄN</t>
        </is>
      </c>
      <c r="G403" t="inlineStr">
        <is>
          <t>HALMSTAD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30489-2026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46316</v>
      </c>
      <c r="F404" t="inlineStr">
        <is>
          <t>HALLANDS LÄN</t>
        </is>
      </c>
      <c r="G404" t="inlineStr">
        <is>
          <t>HALMSTAD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30503-2026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46210</v>
      </c>
      <c r="E405" s="1" t="n">
        <v>46316</v>
      </c>
      <c r="F405" t="inlineStr">
        <is>
          <t>HALLANDS LÄN</t>
        </is>
      </c>
      <c r="G405" t="inlineStr">
        <is>
          <t>HALMSTAD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30493-2026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46210</v>
      </c>
      <c r="E406" s="1" t="n">
        <v>46316</v>
      </c>
      <c r="F406" t="inlineStr">
        <is>
          <t>HALLANDS LÄN</t>
        </is>
      </c>
      <c r="G406" t="inlineStr">
        <is>
          <t>HALMSTAD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30499-2026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46210</v>
      </c>
      <c r="E407" s="1" t="n">
        <v>46316</v>
      </c>
      <c r="F407" t="inlineStr">
        <is>
          <t>HALLANDS LÄN</t>
        </is>
      </c>
      <c r="G407" t="inlineStr">
        <is>
          <t>HALMSTAD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30508-2026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46210</v>
      </c>
      <c r="E408" s="1" t="n">
        <v>46316</v>
      </c>
      <c r="F408" t="inlineStr">
        <is>
          <t>HALLANDS LÄN</t>
        </is>
      </c>
      <c r="G408" t="inlineStr">
        <is>
          <t>HALMSTAD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30510-2026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46316</v>
      </c>
      <c r="F409" t="inlineStr">
        <is>
          <t>HALLANDS LÄN</t>
        </is>
      </c>
      <c r="G409" t="inlineStr">
        <is>
          <t>HALMSTAD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30496-2026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46316</v>
      </c>
      <c r="F410" t="inlineStr">
        <is>
          <t>HALLANDS LÄN</t>
        </is>
      </c>
      <c r="G410" t="inlineStr">
        <is>
          <t>HALMSTAD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30498-2026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46210</v>
      </c>
      <c r="E411" s="1" t="n">
        <v>46316</v>
      </c>
      <c r="F411" t="inlineStr">
        <is>
          <t>HALLANDS LÄN</t>
        </is>
      </c>
      <c r="G411" t="inlineStr">
        <is>
          <t>HALMSTAD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60394-2023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45259</v>
      </c>
      <c r="E412" s="1" t="n">
        <v>46316</v>
      </c>
      <c r="F412" t="inlineStr">
        <is>
          <t>HALLANDS LÄN</t>
        </is>
      </c>
      <c r="G412" t="inlineStr">
        <is>
          <t>HALMSTAD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48015-2024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45589</v>
      </c>
      <c r="E413" s="1" t="n">
        <v>46316</v>
      </c>
      <c r="F413" t="inlineStr">
        <is>
          <t>HALLANDS LÄN</t>
        </is>
      </c>
      <c r="G413" t="inlineStr">
        <is>
          <t>HALMSTAD</t>
        </is>
      </c>
      <c r="I413" t="n">
        <v>7.3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47198-2022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44852</v>
      </c>
      <c r="E414" s="1" t="n">
        <v>46316</v>
      </c>
      <c r="F414" t="inlineStr">
        <is>
          <t>HALLANDS LÄN</t>
        </is>
      </c>
      <c r="G414" t="inlineStr">
        <is>
          <t>HALMSTAD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40730-2023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45170</v>
      </c>
      <c r="E415" s="1" t="n">
        <v>46316</v>
      </c>
      <c r="F415" t="inlineStr">
        <is>
          <t>HALLANDS LÄN</t>
        </is>
      </c>
      <c r="G415" t="inlineStr">
        <is>
          <t>HALMSTAD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29818-2024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45485</v>
      </c>
      <c r="E416" s="1" t="n">
        <v>46316</v>
      </c>
      <c r="F416" t="inlineStr">
        <is>
          <t>HALLANDS LÄN</t>
        </is>
      </c>
      <c r="G416" t="inlineStr">
        <is>
          <t>HALMSTAD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8142-2023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46316</v>
      </c>
      <c r="F417" t="inlineStr">
        <is>
          <t>HALLANDS LÄN</t>
        </is>
      </c>
      <c r="G417" t="inlineStr">
        <is>
          <t>HALMSTAD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31547-2022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44775</v>
      </c>
      <c r="E418" s="1" t="n">
        <v>46316</v>
      </c>
      <c r="F418" t="inlineStr">
        <is>
          <t>HALLANDS LÄN</t>
        </is>
      </c>
      <c r="G418" t="inlineStr">
        <is>
          <t>HALMSTAD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37097-2026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46274</v>
      </c>
      <c r="E419" s="1" t="n">
        <v>46316</v>
      </c>
      <c r="F419" t="inlineStr">
        <is>
          <t>HALLANDS LÄN</t>
        </is>
      </c>
      <c r="G419" t="inlineStr">
        <is>
          <t>HALMSTAD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60323-2022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44910</v>
      </c>
      <c r="E420" s="1" t="n">
        <v>46316</v>
      </c>
      <c r="F420" t="inlineStr">
        <is>
          <t>HALLANDS LÄN</t>
        </is>
      </c>
      <c r="G420" t="inlineStr">
        <is>
          <t>HALMSTAD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893-2022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44571</v>
      </c>
      <c r="E421" s="1" t="n">
        <v>46316</v>
      </c>
      <c r="F421" t="inlineStr">
        <is>
          <t>HALLANDS LÄN</t>
        </is>
      </c>
      <c r="G421" t="inlineStr">
        <is>
          <t>HALMSTAD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45677</v>
      </c>
      <c r="E422" s="1" t="n">
        <v>46316</v>
      </c>
      <c r="F422" t="inlineStr">
        <is>
          <t>HALLANDS LÄN</t>
        </is>
      </c>
      <c r="G422" t="inlineStr">
        <is>
          <t>HALMSTAD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37186-2026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46274</v>
      </c>
      <c r="E423" s="1" t="n">
        <v>46316</v>
      </c>
      <c r="F423" t="inlineStr">
        <is>
          <t>HALLANDS LÄN</t>
        </is>
      </c>
      <c r="G423" t="inlineStr">
        <is>
          <t>HALMSTAD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40582-2023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46316</v>
      </c>
      <c r="F424" t="inlineStr">
        <is>
          <t>HALLANDS LÄN</t>
        </is>
      </c>
      <c r="G424" t="inlineStr">
        <is>
          <t>HALMSTAD</t>
        </is>
      </c>
      <c r="H424" t="inlineStr">
        <is>
          <t>Kommuner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47813-2024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45588</v>
      </c>
      <c r="E425" s="1" t="n">
        <v>46316</v>
      </c>
      <c r="F425" t="inlineStr">
        <is>
          <t>HALLANDS LÄN</t>
        </is>
      </c>
      <c r="G425" t="inlineStr">
        <is>
          <t>HALMSTAD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37301-2023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45156</v>
      </c>
      <c r="E426" s="1" t="n">
        <v>46316</v>
      </c>
      <c r="F426" t="inlineStr">
        <is>
          <t>HALLANDS LÄN</t>
        </is>
      </c>
      <c r="G426" t="inlineStr">
        <is>
          <t>HALMSTAD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51190-2022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44868</v>
      </c>
      <c r="E427" s="1" t="n">
        <v>46316</v>
      </c>
      <c r="F427" t="inlineStr">
        <is>
          <t>HALLANDS LÄN</t>
        </is>
      </c>
      <c r="G427" t="inlineStr">
        <is>
          <t>HALMSTAD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44938</v>
      </c>
      <c r="E428" s="1" t="n">
        <v>46316</v>
      </c>
      <c r="F428" t="inlineStr">
        <is>
          <t>HALLANDS LÄN</t>
        </is>
      </c>
      <c r="G428" t="inlineStr">
        <is>
          <t>HALMSTAD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59061-2025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46316</v>
      </c>
      <c r="F429" t="inlineStr">
        <is>
          <t>HALLANDS LÄN</t>
        </is>
      </c>
      <c r="G429" t="inlineStr">
        <is>
          <t>HALMSTAD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13594-2023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45006</v>
      </c>
      <c r="E430" s="1" t="n">
        <v>46316</v>
      </c>
      <c r="F430" t="inlineStr">
        <is>
          <t>HALLANDS LÄN</t>
        </is>
      </c>
      <c r="G430" t="inlineStr">
        <is>
          <t>HALMSTAD</t>
        </is>
      </c>
      <c r="H430" t="inlineStr">
        <is>
          <t>Bergvik skog väst AB</t>
        </is>
      </c>
      <c r="I430" t="n">
        <v>8.6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45660</v>
      </c>
      <c r="E431" s="1" t="n">
        <v>46316</v>
      </c>
      <c r="F431" t="inlineStr">
        <is>
          <t>HALLANDS LÄN</t>
        </is>
      </c>
      <c r="G431" t="inlineStr">
        <is>
          <t>HALMSTAD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50593-2023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45217</v>
      </c>
      <c r="E432" s="1" t="n">
        <v>46316</v>
      </c>
      <c r="F432" t="inlineStr">
        <is>
          <t>HALLANDS LÄN</t>
        </is>
      </c>
      <c r="G432" t="inlineStr">
        <is>
          <t>HALMSTAD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50603-2023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45217</v>
      </c>
      <c r="E433" s="1" t="n">
        <v>46316</v>
      </c>
      <c r="F433" t="inlineStr">
        <is>
          <t>HALLANDS LÄN</t>
        </is>
      </c>
      <c r="G433" t="inlineStr">
        <is>
          <t>HALMSTAD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3758-2024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45321</v>
      </c>
      <c r="E434" s="1" t="n">
        <v>46316</v>
      </c>
      <c r="F434" t="inlineStr">
        <is>
          <t>HALLANDS LÄN</t>
        </is>
      </c>
      <c r="G434" t="inlineStr">
        <is>
          <t>HALMSTAD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62170-2023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45267</v>
      </c>
      <c r="E435" s="1" t="n">
        <v>46316</v>
      </c>
      <c r="F435" t="inlineStr">
        <is>
          <t>HALLANDS LÄN</t>
        </is>
      </c>
      <c r="G435" t="inlineStr">
        <is>
          <t>HALMSTAD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62187-2023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45267</v>
      </c>
      <c r="E436" s="1" t="n">
        <v>46316</v>
      </c>
      <c r="F436" t="inlineStr">
        <is>
          <t>HALLANDS LÄN</t>
        </is>
      </c>
      <c r="G436" t="inlineStr">
        <is>
          <t>HALMSTAD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42205-2024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45562</v>
      </c>
      <c r="E437" s="1" t="n">
        <v>46316</v>
      </c>
      <c r="F437" t="inlineStr">
        <is>
          <t>HALLANDS LÄN</t>
        </is>
      </c>
      <c r="G437" t="inlineStr">
        <is>
          <t>HALMSTAD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39303-2026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46288</v>
      </c>
      <c r="E438" s="1" t="n">
        <v>46316</v>
      </c>
      <c r="F438" t="inlineStr">
        <is>
          <t>HALLANDS LÄN</t>
        </is>
      </c>
      <c r="G438" t="inlineStr">
        <is>
          <t>HALMSTAD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35185-2026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46260</v>
      </c>
      <c r="E439" s="1" t="n">
        <v>46316</v>
      </c>
      <c r="F439" t="inlineStr">
        <is>
          <t>HALLANDS LÄN</t>
        </is>
      </c>
      <c r="G439" t="inlineStr">
        <is>
          <t>HALMSTAD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56706-2024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45627</v>
      </c>
      <c r="E440" s="1" t="n">
        <v>46316</v>
      </c>
      <c r="F440" t="inlineStr">
        <is>
          <t>HALLANDS LÄN</t>
        </is>
      </c>
      <c r="G440" t="inlineStr">
        <is>
          <t>HALMSTAD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36805-2023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45154</v>
      </c>
      <c r="E441" s="1" t="n">
        <v>46316</v>
      </c>
      <c r="F441" t="inlineStr">
        <is>
          <t>HALLANDS LÄN</t>
        </is>
      </c>
      <c r="G441" t="inlineStr">
        <is>
          <t>HALMSTAD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13331-2024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45386</v>
      </c>
      <c r="E442" s="1" t="n">
        <v>46316</v>
      </c>
      <c r="F442" t="inlineStr">
        <is>
          <t>HALLANDS LÄN</t>
        </is>
      </c>
      <c r="G442" t="inlineStr">
        <is>
          <t>HALMSTAD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12890-2022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44642</v>
      </c>
      <c r="E443" s="1" t="n">
        <v>46316</v>
      </c>
      <c r="F443" t="inlineStr">
        <is>
          <t>HALLANDS LÄN</t>
        </is>
      </c>
      <c r="G443" t="inlineStr">
        <is>
          <t>HALMSTAD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23772-2022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44722</v>
      </c>
      <c r="E444" s="1" t="n">
        <v>46316</v>
      </c>
      <c r="F444" t="inlineStr">
        <is>
          <t>HALLANDS LÄN</t>
        </is>
      </c>
      <c r="G444" t="inlineStr">
        <is>
          <t>HALMSTAD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70720-2021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44537</v>
      </c>
      <c r="E445" s="1" t="n">
        <v>46316</v>
      </c>
      <c r="F445" t="inlineStr">
        <is>
          <t>HALLANDS LÄN</t>
        </is>
      </c>
      <c r="G445" t="inlineStr">
        <is>
          <t>HALMSTAD</t>
        </is>
      </c>
      <c r="H445" t="inlineStr">
        <is>
          <t>Kyrkan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22149-2022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44712</v>
      </c>
      <c r="E446" s="1" t="n">
        <v>46316</v>
      </c>
      <c r="F446" t="inlineStr">
        <is>
          <t>HALLANDS LÄN</t>
        </is>
      </c>
      <c r="G446" t="inlineStr">
        <is>
          <t>HALMSTAD</t>
        </is>
      </c>
      <c r="I446" t="n">
        <v>9.699999999999999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53642-2023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45230</v>
      </c>
      <c r="E447" s="1" t="n">
        <v>46316</v>
      </c>
      <c r="F447" t="inlineStr">
        <is>
          <t>HALLANDS LÄN</t>
        </is>
      </c>
      <c r="G447" t="inlineStr">
        <is>
          <t>HALMSTAD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55798-2023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45239</v>
      </c>
      <c r="E448" s="1" t="n">
        <v>46316</v>
      </c>
      <c r="F448" t="inlineStr">
        <is>
          <t>HALLANDS LÄN</t>
        </is>
      </c>
      <c r="G448" t="inlineStr">
        <is>
          <t>HALMSTAD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55800-2023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45239</v>
      </c>
      <c r="E449" s="1" t="n">
        <v>46316</v>
      </c>
      <c r="F449" t="inlineStr">
        <is>
          <t>HALLANDS LÄN</t>
        </is>
      </c>
      <c r="G449" t="inlineStr">
        <is>
          <t>HALMSTAD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47904-2024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45589</v>
      </c>
      <c r="E450" s="1" t="n">
        <v>46316</v>
      </c>
      <c r="F450" t="inlineStr">
        <is>
          <t>HALLANDS LÄN</t>
        </is>
      </c>
      <c r="G450" t="inlineStr">
        <is>
          <t>HALMSTAD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37161-2022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44806</v>
      </c>
      <c r="E451" s="1" t="n">
        <v>46316</v>
      </c>
      <c r="F451" t="inlineStr">
        <is>
          <t>HALLANDS LÄN</t>
        </is>
      </c>
      <c r="G451" t="inlineStr">
        <is>
          <t>HALMSTAD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40601-2023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45168</v>
      </c>
      <c r="E452" s="1" t="n">
        <v>46316</v>
      </c>
      <c r="F452" t="inlineStr">
        <is>
          <t>HALLANDS LÄN</t>
        </is>
      </c>
      <c r="G452" t="inlineStr">
        <is>
          <t>HALMSTAD</t>
        </is>
      </c>
      <c r="H452" t="inlineStr">
        <is>
          <t>Kommuner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40644-2023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45168</v>
      </c>
      <c r="E453" s="1" t="n">
        <v>46316</v>
      </c>
      <c r="F453" t="inlineStr">
        <is>
          <t>HALLANDS LÄN</t>
        </is>
      </c>
      <c r="G453" t="inlineStr">
        <is>
          <t>HALMSTAD</t>
        </is>
      </c>
      <c r="H453" t="inlineStr">
        <is>
          <t>Kommuner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34625-2026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46316</v>
      </c>
      <c r="F454" t="inlineStr">
        <is>
          <t>HALLANDS LÄN</t>
        </is>
      </c>
      <c r="G454" t="inlineStr">
        <is>
          <t>HALMSTAD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34482-2026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46254</v>
      </c>
      <c r="E455" s="1" t="n">
        <v>46316</v>
      </c>
      <c r="F455" t="inlineStr">
        <is>
          <t>HALLANDS LÄN</t>
        </is>
      </c>
      <c r="G455" t="inlineStr">
        <is>
          <t>HALMSTAD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62189-2022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44922</v>
      </c>
      <c r="E456" s="1" t="n">
        <v>46316</v>
      </c>
      <c r="F456" t="inlineStr">
        <is>
          <t>HALLANDS LÄN</t>
        </is>
      </c>
      <c r="G456" t="inlineStr">
        <is>
          <t>HALMSTAD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6947-2023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46316</v>
      </c>
      <c r="F457" t="inlineStr">
        <is>
          <t>HALLANDS LÄN</t>
        </is>
      </c>
      <c r="G457" t="inlineStr">
        <is>
          <t>HALMSTAD</t>
        </is>
      </c>
      <c r="H457" t="inlineStr">
        <is>
          <t>Bergvik skog väst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6951-2023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44964</v>
      </c>
      <c r="E458" s="1" t="n">
        <v>46316</v>
      </c>
      <c r="F458" t="inlineStr">
        <is>
          <t>HALLANDS LÄN</t>
        </is>
      </c>
      <c r="G458" t="inlineStr">
        <is>
          <t>HALMSTAD</t>
        </is>
      </c>
      <c r="H458" t="inlineStr">
        <is>
          <t>Bergvik skog väst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40681-2026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46296</v>
      </c>
      <c r="E459" s="1" t="n">
        <v>46316</v>
      </c>
      <c r="F459" t="inlineStr">
        <is>
          <t>HALLANDS LÄN</t>
        </is>
      </c>
      <c r="G459" t="inlineStr">
        <is>
          <t>HALMSTAD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34106-2026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46253</v>
      </c>
      <c r="E460" s="1" t="n">
        <v>46316</v>
      </c>
      <c r="F460" t="inlineStr">
        <is>
          <t>HALLANDS LÄN</t>
        </is>
      </c>
      <c r="G460" t="inlineStr">
        <is>
          <t>HALMSTAD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40682-2026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46296</v>
      </c>
      <c r="E461" s="1" t="n">
        <v>46316</v>
      </c>
      <c r="F461" t="inlineStr">
        <is>
          <t>HALLANDS LÄN</t>
        </is>
      </c>
      <c r="G461" t="inlineStr">
        <is>
          <t>HALMSTAD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34185-2026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46316</v>
      </c>
      <c r="F462" t="inlineStr">
        <is>
          <t>HALLANDS LÄN</t>
        </is>
      </c>
      <c r="G462" t="inlineStr">
        <is>
          <t>HALMSTAD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40702-2023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45168</v>
      </c>
      <c r="E463" s="1" t="n">
        <v>46316</v>
      </c>
      <c r="F463" t="inlineStr">
        <is>
          <t>HALLANDS LÄN</t>
        </is>
      </c>
      <c r="G463" t="inlineStr">
        <is>
          <t>HALMSTAD</t>
        </is>
      </c>
      <c r="H463" t="inlineStr">
        <is>
          <t>Kommuner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35384-2024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46316</v>
      </c>
      <c r="F464" t="inlineStr">
        <is>
          <t>HALLANDS LÄN</t>
        </is>
      </c>
      <c r="G464" t="inlineStr">
        <is>
          <t>HALMSTAD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34763-2026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46258</v>
      </c>
      <c r="E465" s="1" t="n">
        <v>46316</v>
      </c>
      <c r="F465" t="inlineStr">
        <is>
          <t>HALLANDS LÄN</t>
        </is>
      </c>
      <c r="G465" t="inlineStr">
        <is>
          <t>HALMSTAD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22419-2022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44713</v>
      </c>
      <c r="E466" s="1" t="n">
        <v>46316</v>
      </c>
      <c r="F466" t="inlineStr">
        <is>
          <t>HALLANDS LÄN</t>
        </is>
      </c>
      <c r="G466" t="inlineStr">
        <is>
          <t>HALMSTAD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41900-2026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46303</v>
      </c>
      <c r="E467" s="1" t="n">
        <v>46316</v>
      </c>
      <c r="F467" t="inlineStr">
        <is>
          <t>HALLANDS LÄN</t>
        </is>
      </c>
      <c r="G467" t="inlineStr">
        <is>
          <t>HALMSTAD</t>
        </is>
      </c>
      <c r="H467" t="inlineStr">
        <is>
          <t>Sveaskog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41905-2026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46303</v>
      </c>
      <c r="E468" s="1" t="n">
        <v>46316</v>
      </c>
      <c r="F468" t="inlineStr">
        <is>
          <t>HALLANDS LÄN</t>
        </is>
      </c>
      <c r="G468" t="inlineStr">
        <is>
          <t>HALMSTAD</t>
        </is>
      </c>
      <c r="H468" t="inlineStr">
        <is>
          <t>Sveaskog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15678-2024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45404</v>
      </c>
      <c r="E469" s="1" t="n">
        <v>46316</v>
      </c>
      <c r="F469" t="inlineStr">
        <is>
          <t>HALLANDS LÄN</t>
        </is>
      </c>
      <c r="G469" t="inlineStr">
        <is>
          <t>HALMSTAD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34756-2026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46258</v>
      </c>
      <c r="E470" s="1" t="n">
        <v>46316</v>
      </c>
      <c r="F470" t="inlineStr">
        <is>
          <t>HALLANDS LÄN</t>
        </is>
      </c>
      <c r="G470" t="inlineStr">
        <is>
          <t>HALMSTAD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34757-2026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46258</v>
      </c>
      <c r="E471" s="1" t="n">
        <v>46316</v>
      </c>
      <c r="F471" t="inlineStr">
        <is>
          <t>HALLANDS LÄN</t>
        </is>
      </c>
      <c r="G471" t="inlineStr">
        <is>
          <t>HALMSTAD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34889-2026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46259</v>
      </c>
      <c r="E472" s="1" t="n">
        <v>46316</v>
      </c>
      <c r="F472" t="inlineStr">
        <is>
          <t>HALLANDS LÄN</t>
        </is>
      </c>
      <c r="G472" t="inlineStr">
        <is>
          <t>HALMSTAD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50319-2024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45600</v>
      </c>
      <c r="E473" s="1" t="n">
        <v>46316</v>
      </c>
      <c r="F473" t="inlineStr">
        <is>
          <t>HALLANDS LÄN</t>
        </is>
      </c>
      <c r="G473" t="inlineStr">
        <is>
          <t>HALMSTAD</t>
        </is>
      </c>
      <c r="I473" t="n">
        <v>7.1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35020-2026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46259</v>
      </c>
      <c r="E474" s="1" t="n">
        <v>46316</v>
      </c>
      <c r="F474" t="inlineStr">
        <is>
          <t>HALLANDS LÄN</t>
        </is>
      </c>
      <c r="G474" t="inlineStr">
        <is>
          <t>HALMSTAD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8114-2023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44974</v>
      </c>
      <c r="E475" s="1" t="n">
        <v>46316</v>
      </c>
      <c r="F475" t="inlineStr">
        <is>
          <t>HALLANDS LÄN</t>
        </is>
      </c>
      <c r="G475" t="inlineStr">
        <is>
          <t>HALMSTAD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58193-2024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45632</v>
      </c>
      <c r="E476" s="1" t="n">
        <v>46316</v>
      </c>
      <c r="F476" t="inlineStr">
        <is>
          <t>HALLANDS LÄN</t>
        </is>
      </c>
      <c r="G476" t="inlineStr">
        <is>
          <t>HALMSTAD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6942-2023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46316</v>
      </c>
      <c r="F477" t="inlineStr">
        <is>
          <t>HALLANDS LÄN</t>
        </is>
      </c>
      <c r="G477" t="inlineStr">
        <is>
          <t>HALMSTAD</t>
        </is>
      </c>
      <c r="H477" t="inlineStr">
        <is>
          <t>Bergvik skog väst AB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40345-2023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45169</v>
      </c>
      <c r="E478" s="1" t="n">
        <v>46316</v>
      </c>
      <c r="F478" t="inlineStr">
        <is>
          <t>HALLANDS LÄN</t>
        </is>
      </c>
      <c r="G478" t="inlineStr">
        <is>
          <t>HALMSTAD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37586-2026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46276</v>
      </c>
      <c r="E479" s="1" t="n">
        <v>46316</v>
      </c>
      <c r="F479" t="inlineStr">
        <is>
          <t>HALLANDS LÄN</t>
        </is>
      </c>
      <c r="G479" t="inlineStr">
        <is>
          <t>HALMSTAD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47668-2023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45203</v>
      </c>
      <c r="E480" s="1" t="n">
        <v>46316</v>
      </c>
      <c r="F480" t="inlineStr">
        <is>
          <t>HALLANDS LÄN</t>
        </is>
      </c>
      <c r="G480" t="inlineStr">
        <is>
          <t>HALMSTAD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35808-2026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46265</v>
      </c>
      <c r="E481" s="1" t="n">
        <v>46316</v>
      </c>
      <c r="F481" t="inlineStr">
        <is>
          <t>HALLANDS LÄN</t>
        </is>
      </c>
      <c r="G481" t="inlineStr">
        <is>
          <t>HALMSTAD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35809-2026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46316</v>
      </c>
      <c r="F482" t="inlineStr">
        <is>
          <t>HALLANDS LÄN</t>
        </is>
      </c>
      <c r="G482" t="inlineStr">
        <is>
          <t>HALMSTAD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35805-2026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46265</v>
      </c>
      <c r="E483" s="1" t="n">
        <v>46316</v>
      </c>
      <c r="F483" t="inlineStr">
        <is>
          <t>HALLANDS LÄN</t>
        </is>
      </c>
      <c r="G483" t="inlineStr">
        <is>
          <t>HALMSTAD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40595-2023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45168</v>
      </c>
      <c r="E484" s="1" t="n">
        <v>46316</v>
      </c>
      <c r="F484" t="inlineStr">
        <is>
          <t>HALLANDS LÄN</t>
        </is>
      </c>
      <c r="G484" t="inlineStr">
        <is>
          <t>HALMSTAD</t>
        </is>
      </c>
      <c r="H484" t="inlineStr">
        <is>
          <t>Kommuner</t>
        </is>
      </c>
      <c r="I484" t="n">
        <v>7.1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46265</v>
      </c>
      <c r="E485" s="1" t="n">
        <v>46316</v>
      </c>
      <c r="F485" t="inlineStr">
        <is>
          <t>HALLANDS LÄN</t>
        </is>
      </c>
      <c r="G485" t="inlineStr">
        <is>
          <t>HALMSTAD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28098-2023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46316</v>
      </c>
      <c r="F486" t="inlineStr">
        <is>
          <t>HALLANDS LÄN</t>
        </is>
      </c>
      <c r="G486" t="inlineStr">
        <is>
          <t>HALMSTAD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42559-2026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46308</v>
      </c>
      <c r="E487" s="1" t="n">
        <v>46316</v>
      </c>
      <c r="F487" t="inlineStr">
        <is>
          <t>HALLANDS LÄN</t>
        </is>
      </c>
      <c r="G487" t="inlineStr">
        <is>
          <t>HALMSTAD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43114-2026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46311</v>
      </c>
      <c r="E488" s="1" t="n">
        <v>46316</v>
      </c>
      <c r="F488" t="inlineStr">
        <is>
          <t>HALLANDS LÄN</t>
        </is>
      </c>
      <c r="G488" t="inlineStr">
        <is>
          <t>HALMSTAD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58080-2024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45632</v>
      </c>
      <c r="E489" s="1" t="n">
        <v>46316</v>
      </c>
      <c r="F489" t="inlineStr">
        <is>
          <t>HALLANDS LÄN</t>
        </is>
      </c>
      <c r="G489" t="inlineStr">
        <is>
          <t>HALMSTAD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55596-2023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45238</v>
      </c>
      <c r="E490" s="1" t="n">
        <v>46316</v>
      </c>
      <c r="F490" t="inlineStr">
        <is>
          <t>HALLANDS LÄN</t>
        </is>
      </c>
      <c r="G490" t="inlineStr">
        <is>
          <t>HALMSTAD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30093-2023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45099</v>
      </c>
      <c r="E491" s="1" t="n">
        <v>46316</v>
      </c>
      <c r="F491" t="inlineStr">
        <is>
          <t>HALLANDS LÄN</t>
        </is>
      </c>
      <c r="G491" t="inlineStr">
        <is>
          <t>HALMSTAD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41626-2022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44827</v>
      </c>
      <c r="E492" s="1" t="n">
        <v>46316</v>
      </c>
      <c r="F492" t="inlineStr">
        <is>
          <t>HALLANDS LÄN</t>
        </is>
      </c>
      <c r="G492" t="inlineStr">
        <is>
          <t>HALMSTAD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41786-2024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45561</v>
      </c>
      <c r="E493" s="1" t="n">
        <v>46316</v>
      </c>
      <c r="F493" t="inlineStr">
        <is>
          <t>HALLANDS LÄN</t>
        </is>
      </c>
      <c r="G493" t="inlineStr">
        <is>
          <t>HALMSTAD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46027</v>
      </c>
      <c r="E494" s="1" t="n">
        <v>46316</v>
      </c>
      <c r="F494" t="inlineStr">
        <is>
          <t>HALLANDS LÄN</t>
        </is>
      </c>
      <c r="G494" t="inlineStr">
        <is>
          <t>HALMSTAD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8679-2025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45712</v>
      </c>
      <c r="E495" s="1" t="n">
        <v>46316</v>
      </c>
      <c r="F495" t="inlineStr">
        <is>
          <t>HALLANDS LÄN</t>
        </is>
      </c>
      <c r="G495" t="inlineStr">
        <is>
          <t>HALMSTAD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36900-2026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46273</v>
      </c>
      <c r="E496" s="1" t="n">
        <v>46316</v>
      </c>
      <c r="F496" t="inlineStr">
        <is>
          <t>HALLANDS LÄN</t>
        </is>
      </c>
      <c r="G496" t="inlineStr">
        <is>
          <t>HALMSTAD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37584-2026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46276</v>
      </c>
      <c r="E497" s="1" t="n">
        <v>46316</v>
      </c>
      <c r="F497" t="inlineStr">
        <is>
          <t>HALLANDS LÄN</t>
        </is>
      </c>
      <c r="G497" t="inlineStr">
        <is>
          <t>HALMSTAD</t>
        </is>
      </c>
      <c r="I497" t="n">
        <v>13.4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8230-2023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44974</v>
      </c>
      <c r="E498" s="1" t="n">
        <v>46316</v>
      </c>
      <c r="F498" t="inlineStr">
        <is>
          <t>HALLANDS LÄN</t>
        </is>
      </c>
      <c r="G498" t="inlineStr">
        <is>
          <t>HALMSTAD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23147-2024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45450</v>
      </c>
      <c r="E499" s="1" t="n">
        <v>46316</v>
      </c>
      <c r="F499" t="inlineStr">
        <is>
          <t>HALLANDS LÄN</t>
        </is>
      </c>
      <c r="G499" t="inlineStr">
        <is>
          <t>HALMSTAD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19468-2024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45429</v>
      </c>
      <c r="E500" s="1" t="n">
        <v>46316</v>
      </c>
      <c r="F500" t="inlineStr">
        <is>
          <t>HALLANDS LÄN</t>
        </is>
      </c>
      <c r="G500" t="inlineStr">
        <is>
          <t>HALMSTAD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1646-2024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45306</v>
      </c>
      <c r="E501" s="1" t="n">
        <v>46316</v>
      </c>
      <c r="F501" t="inlineStr">
        <is>
          <t>HALLANDS LÄN</t>
        </is>
      </c>
      <c r="G501" t="inlineStr">
        <is>
          <t>HALMSTAD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41836-2024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45561</v>
      </c>
      <c r="E502" s="1" t="n">
        <v>46316</v>
      </c>
      <c r="F502" t="inlineStr">
        <is>
          <t>HALLANDS LÄN</t>
        </is>
      </c>
      <c r="G502" t="inlineStr">
        <is>
          <t>HALMSTAD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50387-2023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45216</v>
      </c>
      <c r="E503" s="1" t="n">
        <v>46316</v>
      </c>
      <c r="F503" t="inlineStr">
        <is>
          <t>HALLANDS LÄN</t>
        </is>
      </c>
      <c r="G503" t="inlineStr">
        <is>
          <t>HALMSTAD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44964</v>
      </c>
      <c r="E504" s="1" t="n">
        <v>46316</v>
      </c>
      <c r="F504" t="inlineStr">
        <is>
          <t>HALLANDS LÄN</t>
        </is>
      </c>
      <c r="G504" t="inlineStr">
        <is>
          <t>HALMSTAD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12634-2025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45733</v>
      </c>
      <c r="E505" s="1" t="n">
        <v>46316</v>
      </c>
      <c r="F505" t="inlineStr">
        <is>
          <t>HALLANDS LÄN</t>
        </is>
      </c>
      <c r="G505" t="inlineStr">
        <is>
          <t>HALMSTAD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31543-2022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44775</v>
      </c>
      <c r="E506" s="1" t="n">
        <v>46316</v>
      </c>
      <c r="F506" t="inlineStr">
        <is>
          <t>HALLANDS LÄN</t>
        </is>
      </c>
      <c r="G506" t="inlineStr">
        <is>
          <t>HALMSTAD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25698-2023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46316</v>
      </c>
      <c r="F507" t="inlineStr">
        <is>
          <t>HALLANDS LÄN</t>
        </is>
      </c>
      <c r="G507" t="inlineStr">
        <is>
          <t>HALMSTAD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62131-2023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45267</v>
      </c>
      <c r="E508" s="1" t="n">
        <v>46316</v>
      </c>
      <c r="F508" t="inlineStr">
        <is>
          <t>HALLANDS LÄN</t>
        </is>
      </c>
      <c r="G508" t="inlineStr">
        <is>
          <t>HALMSTAD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45586-2023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45194</v>
      </c>
      <c r="E509" s="1" t="n">
        <v>46316</v>
      </c>
      <c r="F509" t="inlineStr">
        <is>
          <t>HALLANDS LÄN</t>
        </is>
      </c>
      <c r="G509" t="inlineStr">
        <is>
          <t>HALMSTAD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53211-2023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45229</v>
      </c>
      <c r="E510" s="1" t="n">
        <v>46316</v>
      </c>
      <c r="F510" t="inlineStr">
        <is>
          <t>HALLANDS LÄN</t>
        </is>
      </c>
      <c r="G510" t="inlineStr">
        <is>
          <t>HALMSTAD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55006-2022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44886</v>
      </c>
      <c r="E511" s="1" t="n">
        <v>46316</v>
      </c>
      <c r="F511" t="inlineStr">
        <is>
          <t>HALLANDS LÄN</t>
        </is>
      </c>
      <c r="G511" t="inlineStr">
        <is>
          <t>HALMSTAD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45712</v>
      </c>
      <c r="E512" s="1" t="n">
        <v>46316</v>
      </c>
      <c r="F512" t="inlineStr">
        <is>
          <t>HALLANDS LÄN</t>
        </is>
      </c>
      <c r="G512" t="inlineStr">
        <is>
          <t>HALMSTAD</t>
        </is>
      </c>
      <c r="I512" t="n">
        <v>9.300000000000001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22710-2023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45071</v>
      </c>
      <c r="E513" s="1" t="n">
        <v>46316</v>
      </c>
      <c r="F513" t="inlineStr">
        <is>
          <t>HALLANDS LÄN</t>
        </is>
      </c>
      <c r="G513" t="inlineStr">
        <is>
          <t>HALMSTAD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21946-2024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45443</v>
      </c>
      <c r="E514" s="1" t="n">
        <v>46316</v>
      </c>
      <c r="F514" t="inlineStr">
        <is>
          <t>HALLANDS LÄN</t>
        </is>
      </c>
      <c r="G514" t="inlineStr">
        <is>
          <t>HALMSTAD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46754-2024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45583</v>
      </c>
      <c r="E515" s="1" t="n">
        <v>46316</v>
      </c>
      <c r="F515" t="inlineStr">
        <is>
          <t>HALLANDS LÄN</t>
        </is>
      </c>
      <c r="G515" t="inlineStr">
        <is>
          <t>HALMSTAD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40418-2024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45555</v>
      </c>
      <c r="E516" s="1" t="n">
        <v>46316</v>
      </c>
      <c r="F516" t="inlineStr">
        <is>
          <t>HALLANDS LÄN</t>
        </is>
      </c>
      <c r="G516" t="inlineStr">
        <is>
          <t>HALMSTAD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2307-2020</t>
        </is>
      </c>
      <c r="B517" t="inlineStr">
        <is>
          <t>samrådsanmälan</t>
        </is>
      </c>
      <c r="C517" t="inlineStr">
        <is>
          <t>Åtgärd i nyckelbiotop</t>
        </is>
      </c>
      <c r="D517" s="1" t="n">
        <v>44132</v>
      </c>
      <c r="E517" s="1" t="n">
        <v>46316</v>
      </c>
      <c r="F517" t="inlineStr">
        <is>
          <t>HALLANDS LÄN</t>
        </is>
      </c>
      <c r="G517" t="inlineStr">
        <is>
          <t>HALMSTAD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4158-2022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44767</v>
      </c>
      <c r="E518" s="1" t="n">
        <v>46316</v>
      </c>
      <c r="F518" t="inlineStr">
        <is>
          <t>HALLANDS LÄN</t>
        </is>
      </c>
      <c r="G518" t="inlineStr">
        <is>
          <t>HALMSTAD</t>
        </is>
      </c>
      <c r="H518" t="inlineStr">
        <is>
          <t>Kommuner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572-2022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44592</v>
      </c>
      <c r="E519" s="1" t="n">
        <v>46316</v>
      </c>
      <c r="F519" t="inlineStr">
        <is>
          <t>HALLANDS LÄN</t>
        </is>
      </c>
      <c r="G519" t="inlineStr">
        <is>
          <t>HALMSTAD</t>
        </is>
      </c>
      <c r="H519" t="inlineStr">
        <is>
          <t>Kyrkan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2905-2023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45171</v>
      </c>
      <c r="E520" s="1" t="n">
        <v>46316</v>
      </c>
      <c r="F520" t="inlineStr">
        <is>
          <t>HALLANDS LÄN</t>
        </is>
      </c>
      <c r="G520" t="inlineStr">
        <is>
          <t>HALMSTAD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108-2025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45672</v>
      </c>
      <c r="E521" s="1" t="n">
        <v>46316</v>
      </c>
      <c r="F521" t="inlineStr">
        <is>
          <t>HALLANDS LÄN</t>
        </is>
      </c>
      <c r="G521" t="inlineStr">
        <is>
          <t>HALMSTAD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3049-2024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45516</v>
      </c>
      <c r="E522" s="1" t="n">
        <v>46316</v>
      </c>
      <c r="F522" t="inlineStr">
        <is>
          <t>HALLANDS LÄN</t>
        </is>
      </c>
      <c r="G522" t="inlineStr">
        <is>
          <t>HALMSTAD</t>
        </is>
      </c>
      <c r="I522" t="n">
        <v>13.9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1074-2025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45750</v>
      </c>
      <c r="E523" s="1" t="n">
        <v>46316</v>
      </c>
      <c r="F523" t="inlineStr">
        <is>
          <t>HALLANDS LÄN</t>
        </is>
      </c>
      <c r="G523" t="inlineStr">
        <is>
          <t>HALMSTAD</t>
        </is>
      </c>
      <c r="I523" t="n">
        <v>9.5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5037-2024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45636</v>
      </c>
      <c r="E524" s="1" t="n">
        <v>46316</v>
      </c>
      <c r="F524" t="inlineStr">
        <is>
          <t>HALLANDS LÄN</t>
        </is>
      </c>
      <c r="G524" t="inlineStr">
        <is>
          <t>HALMSTAD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865-2025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45734</v>
      </c>
      <c r="E525" s="1" t="n">
        <v>46316</v>
      </c>
      <c r="F525" t="inlineStr">
        <is>
          <t>HALLANDS LÄN</t>
        </is>
      </c>
      <c r="G525" t="inlineStr">
        <is>
          <t>HALMSTAD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801-2025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45729</v>
      </c>
      <c r="E526" s="1" t="n">
        <v>46316</v>
      </c>
      <c r="F526" t="inlineStr">
        <is>
          <t>HALLANDS LÄN</t>
        </is>
      </c>
      <c r="G526" t="inlineStr">
        <is>
          <t>HALMSTAD</t>
        </is>
      </c>
      <c r="I526" t="n">
        <v>10.5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678-2025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45716</v>
      </c>
      <c r="E527" s="1" t="n">
        <v>46316</v>
      </c>
      <c r="F527" t="inlineStr">
        <is>
          <t>HALLANDS LÄN</t>
        </is>
      </c>
      <c r="G527" t="inlineStr">
        <is>
          <t>HALMSTAD</t>
        </is>
      </c>
      <c r="I527" t="n">
        <v>14.5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1503-2026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46163</v>
      </c>
      <c r="E528" s="1" t="n">
        <v>46316</v>
      </c>
      <c r="F528" t="inlineStr">
        <is>
          <t>HALLANDS LÄN</t>
        </is>
      </c>
      <c r="G528" t="inlineStr">
        <is>
          <t>HALMSTAD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2016-2026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46212</v>
      </c>
      <c r="E529" s="1" t="n">
        <v>46316</v>
      </c>
      <c r="F529" t="inlineStr">
        <is>
          <t>HALLANDS LÄN</t>
        </is>
      </c>
      <c r="G529" t="inlineStr">
        <is>
          <t>HALMSTAD</t>
        </is>
      </c>
      <c r="I529" t="n">
        <v>18.8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>
      <c r="A530" t="inlineStr">
        <is>
          <t>S 2118-2026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46244</v>
      </c>
      <c r="E530" s="1" t="n">
        <v>46316</v>
      </c>
      <c r="F530" t="inlineStr">
        <is>
          <t>HALLANDS LÄN</t>
        </is>
      </c>
      <c r="G530" t="inlineStr">
        <is>
          <t>HALMSTAD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2026-10-21T02:02:26Z</dcterms:created>
  <dcterms:modified xmlns:dcterms="http://purl.org/dc/terms/" xmlns:xsi="http://www.w3.org/2001/XMLSchema-instance" xsi:type="dcterms:W3CDTF">2026-10-21T02:02:26Z</dcterms:modified>
</cp:coreProperties>
</file>
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46313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46313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46313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46313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46313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46313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46313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46313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46313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46313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46313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Röd glada
Lopplummer (aggregat)</t>
        </is>
      </c>
      <c r="W27">
        <f>HYPERLINK("https://klasma.github.io/Logging_1380/artfynd/A 26108-2022 artfynd.xlsx", "A 26108-2022")</f>
        <v/>
      </c>
      <c r="X27">
        <f>HYPERLINK("https://klasma.github.io/Logging_1380/kartor/A 26108-2022 karta.png", "A 26108-2022")</f>
        <v/>
      </c>
      <c r="Y27">
        <f>HYPERLINK("https://klasma.github.io/Logging_1380/kartor_geotiff/A 26108-2022 georefererad karta.tif", "A 26108-2022")</f>
        <v/>
      </c>
      <c r="AA27">
        <f>HYPERLINK("https://klasma.github.io/Logging_1380/klagomål/A 26108-2022 FSC-klagomål.docx", "A 26108-2022")</f>
        <v/>
      </c>
      <c r="AB27">
        <f>HYPERLINK("https://klasma.github.io/Logging_1380/klagomålsmail/A 26108-2022 FSC-klagomål mail.docx", "A 26108-2022")</f>
        <v/>
      </c>
      <c r="AC27">
        <f>HYPERLINK("https://klasma.github.io/Logging_1380/tillsyn/A 26108-2022 tillsynsbegäran.docx", "A 26108-2022")</f>
        <v/>
      </c>
      <c r="AD27">
        <f>HYPERLINK("https://klasma.github.io/Logging_1380/tillsynsmail/A 26108-2022 tillsynsbegäran mail.docx", "A 26108-2022")</f>
        <v/>
      </c>
      <c r="AE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46313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46313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46313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46313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46313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46313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46313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46313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46313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46313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46313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46313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46313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46313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46313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46313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40659-2023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40659-2023 artfynd.xlsx", "A 40659-2023")</f>
        <v/>
      </c>
      <c r="X49">
        <f>HYPERLINK("https://klasma.github.io/Logging_1380/kartor/A 40659-2023 karta.png", "A 40659-2023")</f>
        <v/>
      </c>
      <c r="Y49">
        <f>HYPERLINK("https://klasma.github.io/Logging_1380/kartor_geotiff/A 40659-2023 georefererad karta.tif", "A 40659-2023")</f>
        <v/>
      </c>
      <c r="AA49">
        <f>HYPERLINK("https://klasma.github.io/Logging_1380/klagomål/A 40659-2023 FSC-klagomål.docx", "A 40659-2023")</f>
        <v/>
      </c>
      <c r="AB49">
        <f>HYPERLINK("https://klasma.github.io/Logging_1380/klagomålsmail/A 40659-2023 FSC-klagomål mail.docx", "A 40659-2023")</f>
        <v/>
      </c>
      <c r="AC49">
        <f>HYPERLINK("https://klasma.github.io/Logging_1380/tillsyn/A 40659-2023 tillsynsbegäran.docx", "A 40659-2023")</f>
        <v/>
      </c>
      <c r="AD49">
        <f>HYPERLINK("https://klasma.github.io/Logging_1380/tillsynsmail/A 40659-2023 tillsynsbegäran mail.docx", "A 40659-2023")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46313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21626-2026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46313</v>
      </c>
      <c r="F51" t="inlineStr">
        <is>
          <t>HALLANDS LÄN</t>
        </is>
      </c>
      <c r="G51" t="inlineStr">
        <is>
          <t>HALMSTAD</t>
        </is>
      </c>
      <c r="I51" t="n">
        <v>9.6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21626-2026 artfynd.xlsx", "A 21626-2026")</f>
        <v/>
      </c>
      <c r="X51">
        <f>HYPERLINK("https://klasma.github.io/Logging_1380/kartor/A 21626-2026 karta.png", "A 21626-2026")</f>
        <v/>
      </c>
      <c r="Y51">
        <f>HYPERLINK("https://klasma.github.io/Logging_1380/kartor_geotiff/A 21626-2026 georefererad karta.tif", "A 21626-2026")</f>
        <v/>
      </c>
      <c r="AA51">
        <f>HYPERLINK("https://klasma.github.io/Logging_1380/klagomål/A 21626-2026 FSC-klagomål.docx", "A 21626-2026")</f>
        <v/>
      </c>
      <c r="AB51">
        <f>HYPERLINK("https://klasma.github.io/Logging_1380/klagomålsmail/A 21626-2026 FSC-klagomål mail.docx", "A 21626-2026")</f>
        <v/>
      </c>
      <c r="AC51">
        <f>HYPERLINK("https://klasma.github.io/Logging_1380/tillsyn/A 21626-2026 tillsynsbegäran.docx", "A 21626-2026")</f>
        <v/>
      </c>
      <c r="AD51">
        <f>HYPERLINK("https://klasma.github.io/Logging_1380/tillsynsmail/A 21626-2026 tillsynsbegäran mail.docx", "A 21626-2026")</f>
        <v/>
      </c>
    </row>
    <row r="52" ht="15" customHeight="1">
      <c r="A52" t="inlineStr">
        <is>
          <t>A 9045-2026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46069</v>
      </c>
      <c r="E52" s="1" t="n">
        <v>46313</v>
      </c>
      <c r="F52" t="inlineStr">
        <is>
          <t>HALLANDS LÄN</t>
        </is>
      </c>
      <c r="G52" t="inlineStr">
        <is>
          <t>HALMSTAD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9045-2026 artfynd.xlsx", "A 9045-2026")</f>
        <v/>
      </c>
      <c r="X52">
        <f>HYPERLINK("https://klasma.github.io/Logging_1380/kartor/A 9045-2026 karta.png", "A 9045-2026")</f>
        <v/>
      </c>
      <c r="Y52">
        <f>HYPERLINK("https://klasma.github.io/Logging_1380/kartor_geotiff/A 9045-2026 georefererad karta.tif", "A 9045-2026")</f>
        <v/>
      </c>
      <c r="AA52">
        <f>HYPERLINK("https://klasma.github.io/Logging_1380/klagomål/A 9045-2026 FSC-klagomål.docx", "A 9045-2026")</f>
        <v/>
      </c>
      <c r="AB52">
        <f>HYPERLINK("https://klasma.github.io/Logging_1380/klagomålsmail/A 9045-2026 FSC-klagomål mail.docx", "A 9045-2026")</f>
        <v/>
      </c>
      <c r="AC52">
        <f>HYPERLINK("https://klasma.github.io/Logging_1380/tillsyn/A 9045-2026 tillsynsbegäran.docx", "A 9045-2026")</f>
        <v/>
      </c>
      <c r="AD52">
        <f>HYPERLINK("https://klasma.github.io/Logging_1380/tillsynsmail/A 9045-2026 tillsynsbegäran mail.docx", "A 9045-2026")</f>
        <v/>
      </c>
    </row>
    <row r="53" ht="15" customHeight="1">
      <c r="A53" t="inlineStr">
        <is>
          <t>A 23305-2026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46313</v>
      </c>
      <c r="F53" t="inlineStr">
        <is>
          <t>HALLANDS LÄN</t>
        </is>
      </c>
      <c r="G53" t="inlineStr">
        <is>
          <t>HALMSTAD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23305-2026 artfynd.xlsx", "A 23305-2026")</f>
        <v/>
      </c>
      <c r="X53">
        <f>HYPERLINK("https://klasma.github.io/Logging_1380/kartor/A 23305-2026 karta.png", "A 23305-2026")</f>
        <v/>
      </c>
      <c r="Y53">
        <f>HYPERLINK("https://klasma.github.io/Logging_1380/kartor_geotiff/A 23305-2026 georefererad karta.tif", "A 23305-2026")</f>
        <v/>
      </c>
      <c r="AA53">
        <f>HYPERLINK("https://klasma.github.io/Logging_1380/klagomål/A 23305-2026 FSC-klagomål.docx", "A 23305-2026")</f>
        <v/>
      </c>
      <c r="AB53">
        <f>HYPERLINK("https://klasma.github.io/Logging_1380/klagomålsmail/A 23305-2026 FSC-klagomål mail.docx", "A 23305-2026")</f>
        <v/>
      </c>
      <c r="AC53">
        <f>HYPERLINK("https://klasma.github.io/Logging_1380/tillsyn/A 23305-2026 tillsynsbegäran.docx", "A 23305-2026")</f>
        <v/>
      </c>
      <c r="AD53">
        <f>HYPERLINK("https://klasma.github.io/Logging_1380/tillsynsmail/A 23305-2026 tillsynsbegäran mail.docx", "A 23305-2026")</f>
        <v/>
      </c>
    </row>
    <row r="54" ht="15" customHeight="1">
      <c r="A54" t="inlineStr">
        <is>
          <t>A 5530-2025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45692</v>
      </c>
      <c r="E54" s="1" t="n">
        <v>46313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Igelkott</t>
        </is>
      </c>
      <c r="W54">
        <f>HYPERLINK("https://klasma.github.io/Logging_1380/artfynd/A 5530-2025 artfynd.xlsx", "A 5530-2025")</f>
        <v/>
      </c>
      <c r="X54">
        <f>HYPERLINK("https://klasma.github.io/Logging_1380/kartor/A 5530-2025 karta.png", "A 5530-2025")</f>
        <v/>
      </c>
      <c r="Y54">
        <f>HYPERLINK("https://klasma.github.io/Logging_1380/kartor_geotiff/A 5530-2025 georefererad karta.tif", "A 5530-2025")</f>
        <v/>
      </c>
      <c r="AA54">
        <f>HYPERLINK("https://klasma.github.io/Logging_1380/klagomål/A 5530-2025 FSC-klagomål.docx", "A 5530-2025")</f>
        <v/>
      </c>
      <c r="AB54">
        <f>HYPERLINK("https://klasma.github.io/Logging_1380/klagomålsmail/A 5530-2025 FSC-klagomål mail.docx", "A 5530-2025")</f>
        <v/>
      </c>
      <c r="AC54">
        <f>HYPERLINK("https://klasma.github.io/Logging_1380/tillsyn/A 5530-2025 tillsynsbegäran.docx", "A 5530-2025")</f>
        <v/>
      </c>
      <c r="AD54">
        <f>HYPERLINK("https://klasma.github.io/Logging_1380/tillsynsmail/A 5530-2025 tillsynsbegäran mail.docx", "A 5530-2025")</f>
        <v/>
      </c>
    </row>
    <row r="55" ht="15" customHeight="1">
      <c r="A55" t="inlineStr">
        <is>
          <t>A 17266-2023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45035</v>
      </c>
      <c r="E55" s="1" t="n">
        <v>46313</v>
      </c>
      <c r="F55" t="inlineStr">
        <is>
          <t>HALLANDS LÄN</t>
        </is>
      </c>
      <c r="G55" t="inlineStr">
        <is>
          <t>HALMSTAD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HYPERLINK("https://klasma.github.io/Logging_1380/artfynd/A 17266-2023 artfynd.xlsx", "A 17266-2023")</f>
        <v/>
      </c>
      <c r="X55">
        <f>HYPERLINK("https://klasma.github.io/Logging_1380/kartor/A 17266-2023 karta.png", "A 17266-2023")</f>
        <v/>
      </c>
      <c r="Y55">
        <f>HYPERLINK("https://klasma.github.io/Logging_1380/kartor_geotiff/A 17266-2023 georefererad karta.tif", "A 17266-2023")</f>
        <v/>
      </c>
      <c r="AA55">
        <f>HYPERLINK("https://klasma.github.io/Logging_1380/klagomål/A 17266-2023 FSC-klagomål.docx", "A 17266-2023")</f>
        <v/>
      </c>
      <c r="AB55">
        <f>HYPERLINK("https://klasma.github.io/Logging_1380/klagomålsmail/A 17266-2023 FSC-klagomål mail.docx", "A 17266-2023")</f>
        <v/>
      </c>
      <c r="AC55">
        <f>HYPERLINK("https://klasma.github.io/Logging_1380/tillsyn/A 17266-2023 tillsynsbegäran.docx", "A 17266-2023")</f>
        <v/>
      </c>
      <c r="AD55">
        <f>HYPERLINK("https://klasma.github.io/Logging_1380/tillsynsmail/A 17266-2023 tillsynsbegäran mail.docx", "A 17266-2023")</f>
        <v/>
      </c>
    </row>
    <row r="56" ht="15" customHeight="1">
      <c r="A56" t="inlineStr">
        <is>
          <t>A 22842-2022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46313</v>
      </c>
      <c r="F56" t="inlineStr">
        <is>
          <t>HALLANDS LÄN</t>
        </is>
      </c>
      <c r="G56" t="inlineStr">
        <is>
          <t>HALMSTAD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Spillkråka</t>
        </is>
      </c>
      <c r="W56">
        <f>HYPERLINK("https://klasma.github.io/Logging_1380/artfynd/A 22842-2022 artfynd.xlsx", "A 22842-2022")</f>
        <v/>
      </c>
      <c r="X56">
        <f>HYPERLINK("https://klasma.github.io/Logging_1380/kartor/A 22842-2022 karta.png", "A 22842-2022")</f>
        <v/>
      </c>
      <c r="Y56">
        <f>HYPERLINK("https://klasma.github.io/Logging_1380/kartor_geotiff/A 22842-2022 georefererad karta.tif", "A 22842-2022")</f>
        <v/>
      </c>
      <c r="AA56">
        <f>HYPERLINK("https://klasma.github.io/Logging_1380/klagomål/A 22842-2022 FSC-klagomål.docx", "A 22842-2022")</f>
        <v/>
      </c>
      <c r="AB56">
        <f>HYPERLINK("https://klasma.github.io/Logging_1380/klagomålsmail/A 22842-2022 FSC-klagomål mail.docx", "A 22842-2022")</f>
        <v/>
      </c>
      <c r="AC56">
        <f>HYPERLINK("https://klasma.github.io/Logging_1380/tillsyn/A 22842-2022 tillsynsbegäran.docx", "A 22842-2022")</f>
        <v/>
      </c>
      <c r="AD56">
        <f>HYPERLINK("https://klasma.github.io/Logging_1380/tillsynsmail/A 22842-2022 tillsynsbegäran mail.docx", "A 22842-2022")</f>
        <v/>
      </c>
      <c r="AE56">
        <f>HYPERLINK("https://klasma.github.io/Logging_1380/fåglar/A 22842-2022 prioriterade fågelarter.docx", "A 22842-2022")</f>
        <v/>
      </c>
    </row>
    <row r="57" ht="15" customHeight="1">
      <c r="A57" t="inlineStr">
        <is>
          <t>A 21483-2024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46313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21483-2024 artfynd.xlsx", "A 21483-2024")</f>
        <v/>
      </c>
      <c r="X57">
        <f>HYPERLINK("https://klasma.github.io/Logging_1380/kartor/A 21483-2024 karta.png", "A 21483-2024")</f>
        <v/>
      </c>
      <c r="Y57">
        <f>HYPERLINK("https://klasma.github.io/Logging_1380/kartor_geotiff/A 21483-2024 georefererad karta.tif", "A 21483-2024")</f>
        <v/>
      </c>
      <c r="AA57">
        <f>HYPERLINK("https://klasma.github.io/Logging_1380/klagomål/A 21483-2024 FSC-klagomål.docx", "A 21483-2024")</f>
        <v/>
      </c>
      <c r="AB57">
        <f>HYPERLINK("https://klasma.github.io/Logging_1380/klagomålsmail/A 21483-2024 FSC-klagomål mail.docx", "A 21483-2024")</f>
        <v/>
      </c>
      <c r="AC57">
        <f>HYPERLINK("https://klasma.github.io/Logging_1380/tillsyn/A 21483-2024 tillsynsbegäran.docx", "A 21483-2024")</f>
        <v/>
      </c>
      <c r="AD57">
        <f>HYPERLINK("https://klasma.github.io/Logging_1380/tillsynsmail/A 21483-2024 tillsynsbegäran mail.docx", "A 21483-2024")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46313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25382-2026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46313</v>
      </c>
      <c r="F59" t="inlineStr">
        <is>
          <t>HALLANDS LÄN</t>
        </is>
      </c>
      <c r="G59" t="inlineStr">
        <is>
          <t>HALMSTAD</t>
        </is>
      </c>
      <c r="I59" t="n">
        <v>10.9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HYPERLINK("https://klasma.github.io/Logging_1380/artfynd/A 25382-2026 artfynd.xlsx", "A 25382-2026")</f>
        <v/>
      </c>
      <c r="X59">
        <f>HYPERLINK("https://klasma.github.io/Logging_1380/kartor/A 25382-2026 karta.png", "A 25382-2026")</f>
        <v/>
      </c>
      <c r="Y59">
        <f>HYPERLINK("https://klasma.github.io/Logging_1380/kartor_geotiff/A 25382-2026 georefererad karta.tif", "A 25382-2026")</f>
        <v/>
      </c>
      <c r="AA59">
        <f>HYPERLINK("https://klasma.github.io/Logging_1380/klagomål/A 25382-2026 FSC-klagomål.docx", "A 25382-2026")</f>
        <v/>
      </c>
      <c r="AB59">
        <f>HYPERLINK("https://klasma.github.io/Logging_1380/klagomålsmail/A 25382-2026 FSC-klagomål mail.docx", "A 25382-2026")</f>
        <v/>
      </c>
      <c r="AC59">
        <f>HYPERLINK("https://klasma.github.io/Logging_1380/tillsyn/A 25382-2026 tillsynsbegäran.docx", "A 25382-2026")</f>
        <v/>
      </c>
      <c r="AD59">
        <f>HYPERLINK("https://klasma.github.io/Logging_1380/tillsynsmail/A 25382-2026 tillsynsbegäran mail.docx", "A 25382-2026")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46313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46505-2025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46313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46505-2025 artfynd.xlsx", "A 46505-2025")</f>
        <v/>
      </c>
      <c r="X61">
        <f>HYPERLINK("https://klasma.github.io/Logging_1380/kartor/A 46505-2025 karta.png", "A 46505-2025")</f>
        <v/>
      </c>
      <c r="Y61">
        <f>HYPERLINK("https://klasma.github.io/Logging_1380/kartor_geotiff/A 46505-2025 georefererad karta.tif", "A 46505-2025")</f>
        <v/>
      </c>
      <c r="AA61">
        <f>HYPERLINK("https://klasma.github.io/Logging_1380/klagomål/A 46505-2025 FSC-klagomål.docx", "A 46505-2025")</f>
        <v/>
      </c>
      <c r="AB61">
        <f>HYPERLINK("https://klasma.github.io/Logging_1380/klagomålsmail/A 46505-2025 FSC-klagomål mail.docx", "A 46505-2025")</f>
        <v/>
      </c>
      <c r="AC61">
        <f>HYPERLINK("https://klasma.github.io/Logging_1380/tillsyn/A 46505-2025 tillsynsbegäran.docx", "A 46505-2025")</f>
        <v/>
      </c>
      <c r="AD61">
        <f>HYPERLINK("https://klasma.github.io/Logging_1380/tillsynsmail/A 46505-2025 tillsynsbegäran mail.docx", "A 46505-2025")</f>
        <v/>
      </c>
    </row>
    <row r="62" ht="15" customHeight="1">
      <c r="A62" t="inlineStr">
        <is>
          <t>A 26330-2026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46313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HYPERLINK("https://klasma.github.io/Logging_1380/artfynd/A 26330-2026 artfynd.xlsx", "A 26330-2026")</f>
        <v/>
      </c>
      <c r="X62">
        <f>HYPERLINK("https://klasma.github.io/Logging_1380/kartor/A 26330-2026 karta.png", "A 26330-2026")</f>
        <v/>
      </c>
      <c r="Y62">
        <f>HYPERLINK("https://klasma.github.io/Logging_1380/kartor_geotiff/A 26330-2026 georefererad karta.tif", "A 26330-2026")</f>
        <v/>
      </c>
      <c r="AA62">
        <f>HYPERLINK("https://klasma.github.io/Logging_1380/klagomål/A 26330-2026 FSC-klagomål.docx", "A 26330-2026")</f>
        <v/>
      </c>
      <c r="AB62">
        <f>HYPERLINK("https://klasma.github.io/Logging_1380/klagomålsmail/A 26330-2026 FSC-klagomål mail.docx", "A 26330-2026")</f>
        <v/>
      </c>
      <c r="AC62">
        <f>HYPERLINK("https://klasma.github.io/Logging_1380/tillsyn/A 26330-2026 tillsynsbegäran.docx", "A 26330-2026")</f>
        <v/>
      </c>
      <c r="AD62">
        <f>HYPERLINK("https://klasma.github.io/Logging_1380/tillsynsmail/A 26330-2026 tillsynsbegäran mail.docx", "A 26330-2026")</f>
        <v/>
      </c>
    </row>
    <row r="63" ht="15" customHeight="1">
      <c r="A63" t="inlineStr">
        <is>
          <t>A 6767-2026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46313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6767-2026 artfynd.xlsx", "A 6767-2026")</f>
        <v/>
      </c>
      <c r="X63">
        <f>HYPERLINK("https://klasma.github.io/Logging_1380/kartor/A 6767-2026 karta.png", "A 6767-2026")</f>
        <v/>
      </c>
      <c r="Y63">
        <f>HYPERLINK("https://klasma.github.io/Logging_1380/kartor_geotiff/A 6767-2026 georefererad karta.tif", "A 6767-2026")</f>
        <v/>
      </c>
      <c r="AA63">
        <f>HYPERLINK("https://klasma.github.io/Logging_1380/klagomål/A 6767-2026 FSC-klagomål.docx", "A 6767-2026")</f>
        <v/>
      </c>
      <c r="AB63">
        <f>HYPERLINK("https://klasma.github.io/Logging_1380/klagomålsmail/A 6767-2026 FSC-klagomål mail.docx", "A 6767-2026")</f>
        <v/>
      </c>
      <c r="AC63">
        <f>HYPERLINK("https://klasma.github.io/Logging_1380/tillsyn/A 6767-2026 tillsynsbegäran.docx", "A 6767-2026")</f>
        <v/>
      </c>
      <c r="AD63">
        <f>HYPERLINK("https://klasma.github.io/Logging_1380/tillsynsmail/A 6767-2026 tillsynsbegäran mail.docx", "A 6767-2026")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46313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6775-2026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46313</v>
      </c>
      <c r="F65" t="inlineStr">
        <is>
          <t>HALLANDS LÄN</t>
        </is>
      </c>
      <c r="G65" t="inlineStr">
        <is>
          <t>HALMSTAD</t>
        </is>
      </c>
      <c r="I65" t="n">
        <v>8.199999999999999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Barbastell</t>
        </is>
      </c>
      <c r="W65">
        <f>HYPERLINK("https://klasma.github.io/Logging_1380/artfynd/A 6775-2026 artfynd.xlsx", "A 6775-2026")</f>
        <v/>
      </c>
      <c r="X65">
        <f>HYPERLINK("https://klasma.github.io/Logging_1380/kartor/A 6775-2026 karta.png", "A 6775-2026")</f>
        <v/>
      </c>
      <c r="Y65">
        <f>HYPERLINK("https://klasma.github.io/Logging_1380/kartor_geotiff/A 6775-2026 georefererad karta.tif", "A 6775-2026")</f>
        <v/>
      </c>
      <c r="AA65">
        <f>HYPERLINK("https://klasma.github.io/Logging_1380/klagomål/A 6775-2026 FSC-klagomål.docx", "A 6775-2026")</f>
        <v/>
      </c>
      <c r="AB65">
        <f>HYPERLINK("https://klasma.github.io/Logging_1380/klagomålsmail/A 6775-2026 FSC-klagomål mail.docx", "A 6775-2026")</f>
        <v/>
      </c>
      <c r="AC65">
        <f>HYPERLINK("https://klasma.github.io/Logging_1380/tillsyn/A 6775-2026 tillsynsbegäran.docx", "A 6775-2026")</f>
        <v/>
      </c>
      <c r="AD65">
        <f>HYPERLINK("https://klasma.github.io/Logging_1380/tillsynsmail/A 6775-2026 tillsynsbegäran mail.docx", "A 6775-2026")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46313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40650-2023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46313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14.7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40650-2023 artfynd.xlsx", "A 40650-2023")</f>
        <v/>
      </c>
      <c r="X67">
        <f>HYPERLINK("https://klasma.github.io/Logging_1380/kartor/A 40650-2023 karta.png", "A 40650-2023")</f>
        <v/>
      </c>
      <c r="Y67">
        <f>HYPERLINK("https://klasma.github.io/Logging_1380/kartor_geotiff/A 40650-2023 georefererad karta.tif", "A 40650-2023")</f>
        <v/>
      </c>
      <c r="AA67">
        <f>HYPERLINK("https://klasma.github.io/Logging_1380/klagomål/A 40650-2023 FSC-klagomål.docx", "A 40650-2023")</f>
        <v/>
      </c>
      <c r="AB67">
        <f>HYPERLINK("https://klasma.github.io/Logging_1380/klagomålsmail/A 40650-2023 FSC-klagomål mail.docx", "A 40650-2023")</f>
        <v/>
      </c>
      <c r="AC67">
        <f>HYPERLINK("https://klasma.github.io/Logging_1380/tillsyn/A 40650-2023 tillsynsbegäran.docx", "A 40650-2023")</f>
        <v/>
      </c>
      <c r="AD67">
        <f>HYPERLINK("https://klasma.github.io/Logging_1380/tillsynsmail/A 40650-2023 tillsynsbegäran mail.docx", "A 40650-2023")</f>
        <v/>
      </c>
    </row>
    <row r="68" ht="15" customHeight="1">
      <c r="A68" t="inlineStr">
        <is>
          <t>A 21488-2024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46313</v>
      </c>
      <c r="F68" t="inlineStr">
        <is>
          <t>HALLANDS LÄN</t>
        </is>
      </c>
      <c r="G68" t="inlineStr">
        <is>
          <t>HALMSTAD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21488-2024 artfynd.xlsx", "A 21488-2024")</f>
        <v/>
      </c>
      <c r="X68">
        <f>HYPERLINK("https://klasma.github.io/Logging_1380/kartor/A 21488-2024 karta.png", "A 21488-2024")</f>
        <v/>
      </c>
      <c r="Y68">
        <f>HYPERLINK("https://klasma.github.io/Logging_1380/kartor_geotiff/A 21488-2024 georefererad karta.tif", "A 21488-2024")</f>
        <v/>
      </c>
      <c r="AA68">
        <f>HYPERLINK("https://klasma.github.io/Logging_1380/klagomål/A 21488-2024 FSC-klagomål.docx", "A 21488-2024")</f>
        <v/>
      </c>
      <c r="AB68">
        <f>HYPERLINK("https://klasma.github.io/Logging_1380/klagomålsmail/A 21488-2024 FSC-klagomål mail.docx", "A 21488-2024")</f>
        <v/>
      </c>
      <c r="AC68">
        <f>HYPERLINK("https://klasma.github.io/Logging_1380/tillsyn/A 21488-2024 tillsynsbegäran.docx", "A 21488-2024")</f>
        <v/>
      </c>
      <c r="AD68">
        <f>HYPERLINK("https://klasma.github.io/Logging_1380/tillsynsmail/A 21488-2024 tillsynsbegäran mail.docx", "A 21488-2024")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46313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41364-2026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46300</v>
      </c>
      <c r="E70" s="1" t="n">
        <v>46313</v>
      </c>
      <c r="F70" t="inlineStr">
        <is>
          <t>HALLANDS LÄN</t>
        </is>
      </c>
      <c r="G70" t="inlineStr">
        <is>
          <t>HALMSTAD</t>
        </is>
      </c>
      <c r="I70" t="n">
        <v>7.4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Västlig hakmossa</t>
        </is>
      </c>
      <c r="W70">
        <f>HYPERLINK("https://klasma.github.io/Logging_1380/artfynd/A 41364-2026 artfynd.xlsx", "A 41364-2026")</f>
        <v/>
      </c>
      <c r="X70">
        <f>HYPERLINK("https://klasma.github.io/Logging_1380/kartor/A 41364-2026 karta.png", "A 41364-2026")</f>
        <v/>
      </c>
      <c r="Y70">
        <f>HYPERLINK("https://klasma.github.io/Logging_1380/kartor_geotiff/A 41364-2026 georefererad karta.tif", "A 41364-2026")</f>
        <v/>
      </c>
      <c r="AA70">
        <f>HYPERLINK("https://klasma.github.io/Logging_1380/klagomål/A 41364-2026 FSC-klagomål.docx", "A 41364-2026")</f>
        <v/>
      </c>
      <c r="AB70">
        <f>HYPERLINK("https://klasma.github.io/Logging_1380/klagomålsmail/A 41364-2026 FSC-klagomål mail.docx", "A 41364-2026")</f>
        <v/>
      </c>
      <c r="AC70">
        <f>HYPERLINK("https://klasma.github.io/Logging_1380/tillsyn/A 41364-2026 tillsynsbegäran.docx", "A 41364-2026")</f>
        <v/>
      </c>
      <c r="AD70">
        <f>HYPERLINK("https://klasma.github.io/Logging_1380/tillsynsmail/A 41364-2026 tillsynsbegäran mail.docx", "A 41364-2026")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46313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32822-2025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46313</v>
      </c>
      <c r="F72" t="inlineStr">
        <is>
          <t>HALLANDS LÄN</t>
        </is>
      </c>
      <c r="G72" t="inlineStr">
        <is>
          <t>HALMSTAD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Hasselmus</t>
        </is>
      </c>
      <c r="W72">
        <f>HYPERLINK("https://klasma.github.io/Logging_1380/artfynd/A 32822-2025 artfynd.xlsx", "A 32822-2025")</f>
        <v/>
      </c>
      <c r="X72">
        <f>HYPERLINK("https://klasma.github.io/Logging_1380/kartor/A 32822-2025 karta.png", "A 32822-2025")</f>
        <v/>
      </c>
      <c r="Y72">
        <f>HYPERLINK("https://klasma.github.io/Logging_1380/kartor_geotiff/A 32822-2025 georefererad karta.tif", "A 32822-2025")</f>
        <v/>
      </c>
      <c r="AA72">
        <f>HYPERLINK("https://klasma.github.io/Logging_1380/klagomål/A 32822-2025 FSC-klagomål.docx", "A 32822-2025")</f>
        <v/>
      </c>
      <c r="AB72">
        <f>HYPERLINK("https://klasma.github.io/Logging_1380/klagomålsmail/A 32822-2025 FSC-klagomål mail.docx", "A 32822-2025")</f>
        <v/>
      </c>
      <c r="AC72">
        <f>HYPERLINK("https://klasma.github.io/Logging_1380/tillsyn/A 32822-2025 tillsynsbegäran.docx", "A 32822-2025")</f>
        <v/>
      </c>
      <c r="AD72">
        <f>HYPERLINK("https://klasma.github.io/Logging_1380/tillsynsmail/A 32822-2025 tillsynsbegäran mail.docx", "A 32822-2025")</f>
        <v/>
      </c>
    </row>
    <row r="73" ht="15" customHeight="1">
      <c r="A73" t="inlineStr">
        <is>
          <t>A 10063-2022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46313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10063-2022 artfynd.xlsx", "A 10063-2022")</f>
        <v/>
      </c>
      <c r="X73">
        <f>HYPERLINK("https://klasma.github.io/Logging_1380/kartor/A 10063-2022 karta.png", "A 10063-2022")</f>
        <v/>
      </c>
      <c r="Y73">
        <f>HYPERLINK("https://klasma.github.io/Logging_1380/kartor_geotiff/A 10063-2022 georefererad karta.tif", "A 10063-2022")</f>
        <v/>
      </c>
      <c r="AA73">
        <f>HYPERLINK("https://klasma.github.io/Logging_1380/klagomål/A 10063-2022 FSC-klagomål.docx", "A 10063-2022")</f>
        <v/>
      </c>
      <c r="AB73">
        <f>HYPERLINK("https://klasma.github.io/Logging_1380/klagomålsmail/A 10063-2022 FSC-klagomål mail.docx", "A 10063-2022")</f>
        <v/>
      </c>
      <c r="AC73">
        <f>HYPERLINK("https://klasma.github.io/Logging_1380/tillsyn/A 10063-2022 tillsynsbegäran.docx", "A 10063-2022")</f>
        <v/>
      </c>
      <c r="AD73">
        <f>HYPERLINK("https://klasma.github.io/Logging_1380/tillsynsmail/A 10063-2022 tillsynsbegäran mail.docx", "A 10063-2022")</f>
        <v/>
      </c>
    </row>
    <row r="74" ht="15" customHeight="1">
      <c r="A74" t="inlineStr">
        <is>
          <t>A 5240-2025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45692</v>
      </c>
      <c r="E74" s="1" t="n">
        <v>46313</v>
      </c>
      <c r="F74" t="inlineStr">
        <is>
          <t>HALLANDS LÄN</t>
        </is>
      </c>
      <c r="G74" t="inlineStr">
        <is>
          <t>HALMSTAD</t>
        </is>
      </c>
      <c r="I74" t="n">
        <v>8.300000000000001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Mussellav</t>
        </is>
      </c>
      <c r="W74">
        <f>HYPERLINK("https://klasma.github.io/Logging_1380/artfynd/A 5240-2025 artfynd.xlsx", "A 5240-2025")</f>
        <v/>
      </c>
      <c r="X74">
        <f>HYPERLINK("https://klasma.github.io/Logging_1380/kartor/A 5240-2025 karta.png", "A 5240-2025")</f>
        <v/>
      </c>
      <c r="Y74">
        <f>HYPERLINK("https://klasma.github.io/Logging_1380/kartor_geotiff/A 5240-2025 georefererad karta.tif", "A 5240-2025")</f>
        <v/>
      </c>
      <c r="AA74">
        <f>HYPERLINK("https://klasma.github.io/Logging_1380/klagomål/A 5240-2025 FSC-klagomål.docx", "A 5240-2025")</f>
        <v/>
      </c>
      <c r="AB74">
        <f>HYPERLINK("https://klasma.github.io/Logging_1380/klagomålsmail/A 5240-2025 FSC-klagomål mail.docx", "A 5240-2025")</f>
        <v/>
      </c>
      <c r="AC74">
        <f>HYPERLINK("https://klasma.github.io/Logging_1380/tillsyn/A 5240-2025 tillsynsbegäran.docx", "A 5240-2025")</f>
        <v/>
      </c>
      <c r="AD74">
        <f>HYPERLINK("https://klasma.github.io/Logging_1380/tillsynsmail/A 5240-2025 tillsynsbegäran mail.docx", "A 5240-2025")</f>
        <v/>
      </c>
    </row>
    <row r="75" ht="15" customHeight="1">
      <c r="A75" t="inlineStr">
        <is>
          <t>A 20419-2022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44699</v>
      </c>
      <c r="E75" s="1" t="n">
        <v>46313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HYPERLINK("https://klasma.github.io/Logging_1380/artfynd/A 20419-2022 artfynd.xlsx", "A 20419-2022")</f>
        <v/>
      </c>
      <c r="X75">
        <f>HYPERLINK("https://klasma.github.io/Logging_1380/kartor/A 20419-2022 karta.png", "A 20419-2022")</f>
        <v/>
      </c>
      <c r="Y75">
        <f>HYPERLINK("https://klasma.github.io/Logging_1380/kartor_geotiff/A 20419-2022 georefererad karta.tif", "A 20419-2022")</f>
        <v/>
      </c>
      <c r="AA75">
        <f>HYPERLINK("https://klasma.github.io/Logging_1380/klagomål/A 20419-2022 FSC-klagomål.docx", "A 20419-2022")</f>
        <v/>
      </c>
      <c r="AB75">
        <f>HYPERLINK("https://klasma.github.io/Logging_1380/klagomålsmail/A 20419-2022 FSC-klagomål mail.docx", "A 20419-2022")</f>
        <v/>
      </c>
      <c r="AC75">
        <f>HYPERLINK("https://klasma.github.io/Logging_1380/tillsyn/A 20419-2022 tillsynsbegäran.docx", "A 20419-2022")</f>
        <v/>
      </c>
      <c r="AD75">
        <f>HYPERLINK("https://klasma.github.io/Logging_1380/tillsynsmail/A 20419-2022 tillsynsbegäran mail.docx", "A 20419-2022")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46313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46313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Ljungögontröst</t>
        </is>
      </c>
      <c r="W77">
        <f>HYPERLINK("https://klasma.github.io/Logging_1380/artfynd/A 19588-2023 artfynd.xlsx", "A 19588-2023")</f>
        <v/>
      </c>
      <c r="X77">
        <f>HYPERLINK("https://klasma.github.io/Logging_1380/kartor/A 19588-2023 karta.png", "A 19588-2023")</f>
        <v/>
      </c>
      <c r="Y77">
        <f>HYPERLINK("https://klasma.github.io/Logging_1380/kartor_geotiff/A 19588-2023 georefererad karta.tif", "A 19588-2023")</f>
        <v/>
      </c>
      <c r="AA77">
        <f>HYPERLINK("https://klasma.github.io/Logging_1380/klagomål/A 19588-2023 FSC-klagomål.docx", "A 19588-2023")</f>
        <v/>
      </c>
      <c r="AB77">
        <f>HYPERLINK("https://klasma.github.io/Logging_1380/klagomålsmail/A 19588-2023 FSC-klagomål mail.docx", "A 19588-2023")</f>
        <v/>
      </c>
      <c r="AC77">
        <f>HYPERLINK("https://klasma.github.io/Logging_1380/tillsyn/A 19588-2023 tillsynsbegäran.docx", "A 19588-2023")</f>
        <v/>
      </c>
      <c r="AD77">
        <f>HYPERLINK("https://klasma.github.io/Logging_1380/tillsynsmail/A 19588-2023 tillsynsbegäran mail.docx", "A 19588-2023")</f>
        <v/>
      </c>
    </row>
    <row r="78" ht="15" customHeight="1">
      <c r="A78" t="inlineStr">
        <is>
          <t>A 16387-2023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46313</v>
      </c>
      <c r="F78" t="inlineStr">
        <is>
          <t>HALLANDS LÄN</t>
        </is>
      </c>
      <c r="G78" t="inlineStr">
        <is>
          <t>HALMSTAD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HYPERLINK("https://klasma.github.io/Logging_1380/artfynd/A 16387-2023 artfynd.xlsx", "A 16387-2023")</f>
        <v/>
      </c>
      <c r="X78">
        <f>HYPERLINK("https://klasma.github.io/Logging_1380/kartor/A 16387-2023 karta.png", "A 16387-2023")</f>
        <v/>
      </c>
      <c r="Y78">
        <f>HYPERLINK("https://klasma.github.io/Logging_1380/kartor_geotiff/A 16387-2023 georefererad karta.tif", "A 16387-2023")</f>
        <v/>
      </c>
      <c r="AA78">
        <f>HYPERLINK("https://klasma.github.io/Logging_1380/klagomål/A 16387-2023 FSC-klagomål.docx", "A 16387-2023")</f>
        <v/>
      </c>
      <c r="AB78">
        <f>HYPERLINK("https://klasma.github.io/Logging_1380/klagomålsmail/A 16387-2023 FSC-klagomål mail.docx", "A 16387-2023")</f>
        <v/>
      </c>
      <c r="AC78">
        <f>HYPERLINK("https://klasma.github.io/Logging_1380/tillsyn/A 16387-2023 tillsynsbegäran.docx", "A 16387-2023")</f>
        <v/>
      </c>
      <c r="AD78">
        <f>HYPERLINK("https://klasma.github.io/Logging_1380/tillsynsmail/A 16387-2023 tillsynsbegäran mail.docx", "A 16387-2023")</f>
        <v/>
      </c>
      <c r="AE78">
        <f>HYPERLINK("https://klasma.github.io/Logging_1380/fåglar/A 16387-2023 prioriterade fågelarter.docx", "A 16387-2023")</f>
        <v/>
      </c>
    </row>
    <row r="79" ht="15" customHeight="1">
      <c r="A79" t="inlineStr">
        <is>
          <t>A 37139-2025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46313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HYPERLINK("https://klasma.github.io/Logging_1380/artfynd/A 37139-2025 artfynd.xlsx", "A 37139-2025")</f>
        <v/>
      </c>
      <c r="X79">
        <f>HYPERLINK("https://klasma.github.io/Logging_1380/kartor/A 37139-2025 karta.png", "A 37139-2025")</f>
        <v/>
      </c>
      <c r="Y79">
        <f>HYPERLINK("https://klasma.github.io/Logging_1380/kartor_geotiff/A 37139-2025 georefererad karta.tif", "A 37139-2025")</f>
        <v/>
      </c>
      <c r="AA79">
        <f>HYPERLINK("https://klasma.github.io/Logging_1380/klagomål/A 37139-2025 FSC-klagomål.docx", "A 37139-2025")</f>
        <v/>
      </c>
      <c r="AB79">
        <f>HYPERLINK("https://klasma.github.io/Logging_1380/klagomålsmail/A 37139-2025 FSC-klagomål mail.docx", "A 37139-2025")</f>
        <v/>
      </c>
      <c r="AC79">
        <f>HYPERLINK("https://klasma.github.io/Logging_1380/tillsyn/A 37139-2025 tillsynsbegäran.docx", "A 37139-2025")</f>
        <v/>
      </c>
      <c r="AD79">
        <f>HYPERLINK("https://klasma.github.io/Logging_1380/tillsynsmail/A 37139-2025 tillsynsbegäran mail.docx", "A 37139-2025")</f>
        <v/>
      </c>
    </row>
    <row r="80" ht="15" customHeight="1">
      <c r="A80" t="inlineStr">
        <is>
          <t>A 38318-2025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45883</v>
      </c>
      <c r="E80" s="1" t="n">
        <v>46313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Kungsfågel</t>
        </is>
      </c>
      <c r="W80">
        <f>HYPERLINK("https://klasma.github.io/Logging_1380/artfynd/A 38318-2025 artfynd.xlsx", "A 38318-2025")</f>
        <v/>
      </c>
      <c r="X80">
        <f>HYPERLINK("https://klasma.github.io/Logging_1380/kartor/A 38318-2025 karta.png", "A 38318-2025")</f>
        <v/>
      </c>
      <c r="Y80">
        <f>HYPERLINK("https://klasma.github.io/Logging_1380/kartor_geotiff/A 38318-2025 georefererad karta.tif", "A 38318-2025")</f>
        <v/>
      </c>
      <c r="AA80">
        <f>HYPERLINK("https://klasma.github.io/Logging_1380/klagomål/A 38318-2025 FSC-klagomål.docx", "A 38318-2025")</f>
        <v/>
      </c>
      <c r="AB80">
        <f>HYPERLINK("https://klasma.github.io/Logging_1380/klagomålsmail/A 38318-2025 FSC-klagomål mail.docx", "A 38318-2025")</f>
        <v/>
      </c>
      <c r="AC80">
        <f>HYPERLINK("https://klasma.github.io/Logging_1380/tillsyn/A 38318-2025 tillsynsbegäran.docx", "A 38318-2025")</f>
        <v/>
      </c>
      <c r="AD80">
        <f>HYPERLINK("https://klasma.github.io/Logging_1380/tillsynsmail/A 38318-2025 tillsynsbegäran mail.docx", "A 38318-2025")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46313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46313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46313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46313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46313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46313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46313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46313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46313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46313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46313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46313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46313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46313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46313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46313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46313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46313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46313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46313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46313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46313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46313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46313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46313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46313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46313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46313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46313</v>
      </c>
      <c r="F109" t="inlineStr">
        <is>
          <t>HALLANDS LÄN</t>
        </is>
      </c>
      <c r="G109" t="inlineStr">
        <is>
          <t>HALMSTAD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44875</v>
      </c>
      <c r="E110" s="1" t="n">
        <v>46313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46313</v>
      </c>
      <c r="F111" t="inlineStr">
        <is>
          <t>HALLANDS LÄN</t>
        </is>
      </c>
      <c r="G111" t="inlineStr">
        <is>
          <t>HALMSTAD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46313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46313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46313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46313</v>
      </c>
      <c r="F115" t="inlineStr">
        <is>
          <t>HALLANDS LÄN</t>
        </is>
      </c>
      <c r="G115" t="inlineStr">
        <is>
          <t>HALMSTAD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46313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46313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46313</v>
      </c>
      <c r="F118" t="inlineStr">
        <is>
          <t>HALLANDS LÄN</t>
        </is>
      </c>
      <c r="G118" t="inlineStr">
        <is>
          <t>HALMSTAD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45275</v>
      </c>
      <c r="E119" s="1" t="n">
        <v>46313</v>
      </c>
      <c r="F119" t="inlineStr">
        <is>
          <t>HALLANDS LÄN</t>
        </is>
      </c>
      <c r="G119" t="inlineStr">
        <is>
          <t>HALMSTAD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46313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46313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46313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46313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46313</v>
      </c>
      <c r="F124" t="inlineStr">
        <is>
          <t>HALLANDS LÄN</t>
        </is>
      </c>
      <c r="G124" t="inlineStr">
        <is>
          <t>HALMSTAD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46313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46313</v>
      </c>
      <c r="F126" t="inlineStr">
        <is>
          <t>HALLANDS LÄN</t>
        </is>
      </c>
      <c r="G126" t="inlineStr">
        <is>
          <t>HALMSTAD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46313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46313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46313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46313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46313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44823</v>
      </c>
      <c r="E132" s="1" t="n">
        <v>46313</v>
      </c>
      <c r="F132" t="inlineStr">
        <is>
          <t>HALLANDS LÄN</t>
        </is>
      </c>
      <c r="G132" t="inlineStr">
        <is>
          <t>HALMSTAD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46313</v>
      </c>
      <c r="F133" t="inlineStr">
        <is>
          <t>HALLANDS LÄN</t>
        </is>
      </c>
      <c r="G133" t="inlineStr">
        <is>
          <t>HALMSTAD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46313</v>
      </c>
      <c r="F134" t="inlineStr">
        <is>
          <t>HALLANDS LÄN</t>
        </is>
      </c>
      <c r="G134" t="inlineStr">
        <is>
          <t>HALMSTAD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46313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46313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44687</v>
      </c>
      <c r="E137" s="1" t="n">
        <v>46313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46313</v>
      </c>
      <c r="F138" t="inlineStr">
        <is>
          <t>HALLANDS LÄN</t>
        </is>
      </c>
      <c r="G138" t="inlineStr">
        <is>
          <t>HALMSTAD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46313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46313</v>
      </c>
      <c r="F140" t="inlineStr">
        <is>
          <t>HALLANDS LÄN</t>
        </is>
      </c>
      <c r="G140" t="inlineStr">
        <is>
          <t>HALMSTAD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44827</v>
      </c>
      <c r="E141" s="1" t="n">
        <v>46313</v>
      </c>
      <c r="F141" t="inlineStr">
        <is>
          <t>HALLANDS LÄN</t>
        </is>
      </c>
      <c r="G141" t="inlineStr">
        <is>
          <t>HALMSTAD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46313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46313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46313</v>
      </c>
      <c r="F144" t="inlineStr">
        <is>
          <t>HALLANDS LÄN</t>
        </is>
      </c>
      <c r="G144" t="inlineStr">
        <is>
          <t>HALMSTAD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46313</v>
      </c>
      <c r="F145" t="inlineStr">
        <is>
          <t>HALLANDS LÄN</t>
        </is>
      </c>
      <c r="G145" t="inlineStr">
        <is>
          <t>HALMSTAD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45000</v>
      </c>
      <c r="E146" s="1" t="n">
        <v>46313</v>
      </c>
      <c r="F146" t="inlineStr">
        <is>
          <t>HALLANDS LÄN</t>
        </is>
      </c>
      <c r="G146" t="inlineStr">
        <is>
          <t>HALMSTAD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46313</v>
      </c>
      <c r="F147" t="inlineStr">
        <is>
          <t>HALLANDS LÄN</t>
        </is>
      </c>
      <c r="G147" t="inlineStr">
        <is>
          <t>HALMSTAD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46313</v>
      </c>
      <c r="F148" t="inlineStr">
        <is>
          <t>HALLANDS LÄN</t>
        </is>
      </c>
      <c r="G148" t="inlineStr">
        <is>
          <t>HALMSTAD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46313</v>
      </c>
      <c r="F149" t="inlineStr">
        <is>
          <t>HALLANDS LÄN</t>
        </is>
      </c>
      <c r="G149" t="inlineStr">
        <is>
          <t>HALMSTAD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46313</v>
      </c>
      <c r="F150" t="inlineStr">
        <is>
          <t>HALLANDS LÄN</t>
        </is>
      </c>
      <c r="G150" t="inlineStr">
        <is>
          <t>HALMSTAD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46313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46313</v>
      </c>
      <c r="F152" t="inlineStr">
        <is>
          <t>HALLANDS LÄN</t>
        </is>
      </c>
      <c r="G152" t="inlineStr">
        <is>
          <t>HALMSTAD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46313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46313</v>
      </c>
      <c r="F154" t="inlineStr">
        <is>
          <t>HALLANDS LÄN</t>
        </is>
      </c>
      <c r="G154" t="inlineStr">
        <is>
          <t>HALMSTAD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44885</v>
      </c>
      <c r="E155" s="1" t="n">
        <v>46313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46313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44622</v>
      </c>
      <c r="E157" s="1" t="n">
        <v>46313</v>
      </c>
      <c r="F157" t="inlineStr">
        <is>
          <t>HALLANDS LÄN</t>
        </is>
      </c>
      <c r="G157" t="inlineStr">
        <is>
          <t>HALMSTAD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46313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45257</v>
      </c>
      <c r="E159" s="1" t="n">
        <v>46313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46313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46313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46313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46313</v>
      </c>
      <c r="F163" t="inlineStr">
        <is>
          <t>HALLANDS LÄN</t>
        </is>
      </c>
      <c r="G163" t="inlineStr">
        <is>
          <t>HALMSTAD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45488</v>
      </c>
      <c r="E164" s="1" t="n">
        <v>46313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46313</v>
      </c>
      <c r="F165" t="inlineStr">
        <is>
          <t>HALLANDS LÄN</t>
        </is>
      </c>
      <c r="G165" t="inlineStr">
        <is>
          <t>HALMSTAD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45415</v>
      </c>
      <c r="E166" s="1" t="n">
        <v>46313</v>
      </c>
      <c r="F166" t="inlineStr">
        <is>
          <t>HALLANDS LÄN</t>
        </is>
      </c>
      <c r="G166" t="inlineStr">
        <is>
          <t>HALMSTAD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45323</v>
      </c>
      <c r="E167" s="1" t="n">
        <v>46313</v>
      </c>
      <c r="F167" t="inlineStr">
        <is>
          <t>HALLANDS LÄN</t>
        </is>
      </c>
      <c r="G167" t="inlineStr">
        <is>
          <t>HALMSTAD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46313</v>
      </c>
      <c r="F168" t="inlineStr">
        <is>
          <t>HALLANDS LÄN</t>
        </is>
      </c>
      <c r="G168" t="inlineStr">
        <is>
          <t>HALMSTAD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46313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46313</v>
      </c>
      <c r="F170" t="inlineStr">
        <is>
          <t>HALLANDS LÄN</t>
        </is>
      </c>
      <c r="G170" t="inlineStr">
        <is>
          <t>HALMSTAD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46313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46313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46313</v>
      </c>
      <c r="F173" t="inlineStr">
        <is>
          <t>HALLANDS LÄN</t>
        </is>
      </c>
      <c r="G173" t="inlineStr">
        <is>
          <t>HALMSTAD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46313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46313</v>
      </c>
      <c r="F175" t="inlineStr">
        <is>
          <t>HALLANDS LÄN</t>
        </is>
      </c>
      <c r="G175" t="inlineStr">
        <is>
          <t>HALMSTAD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45750</v>
      </c>
      <c r="E176" s="1" t="n">
        <v>46313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46313</v>
      </c>
      <c r="F177" t="inlineStr">
        <is>
          <t>HALLANDS LÄN</t>
        </is>
      </c>
      <c r="G177" t="inlineStr">
        <is>
          <t>HALMSTAD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46313</v>
      </c>
      <c r="F178" t="inlineStr">
        <is>
          <t>HALLANDS LÄN</t>
        </is>
      </c>
      <c r="G178" t="inlineStr">
        <is>
          <t>HALMSTAD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45729</v>
      </c>
      <c r="E179" s="1" t="n">
        <v>46313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46313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46313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46313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46313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46313</v>
      </c>
      <c r="F184" t="inlineStr">
        <is>
          <t>HALLANDS LÄN</t>
        </is>
      </c>
      <c r="G184" t="inlineStr">
        <is>
          <t>HALMSTAD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46313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46313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46313</v>
      </c>
      <c r="F187" t="inlineStr">
        <is>
          <t>HALLANDS LÄN</t>
        </is>
      </c>
      <c r="G187" t="inlineStr">
        <is>
          <t>HALMSTAD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46313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46313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46313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46313</v>
      </c>
      <c r="F191" t="inlineStr">
        <is>
          <t>HALLANDS LÄN</t>
        </is>
      </c>
      <c r="G191" t="inlineStr">
        <is>
          <t>HALMSTAD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46313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46313</v>
      </c>
      <c r="F193" t="inlineStr">
        <is>
          <t>HALLANDS LÄN</t>
        </is>
      </c>
      <c r="G193" t="inlineStr">
        <is>
          <t>HALMSTAD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46313</v>
      </c>
      <c r="F194" t="inlineStr">
        <is>
          <t>HALLANDS LÄN</t>
        </is>
      </c>
      <c r="G194" t="inlineStr">
        <is>
          <t>HALMSTAD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46313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46313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46313</v>
      </c>
      <c r="F197" t="inlineStr">
        <is>
          <t>HALLANDS LÄN</t>
        </is>
      </c>
      <c r="G197" t="inlineStr">
        <is>
          <t>HALMSTAD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44662</v>
      </c>
      <c r="E198" s="1" t="n">
        <v>46313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22070-2022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44711</v>
      </c>
      <c r="E199" s="1" t="n">
        <v>46313</v>
      </c>
      <c r="F199" t="inlineStr">
        <is>
          <t>HALLANDS LÄN</t>
        </is>
      </c>
      <c r="G199" t="inlineStr">
        <is>
          <t>HALMSTAD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46313</v>
      </c>
      <c r="F200" t="inlineStr">
        <is>
          <t>HALLANDS LÄN</t>
        </is>
      </c>
      <c r="G200" t="inlineStr">
        <is>
          <t>HALMSTAD</t>
        </is>
      </c>
      <c r="H200" t="inlineStr">
        <is>
          <t>Övriga statliga verk och myndigheter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46313</v>
      </c>
      <c r="F201" t="inlineStr">
        <is>
          <t>HALLANDS LÄN</t>
        </is>
      </c>
      <c r="G201" t="inlineStr">
        <is>
          <t>HALMSTAD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45488</v>
      </c>
      <c r="E202" s="1" t="n">
        <v>46313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46313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46313</v>
      </c>
      <c r="F204" t="inlineStr">
        <is>
          <t>HALLANDS LÄN</t>
        </is>
      </c>
      <c r="G204" t="inlineStr">
        <is>
          <t>HALMSTAD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46313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46313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46313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46313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46153</v>
      </c>
      <c r="E209" s="1" t="n">
        <v>46313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46313</v>
      </c>
      <c r="F210" t="inlineStr">
        <is>
          <t>HALLANDS LÄN</t>
        </is>
      </c>
      <c r="G210" t="inlineStr">
        <is>
          <t>HALMSTAD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46313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46313</v>
      </c>
      <c r="F212" t="inlineStr">
        <is>
          <t>HALLANDS LÄN</t>
        </is>
      </c>
      <c r="G212" t="inlineStr">
        <is>
          <t>HALMSTAD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46313</v>
      </c>
      <c r="F213" t="inlineStr">
        <is>
          <t>HALLANDS LÄN</t>
        </is>
      </c>
      <c r="G213" t="inlineStr">
        <is>
          <t>HALMSTAD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46313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46313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46313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46313</v>
      </c>
      <c r="F217" t="inlineStr">
        <is>
          <t>HALLANDS LÄN</t>
        </is>
      </c>
      <c r="G217" t="inlineStr">
        <is>
          <t>HALMSTAD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46313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19.5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46313</v>
      </c>
      <c r="F219" t="inlineStr">
        <is>
          <t>HALLANDS LÄN</t>
        </is>
      </c>
      <c r="G219" t="inlineStr">
        <is>
          <t>HALMSTAD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46313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46313</v>
      </c>
      <c r="F221" t="inlineStr">
        <is>
          <t>HALLANDS LÄN</t>
        </is>
      </c>
      <c r="G221" t="inlineStr">
        <is>
          <t>HALMSTAD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46313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46313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62766-2023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45268</v>
      </c>
      <c r="E224" s="1" t="n">
        <v>46313</v>
      </c>
      <c r="F224" t="inlineStr">
        <is>
          <t>HALLANDS LÄN</t>
        </is>
      </c>
      <c r="G224" t="inlineStr">
        <is>
          <t>HALMSTAD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46313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46313</v>
      </c>
      <c r="F226" t="inlineStr">
        <is>
          <t>HALLANDS LÄN</t>
        </is>
      </c>
      <c r="G226" t="inlineStr">
        <is>
          <t>HALMSTAD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46313</v>
      </c>
      <c r="F227" t="inlineStr">
        <is>
          <t>HALLANDS LÄN</t>
        </is>
      </c>
      <c r="G227" t="inlineStr">
        <is>
          <t>HALMSTAD</t>
        </is>
      </c>
      <c r="H227" t="inlineStr">
        <is>
          <t>Kyrkan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46313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46313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46313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46313</v>
      </c>
      <c r="F231" t="inlineStr">
        <is>
          <t>HALLANDS LÄN</t>
        </is>
      </c>
      <c r="G231" t="inlineStr">
        <is>
          <t>HALMSTAD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46313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46313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46313</v>
      </c>
      <c r="F234" t="inlineStr">
        <is>
          <t>HALLANDS LÄN</t>
        </is>
      </c>
      <c r="G234" t="inlineStr">
        <is>
          <t>HALMSTAD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46313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46313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46313</v>
      </c>
      <c r="F237" t="inlineStr">
        <is>
          <t>HALLANDS LÄN</t>
        </is>
      </c>
      <c r="G237" t="inlineStr">
        <is>
          <t>HALMSTAD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46313</v>
      </c>
      <c r="F238" t="inlineStr">
        <is>
          <t>HALLANDS LÄN</t>
        </is>
      </c>
      <c r="G238" t="inlineStr">
        <is>
          <t>HALMSTAD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46313</v>
      </c>
      <c r="F239" t="inlineStr">
        <is>
          <t>HALLANDS LÄN</t>
        </is>
      </c>
      <c r="G239" t="inlineStr">
        <is>
          <t>HALMSTAD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46313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46313</v>
      </c>
      <c r="F241" t="inlineStr">
        <is>
          <t>HALLANDS LÄN</t>
        </is>
      </c>
      <c r="G241" t="inlineStr">
        <is>
          <t>HALMSTAD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44628</v>
      </c>
      <c r="E242" s="1" t="n">
        <v>46313</v>
      </c>
      <c r="F242" t="inlineStr">
        <is>
          <t>HALLANDS LÄN</t>
        </is>
      </c>
      <c r="G242" t="inlineStr">
        <is>
          <t>HALMSTAD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46313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46313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46313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46313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46313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74038-2021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44557</v>
      </c>
      <c r="E248" s="1" t="n">
        <v>46313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46313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45476</v>
      </c>
      <c r="E250" s="1" t="n">
        <v>46313</v>
      </c>
      <c r="F250" t="inlineStr">
        <is>
          <t>HALLANDS LÄN</t>
        </is>
      </c>
      <c r="G250" t="inlineStr">
        <is>
          <t>HALMSTAD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46313</v>
      </c>
      <c r="F251" t="inlineStr">
        <is>
          <t>HALLANDS LÄN</t>
        </is>
      </c>
      <c r="G251" t="inlineStr">
        <is>
          <t>HALMSTAD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24818-2026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46173</v>
      </c>
      <c r="E252" s="1" t="n">
        <v>46313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46313</v>
      </c>
      <c r="F253" t="inlineStr">
        <is>
          <t>HALLANDS LÄN</t>
        </is>
      </c>
      <c r="G253" t="inlineStr">
        <is>
          <t>HALMSTAD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46313</v>
      </c>
      <c r="F254" t="inlineStr">
        <is>
          <t>HALLANDS LÄN</t>
        </is>
      </c>
      <c r="G254" t="inlineStr">
        <is>
          <t>HALMSTAD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46313</v>
      </c>
      <c r="F255" t="inlineStr">
        <is>
          <t>HALLANDS LÄN</t>
        </is>
      </c>
      <c r="G255" t="inlineStr">
        <is>
          <t>HALMSTAD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50791-2023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45217</v>
      </c>
      <c r="E256" s="1" t="n">
        <v>46313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46313</v>
      </c>
      <c r="F257" t="inlineStr">
        <is>
          <t>HALLANDS LÄN</t>
        </is>
      </c>
      <c r="G257" t="inlineStr">
        <is>
          <t>HALMSTAD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46313</v>
      </c>
      <c r="F258" t="inlineStr">
        <is>
          <t>HALLANDS LÄN</t>
        </is>
      </c>
      <c r="G258" t="inlineStr">
        <is>
          <t>HALMSTAD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46313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46313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46173</v>
      </c>
      <c r="E261" s="1" t="n">
        <v>46313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46313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46313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46313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46313</v>
      </c>
      <c r="F265" t="inlineStr">
        <is>
          <t>HALLANDS LÄN</t>
        </is>
      </c>
      <c r="G265" t="inlineStr">
        <is>
          <t>HALMSTAD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66311-2021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46313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66730-2021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44520</v>
      </c>
      <c r="E267" s="1" t="n">
        <v>46313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46313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46313</v>
      </c>
      <c r="F269" t="inlineStr">
        <is>
          <t>HALLANDS LÄN</t>
        </is>
      </c>
      <c r="G269" t="inlineStr">
        <is>
          <t>HALMSTAD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44610</v>
      </c>
      <c r="E270" s="1" t="n">
        <v>46313</v>
      </c>
      <c r="F270" t="inlineStr">
        <is>
          <t>HALLANDS LÄN</t>
        </is>
      </c>
      <c r="G270" t="inlineStr">
        <is>
          <t>HALMSTAD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29471-2022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44753</v>
      </c>
      <c r="E271" s="1" t="n">
        <v>46313</v>
      </c>
      <c r="F271" t="inlineStr">
        <is>
          <t>HALLANDS LÄN</t>
        </is>
      </c>
      <c r="G271" t="inlineStr">
        <is>
          <t>HALMSTAD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46313</v>
      </c>
      <c r="F272" t="inlineStr">
        <is>
          <t>HALLANDS LÄN</t>
        </is>
      </c>
      <c r="G272" t="inlineStr">
        <is>
          <t>HALMSTAD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46313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46313</v>
      </c>
      <c r="F274" t="inlineStr">
        <is>
          <t>HALLANDS LÄN</t>
        </is>
      </c>
      <c r="G274" t="inlineStr">
        <is>
          <t>HALMSTAD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46313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46313</v>
      </c>
      <c r="F276" t="inlineStr">
        <is>
          <t>HALLANDS LÄN</t>
        </is>
      </c>
      <c r="G276" t="inlineStr">
        <is>
          <t>HALMSTAD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46313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46313</v>
      </c>
      <c r="F278" t="inlineStr">
        <is>
          <t>HALLANDS LÄN</t>
        </is>
      </c>
      <c r="G278" t="inlineStr">
        <is>
          <t>HALMSTAD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46313</v>
      </c>
      <c r="F279" t="inlineStr">
        <is>
          <t>HALLANDS LÄN</t>
        </is>
      </c>
      <c r="G279" t="inlineStr">
        <is>
          <t>HALMSTAD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46313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46313</v>
      </c>
      <c r="F281" t="inlineStr">
        <is>
          <t>HALLANDS LÄN</t>
        </is>
      </c>
      <c r="G281" t="inlineStr">
        <is>
          <t>HALMSTAD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46313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46313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44802</v>
      </c>
      <c r="E284" s="1" t="n">
        <v>46313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46313</v>
      </c>
      <c r="F285" t="inlineStr">
        <is>
          <t>HALLANDS LÄN</t>
        </is>
      </c>
      <c r="G285" t="inlineStr">
        <is>
          <t>HALMSTAD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46313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46313</v>
      </c>
      <c r="F287" t="inlineStr">
        <is>
          <t>HALLANDS LÄN</t>
        </is>
      </c>
      <c r="G287" t="inlineStr">
        <is>
          <t>HALMSTAD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46313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46313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46313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46313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46313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46313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46313</v>
      </c>
      <c r="F294" t="inlineStr">
        <is>
          <t>HALLANDS LÄN</t>
        </is>
      </c>
      <c r="G294" t="inlineStr">
        <is>
          <t>HALMSTAD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46313</v>
      </c>
      <c r="F295" t="inlineStr">
        <is>
          <t>HALLANDS LÄN</t>
        </is>
      </c>
      <c r="G295" t="inlineStr">
        <is>
          <t>HALMSTAD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46313</v>
      </c>
      <c r="F296" t="inlineStr">
        <is>
          <t>HALLANDS LÄN</t>
        </is>
      </c>
      <c r="G296" t="inlineStr">
        <is>
          <t>HALMSTAD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46313</v>
      </c>
      <c r="F297" t="inlineStr">
        <is>
          <t>HALLANDS LÄN</t>
        </is>
      </c>
      <c r="G297" t="inlineStr">
        <is>
          <t>HALMSTAD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46313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46313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46313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46313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46313</v>
      </c>
      <c r="F302" t="inlineStr">
        <is>
          <t>HALLANDS LÄN</t>
        </is>
      </c>
      <c r="G302" t="inlineStr">
        <is>
          <t>HALMSTAD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46313</v>
      </c>
      <c r="F303" t="inlineStr">
        <is>
          <t>HALLANDS LÄN</t>
        </is>
      </c>
      <c r="G303" t="inlineStr">
        <is>
          <t>HALMSTAD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46313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46313</v>
      </c>
      <c r="F305" t="inlineStr">
        <is>
          <t>HALLANDS LÄN</t>
        </is>
      </c>
      <c r="G305" t="inlineStr">
        <is>
          <t>HALMSTAD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46313</v>
      </c>
      <c r="F306" t="inlineStr">
        <is>
          <t>HALLANDS LÄN</t>
        </is>
      </c>
      <c r="G306" t="inlineStr">
        <is>
          <t>HALMSTAD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46313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44852</v>
      </c>
      <c r="E308" s="1" t="n">
        <v>46313</v>
      </c>
      <c r="F308" t="inlineStr">
        <is>
          <t>HALLANDS LÄN</t>
        </is>
      </c>
      <c r="G308" t="inlineStr">
        <is>
          <t>HALMSTAD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46313</v>
      </c>
      <c r="F309" t="inlineStr">
        <is>
          <t>HALLANDS LÄN</t>
        </is>
      </c>
      <c r="G309" t="inlineStr">
        <is>
          <t>HALMSTAD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46313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46313</v>
      </c>
      <c r="F311" t="inlineStr">
        <is>
          <t>HALLANDS LÄN</t>
        </is>
      </c>
      <c r="G311" t="inlineStr">
        <is>
          <t>HALMSTAD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46313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45485</v>
      </c>
      <c r="E313" s="1" t="n">
        <v>46313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46313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46313</v>
      </c>
      <c r="F315" t="inlineStr">
        <is>
          <t>HALLANDS LÄN</t>
        </is>
      </c>
      <c r="G315" t="inlineStr">
        <is>
          <t>HALMSTAD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46313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46313</v>
      </c>
      <c r="F317" t="inlineStr">
        <is>
          <t>HALLANDS LÄN</t>
        </is>
      </c>
      <c r="G317" t="inlineStr">
        <is>
          <t>HALMSTAD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46313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31547-2022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44775</v>
      </c>
      <c r="E319" s="1" t="n">
        <v>46313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46313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46313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46313</v>
      </c>
      <c r="F322" t="inlineStr">
        <is>
          <t>HALLANDS LÄN</t>
        </is>
      </c>
      <c r="G322" t="inlineStr">
        <is>
          <t>HALMSTAD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46313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46313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46313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46313</v>
      </c>
      <c r="F326" t="inlineStr">
        <is>
          <t>HALLANDS LÄN</t>
        </is>
      </c>
      <c r="G326" t="inlineStr">
        <is>
          <t>HALMSTAD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46313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46313</v>
      </c>
      <c r="F328" t="inlineStr">
        <is>
          <t>HALLANDS LÄN</t>
        </is>
      </c>
      <c r="G328" t="inlineStr">
        <is>
          <t>HALMSTAD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46313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46313</v>
      </c>
      <c r="F330" t="inlineStr">
        <is>
          <t>HALLANDS LÄN</t>
        </is>
      </c>
      <c r="G330" t="inlineStr">
        <is>
          <t>HALMSTAD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46313</v>
      </c>
      <c r="F331" t="inlineStr">
        <is>
          <t>HALLANDS LÄN</t>
        </is>
      </c>
      <c r="G331" t="inlineStr">
        <is>
          <t>HALMSTAD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46313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46313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46313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46313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45006</v>
      </c>
      <c r="E336" s="1" t="n">
        <v>46313</v>
      </c>
      <c r="F336" t="inlineStr">
        <is>
          <t>HALLANDS LÄN</t>
        </is>
      </c>
      <c r="G336" t="inlineStr">
        <is>
          <t>HALMSTAD</t>
        </is>
      </c>
      <c r="H336" t="inlineStr">
        <is>
          <t>Bergvik skog väst AB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45660</v>
      </c>
      <c r="E337" s="1" t="n">
        <v>46313</v>
      </c>
      <c r="F337" t="inlineStr">
        <is>
          <t>HALLANDS LÄN</t>
        </is>
      </c>
      <c r="G337" t="inlineStr">
        <is>
          <t>HALMSTAD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46313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46313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45217</v>
      </c>
      <c r="E340" s="1" t="n">
        <v>46313</v>
      </c>
      <c r="F340" t="inlineStr">
        <is>
          <t>HALLANDS LÄN</t>
        </is>
      </c>
      <c r="G340" t="inlineStr">
        <is>
          <t>HALMSTAD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46313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46313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46313</v>
      </c>
      <c r="F343" t="inlineStr">
        <is>
          <t>HALLANDS LÄN</t>
        </is>
      </c>
      <c r="G343" t="inlineStr">
        <is>
          <t>HALMSTAD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46313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46313</v>
      </c>
      <c r="F345" t="inlineStr">
        <is>
          <t>HALLANDS LÄN</t>
        </is>
      </c>
      <c r="G345" t="inlineStr">
        <is>
          <t>HALMSTAD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46313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46313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46313</v>
      </c>
      <c r="F348" t="inlineStr">
        <is>
          <t>HALLANDS LÄN</t>
        </is>
      </c>
      <c r="G348" t="inlineStr">
        <is>
          <t>HALMSTAD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45627</v>
      </c>
      <c r="E349" s="1" t="n">
        <v>46313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46313</v>
      </c>
      <c r="F350" t="inlineStr">
        <is>
          <t>HALLANDS LÄN</t>
        </is>
      </c>
      <c r="G350" t="inlineStr">
        <is>
          <t>HALMSTAD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46313</v>
      </c>
      <c r="F351" t="inlineStr">
        <is>
          <t>HALLANDS LÄN</t>
        </is>
      </c>
      <c r="G351" t="inlineStr">
        <is>
          <t>HALMSTAD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44642</v>
      </c>
      <c r="E352" s="1" t="n">
        <v>46313</v>
      </c>
      <c r="F352" t="inlineStr">
        <is>
          <t>HALLANDS LÄN</t>
        </is>
      </c>
      <c r="G352" t="inlineStr">
        <is>
          <t>HALMSTAD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44722</v>
      </c>
      <c r="E353" s="1" t="n">
        <v>46313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70720-2021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44537</v>
      </c>
      <c r="E354" s="1" t="n">
        <v>46313</v>
      </c>
      <c r="F354" t="inlineStr">
        <is>
          <t>HALLANDS LÄN</t>
        </is>
      </c>
      <c r="G354" t="inlineStr">
        <is>
          <t>HALMSTAD</t>
        </is>
      </c>
      <c r="H354" t="inlineStr">
        <is>
          <t>Kyrkan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46313</v>
      </c>
      <c r="F355" t="inlineStr">
        <is>
          <t>HALLANDS LÄN</t>
        </is>
      </c>
      <c r="G355" t="inlineStr">
        <is>
          <t>HALMSTAD</t>
        </is>
      </c>
      <c r="I355" t="n">
        <v>9.699999999999999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45230</v>
      </c>
      <c r="E356" s="1" t="n">
        <v>46313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46313</v>
      </c>
      <c r="F357" t="inlineStr">
        <is>
          <t>HALLANDS LÄN</t>
        </is>
      </c>
      <c r="G357" t="inlineStr">
        <is>
          <t>HALMSTAD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46313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46313</v>
      </c>
      <c r="F359" t="inlineStr">
        <is>
          <t>HALLANDS LÄN</t>
        </is>
      </c>
      <c r="G359" t="inlineStr">
        <is>
          <t>HALMSTAD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46313</v>
      </c>
      <c r="F360" t="inlineStr">
        <is>
          <t>HALLANDS LÄN</t>
        </is>
      </c>
      <c r="G360" t="inlineStr">
        <is>
          <t>HALMSTAD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46313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46313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46313</v>
      </c>
      <c r="F363" t="inlineStr">
        <is>
          <t>HALLANDS LÄN</t>
        </is>
      </c>
      <c r="G363" t="inlineStr">
        <is>
          <t>HALMSTAD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46313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46313</v>
      </c>
      <c r="F365" t="inlineStr">
        <is>
          <t>HALLANDS LÄN</t>
        </is>
      </c>
      <c r="G365" t="inlineStr">
        <is>
          <t>HALMSTAD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46313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46313</v>
      </c>
      <c r="F367" t="inlineStr">
        <is>
          <t>HALLANDS LÄN</t>
        </is>
      </c>
      <c r="G367" t="inlineStr">
        <is>
          <t>HALMSTAD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46313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46313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46313</v>
      </c>
      <c r="F370" t="inlineStr">
        <is>
          <t>HALLANDS LÄN</t>
        </is>
      </c>
      <c r="G370" t="inlineStr">
        <is>
          <t>HALMSTAD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46313</v>
      </c>
      <c r="F371" t="inlineStr">
        <is>
          <t>HALLANDS LÄN</t>
        </is>
      </c>
      <c r="G371" t="inlineStr">
        <is>
          <t>HALMSTAD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46313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46313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46313</v>
      </c>
      <c r="F374" t="inlineStr">
        <is>
          <t>HALLANDS LÄN</t>
        </is>
      </c>
      <c r="G374" t="inlineStr">
        <is>
          <t>HALMSTAD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44922</v>
      </c>
      <c r="E375" s="1" t="n">
        <v>46313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46313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46313</v>
      </c>
      <c r="F377" t="inlineStr">
        <is>
          <t>HALLANDS LÄN</t>
        </is>
      </c>
      <c r="G377" t="inlineStr">
        <is>
          <t>HALMSTAD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46313</v>
      </c>
      <c r="F378" t="inlineStr">
        <is>
          <t>HALLANDS LÄN</t>
        </is>
      </c>
      <c r="G378" t="inlineStr">
        <is>
          <t>HALMSTAD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46313</v>
      </c>
      <c r="F379" t="inlineStr">
        <is>
          <t>HALLANDS LÄN</t>
        </is>
      </c>
      <c r="G379" t="inlineStr">
        <is>
          <t>HALMSTAD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46313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46313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46274</v>
      </c>
      <c r="E382" s="1" t="n">
        <v>46313</v>
      </c>
      <c r="F382" t="inlineStr">
        <is>
          <t>HALLANDS LÄN</t>
        </is>
      </c>
      <c r="G382" t="inlineStr">
        <is>
          <t>HALMSTAD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46313</v>
      </c>
      <c r="F383" t="inlineStr">
        <is>
          <t>HALLANDS LÄN</t>
        </is>
      </c>
      <c r="G383" t="inlineStr">
        <is>
          <t>HALMSTAD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46313</v>
      </c>
      <c r="F384" t="inlineStr">
        <is>
          <t>HALLANDS LÄN</t>
        </is>
      </c>
      <c r="G384" t="inlineStr">
        <is>
          <t>HALMSTAD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45404</v>
      </c>
      <c r="E385" s="1" t="n">
        <v>46313</v>
      </c>
      <c r="F385" t="inlineStr">
        <is>
          <t>HALLANDS LÄN</t>
        </is>
      </c>
      <c r="G385" t="inlineStr">
        <is>
          <t>HALMSTAD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46313</v>
      </c>
      <c r="F386" t="inlineStr">
        <is>
          <t>HALLANDS LÄN</t>
        </is>
      </c>
      <c r="G386" t="inlineStr">
        <is>
          <t>HALMSTAD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44974</v>
      </c>
      <c r="E387" s="1" t="n">
        <v>46313</v>
      </c>
      <c r="F387" t="inlineStr">
        <is>
          <t>HALLANDS LÄN</t>
        </is>
      </c>
      <c r="G387" t="inlineStr">
        <is>
          <t>HALMSTAD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46313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46313</v>
      </c>
      <c r="F389" t="inlineStr">
        <is>
          <t>HALLANDS LÄN</t>
        </is>
      </c>
      <c r="G389" t="inlineStr">
        <is>
          <t>HALMSTAD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46313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45203</v>
      </c>
      <c r="E391" s="1" t="n">
        <v>46313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46313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46313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45099</v>
      </c>
      <c r="E394" s="1" t="n">
        <v>46313</v>
      </c>
      <c r="F394" t="inlineStr">
        <is>
          <t>HALLANDS LÄN</t>
        </is>
      </c>
      <c r="G394" t="inlineStr">
        <is>
          <t>HALMSTAD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46313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46313</v>
      </c>
      <c r="F396" t="inlineStr">
        <is>
          <t>HALLANDS LÄN</t>
        </is>
      </c>
      <c r="G396" t="inlineStr">
        <is>
          <t>HALMSTAD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46313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44827</v>
      </c>
      <c r="E398" s="1" t="n">
        <v>46313</v>
      </c>
      <c r="F398" t="inlineStr">
        <is>
          <t>HALLANDS LÄN</t>
        </is>
      </c>
      <c r="G398" t="inlineStr">
        <is>
          <t>HALMSTAD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46313</v>
      </c>
      <c r="F399" t="inlineStr">
        <is>
          <t>HALLANDS LÄN</t>
        </is>
      </c>
      <c r="G399" t="inlineStr">
        <is>
          <t>HALMSTAD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45712</v>
      </c>
      <c r="E400" s="1" t="n">
        <v>46313</v>
      </c>
      <c r="F400" t="inlineStr">
        <is>
          <t>HALLANDS LÄN</t>
        </is>
      </c>
      <c r="G400" t="inlineStr">
        <is>
          <t>HALMSTAD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46288</v>
      </c>
      <c r="E401" s="1" t="n">
        <v>46313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35185-2026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46260</v>
      </c>
      <c r="E402" s="1" t="n">
        <v>46313</v>
      </c>
      <c r="F402" t="inlineStr">
        <is>
          <t>HALLANDS LÄN</t>
        </is>
      </c>
      <c r="G402" t="inlineStr">
        <is>
          <t>HALMSTAD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46313</v>
      </c>
      <c r="F403" t="inlineStr">
        <is>
          <t>HALLANDS LÄN</t>
        </is>
      </c>
      <c r="G403" t="inlineStr">
        <is>
          <t>HALMSTAD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45450</v>
      </c>
      <c r="E404" s="1" t="n">
        <v>46313</v>
      </c>
      <c r="F404" t="inlineStr">
        <is>
          <t>HALLANDS LÄN</t>
        </is>
      </c>
      <c r="G404" t="inlineStr">
        <is>
          <t>HALMSTAD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46313</v>
      </c>
      <c r="F405" t="inlineStr">
        <is>
          <t>HALLANDS LÄN</t>
        </is>
      </c>
      <c r="G405" t="inlineStr">
        <is>
          <t>HALMSTAD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45306</v>
      </c>
      <c r="E406" s="1" t="n">
        <v>46313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46313</v>
      </c>
      <c r="F407" t="inlineStr">
        <is>
          <t>HALLANDS LÄN</t>
        </is>
      </c>
      <c r="G407" t="inlineStr">
        <is>
          <t>HALMSTAD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46313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46313</v>
      </c>
      <c r="F409" t="inlineStr">
        <is>
          <t>HALLANDS LÄN</t>
        </is>
      </c>
      <c r="G409" t="inlineStr">
        <is>
          <t>HALMSTAD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46313</v>
      </c>
      <c r="F410" t="inlineStr">
        <is>
          <t>HALLANDS LÄN</t>
        </is>
      </c>
      <c r="G410" t="inlineStr">
        <is>
          <t>HALMSTAD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44775</v>
      </c>
      <c r="E411" s="1" t="n">
        <v>46313</v>
      </c>
      <c r="F411" t="inlineStr">
        <is>
          <t>HALLANDS LÄN</t>
        </is>
      </c>
      <c r="G411" t="inlineStr">
        <is>
          <t>HALMSTAD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46313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46313</v>
      </c>
      <c r="F413" t="inlineStr">
        <is>
          <t>HALLANDS LÄN</t>
        </is>
      </c>
      <c r="G413" t="inlineStr">
        <is>
          <t>HALMSTAD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46313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46313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46313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46313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46296</v>
      </c>
      <c r="E418" s="1" t="n">
        <v>46313</v>
      </c>
      <c r="F418" t="inlineStr">
        <is>
          <t>HALLANDS LÄN</t>
        </is>
      </c>
      <c r="G418" t="inlineStr">
        <is>
          <t>HALMSTAD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46313</v>
      </c>
      <c r="F419" t="inlineStr">
        <is>
          <t>HALLANDS LÄN</t>
        </is>
      </c>
      <c r="G419" t="inlineStr">
        <is>
          <t>HALMSTAD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45194</v>
      </c>
      <c r="E420" s="1" t="n">
        <v>46313</v>
      </c>
      <c r="F420" t="inlineStr">
        <is>
          <t>HALLANDS LÄN</t>
        </is>
      </c>
      <c r="G420" t="inlineStr">
        <is>
          <t>HALMSTAD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46313</v>
      </c>
      <c r="F421" t="inlineStr">
        <is>
          <t>HALLANDS LÄN</t>
        </is>
      </c>
      <c r="G421" t="inlineStr">
        <is>
          <t>HALMSTAD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46313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46313</v>
      </c>
      <c r="F423" t="inlineStr">
        <is>
          <t>HALLANDS LÄN</t>
        </is>
      </c>
      <c r="G423" t="inlineStr">
        <is>
          <t>HALMSTAD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46313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46313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46313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46754-2024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45583</v>
      </c>
      <c r="E427" s="1" t="n">
        <v>46313</v>
      </c>
      <c r="F427" t="inlineStr">
        <is>
          <t>HALLANDS LÄN</t>
        </is>
      </c>
      <c r="G427" t="inlineStr">
        <is>
          <t>HALMSTAD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45555</v>
      </c>
      <c r="E428" s="1" t="n">
        <v>46313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46303</v>
      </c>
      <c r="E429" s="1" t="n">
        <v>46313</v>
      </c>
      <c r="F429" t="inlineStr">
        <is>
          <t>HALLANDS LÄN</t>
        </is>
      </c>
      <c r="G429" t="inlineStr">
        <is>
          <t>HALMSTAD</t>
        </is>
      </c>
      <c r="H429" t="inlineStr">
        <is>
          <t>Sveaskog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41905-2026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46303</v>
      </c>
      <c r="E430" s="1" t="n">
        <v>46313</v>
      </c>
      <c r="F430" t="inlineStr">
        <is>
          <t>HALLANDS LÄN</t>
        </is>
      </c>
      <c r="G430" t="inlineStr">
        <is>
          <t>HALMSTAD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46313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46313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46259</v>
      </c>
      <c r="E433" s="1" t="n">
        <v>46313</v>
      </c>
      <c r="F433" t="inlineStr">
        <is>
          <t>HALLANDS LÄN</t>
        </is>
      </c>
      <c r="G433" t="inlineStr">
        <is>
          <t>HALMSTAD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46259</v>
      </c>
      <c r="E434" s="1" t="n">
        <v>46313</v>
      </c>
      <c r="F434" t="inlineStr">
        <is>
          <t>HALLANDS LÄN</t>
        </is>
      </c>
      <c r="G434" t="inlineStr">
        <is>
          <t>HALMSTAD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46313</v>
      </c>
      <c r="F435" t="inlineStr">
        <is>
          <t>HALLANDS LÄN</t>
        </is>
      </c>
      <c r="G435" t="inlineStr">
        <is>
          <t>HALMSTAD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46313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46313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44677</v>
      </c>
      <c r="E438" s="1" t="n">
        <v>46313</v>
      </c>
      <c r="F438" t="inlineStr">
        <is>
          <t>HALLANDS LÄN</t>
        </is>
      </c>
      <c r="G438" t="inlineStr">
        <is>
          <t>HALMSTAD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45226</v>
      </c>
      <c r="E439" s="1" t="n">
        <v>46313</v>
      </c>
      <c r="F439" t="inlineStr">
        <is>
          <t>HALLANDS LÄN</t>
        </is>
      </c>
      <c r="G439" t="inlineStr">
        <is>
          <t>HALMSTAD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46313</v>
      </c>
      <c r="F440" t="inlineStr">
        <is>
          <t>HALLANDS LÄN</t>
        </is>
      </c>
      <c r="G440" t="inlineStr">
        <is>
          <t>HALMSTAD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45797</v>
      </c>
      <c r="E441" s="1" t="n">
        <v>46313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45716</v>
      </c>
      <c r="E442" s="1" t="n">
        <v>46313</v>
      </c>
      <c r="F442" t="inlineStr">
        <is>
          <t>HALLANDS LÄN</t>
        </is>
      </c>
      <c r="G442" t="inlineStr">
        <is>
          <t>HALMSTAD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46313</v>
      </c>
      <c r="F443" t="inlineStr">
        <is>
          <t>HALLANDS LÄN</t>
        </is>
      </c>
      <c r="G443" t="inlineStr">
        <is>
          <t>HALMSTAD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45627</v>
      </c>
      <c r="E444" s="1" t="n">
        <v>46313</v>
      </c>
      <c r="F444" t="inlineStr">
        <is>
          <t>HALLANDS LÄN</t>
        </is>
      </c>
      <c r="G444" t="inlineStr">
        <is>
          <t>HALMSTAD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37584-2026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46276</v>
      </c>
      <c r="E445" s="1" t="n">
        <v>46313</v>
      </c>
      <c r="F445" t="inlineStr">
        <is>
          <t>HALLANDS LÄN</t>
        </is>
      </c>
      <c r="G445" t="inlineStr">
        <is>
          <t>HALMSTAD</t>
        </is>
      </c>
      <c r="I445" t="n">
        <v>13.4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46313</v>
      </c>
      <c r="F446" t="inlineStr">
        <is>
          <t>HALLANDS LÄN</t>
        </is>
      </c>
      <c r="G446" t="inlineStr">
        <is>
          <t>HALMSTAD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46313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46313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46313</v>
      </c>
      <c r="F449" t="inlineStr">
        <is>
          <t>HALLANDS LÄN</t>
        </is>
      </c>
      <c r="G449" t="inlineStr">
        <is>
          <t>HALMSTAD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46313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46308</v>
      </c>
      <c r="E451" s="1" t="n">
        <v>46313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46313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45330</v>
      </c>
      <c r="E453" s="1" t="n">
        <v>46313</v>
      </c>
      <c r="F453" t="inlineStr">
        <is>
          <t>HALLANDS LÄN</t>
        </is>
      </c>
      <c r="G453" t="inlineStr">
        <is>
          <t>HALMSTAD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46313</v>
      </c>
      <c r="F454" t="inlineStr">
        <is>
          <t>HALLANDS LÄN</t>
        </is>
      </c>
      <c r="G454" t="inlineStr">
        <is>
          <t>HALMSTAD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46311</v>
      </c>
      <c r="E455" s="1" t="n">
        <v>46313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45817</v>
      </c>
      <c r="E456" s="1" t="n">
        <v>46313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45642</v>
      </c>
      <c r="E457" s="1" t="n">
        <v>46313</v>
      </c>
      <c r="F457" t="inlineStr">
        <is>
          <t>HALLANDS LÄN</t>
        </is>
      </c>
      <c r="G457" t="inlineStr">
        <is>
          <t>HALMSTAD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46313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46313</v>
      </c>
      <c r="F459" t="inlineStr">
        <is>
          <t>HALLANDS LÄN</t>
        </is>
      </c>
      <c r="G459" t="inlineStr">
        <is>
          <t>HALMSTAD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46313</v>
      </c>
      <c r="F460" t="inlineStr">
        <is>
          <t>HALLANDS LÄN</t>
        </is>
      </c>
      <c r="G460" t="inlineStr">
        <is>
          <t>HALMSTAD</t>
        </is>
      </c>
      <c r="H460" t="inlineStr">
        <is>
          <t>Bergvik skog väst AB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46313</v>
      </c>
      <c r="F461" t="inlineStr">
        <is>
          <t>HALLANDS LÄN</t>
        </is>
      </c>
      <c r="G461" t="inlineStr">
        <is>
          <t>HALMSTAD</t>
        </is>
      </c>
      <c r="I461" t="n">
        <v>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46313</v>
      </c>
      <c r="F462" t="inlineStr">
        <is>
          <t>HALLANDS LÄN</t>
        </is>
      </c>
      <c r="G462" t="inlineStr">
        <is>
          <t>HALMSTAD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46313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46313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46313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46313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46313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45708</v>
      </c>
      <c r="E468" s="1" t="n">
        <v>46313</v>
      </c>
      <c r="F468" t="inlineStr">
        <is>
          <t>HALLANDS LÄN</t>
        </is>
      </c>
      <c r="G468" t="inlineStr">
        <is>
          <t>HALMSTAD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46313</v>
      </c>
      <c r="F469" t="inlineStr">
        <is>
          <t>HALLANDS LÄN</t>
        </is>
      </c>
      <c r="G469" t="inlineStr">
        <is>
          <t>HALMSTAD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34364-2025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46313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45681</v>
      </c>
      <c r="E471" s="1" t="n">
        <v>46313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46313</v>
      </c>
      <c r="F472" t="inlineStr">
        <is>
          <t>HALLANDS LÄN</t>
        </is>
      </c>
      <c r="G472" t="inlineStr">
        <is>
          <t>HALMSTAD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46313</v>
      </c>
      <c r="F473" t="inlineStr">
        <is>
          <t>HALLANDS LÄN</t>
        </is>
      </c>
      <c r="G473" t="inlineStr">
        <is>
          <t>HALMSTAD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45750</v>
      </c>
      <c r="E474" s="1" t="n">
        <v>46313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46313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45493</v>
      </c>
      <c r="E476" s="1" t="n">
        <v>46313</v>
      </c>
      <c r="F476" t="inlineStr">
        <is>
          <t>HALLANDS LÄN</t>
        </is>
      </c>
      <c r="G476" t="inlineStr">
        <is>
          <t>HALMSTAD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45172</v>
      </c>
      <c r="E477" s="1" t="n">
        <v>46313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46313</v>
      </c>
      <c r="F478" t="inlineStr">
        <is>
          <t>HALLANDS LÄN</t>
        </is>
      </c>
      <c r="G478" t="inlineStr">
        <is>
          <t>HALMSTAD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46313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46313</v>
      </c>
      <c r="F480" t="inlineStr">
        <is>
          <t>HALLANDS LÄN</t>
        </is>
      </c>
      <c r="G480" t="inlineStr">
        <is>
          <t>HALMSTAD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46313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46313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45736</v>
      </c>
      <c r="E483" s="1" t="n">
        <v>46313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45229</v>
      </c>
      <c r="E484" s="1" t="n">
        <v>46313</v>
      </c>
      <c r="F484" t="inlineStr">
        <is>
          <t>HALLANDS LÄN</t>
        </is>
      </c>
      <c r="G484" t="inlineStr">
        <is>
          <t>HALMSTAD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44879</v>
      </c>
      <c r="E485" s="1" t="n">
        <v>46313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46313</v>
      </c>
      <c r="F486" t="inlineStr">
        <is>
          <t>HALLANDS LÄN</t>
        </is>
      </c>
      <c r="G486" t="inlineStr">
        <is>
          <t>HALMSTAD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44917</v>
      </c>
      <c r="E487" s="1" t="n">
        <v>46313</v>
      </c>
      <c r="F487" t="inlineStr">
        <is>
          <t>HALLANDS LÄN</t>
        </is>
      </c>
      <c r="G487" t="inlineStr">
        <is>
          <t>HALMSTAD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46295-2024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45581</v>
      </c>
      <c r="E488" s="1" t="n">
        <v>46313</v>
      </c>
      <c r="F488" t="inlineStr">
        <is>
          <t>HALLANDS LÄN</t>
        </is>
      </c>
      <c r="G488" t="inlineStr">
        <is>
          <t>HALMSTAD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46313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45001</v>
      </c>
      <c r="E490" s="1" t="n">
        <v>46313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46313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44817</v>
      </c>
      <c r="E492" s="1" t="n">
        <v>46313</v>
      </c>
      <c r="F492" t="inlineStr">
        <is>
          <t>HALLANDS LÄN</t>
        </is>
      </c>
      <c r="G492" t="inlineStr">
        <is>
          <t>HALMSTAD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45311</v>
      </c>
      <c r="E493" s="1" t="n">
        <v>46313</v>
      </c>
      <c r="F493" t="inlineStr">
        <is>
          <t>HALLANDS LÄN</t>
        </is>
      </c>
      <c r="G493" t="inlineStr">
        <is>
          <t>HALMSTAD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46313</v>
      </c>
      <c r="F494" t="inlineStr">
        <is>
          <t>HALLANDS LÄN</t>
        </is>
      </c>
      <c r="G494" t="inlineStr">
        <is>
          <t>HALMSTAD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46313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45692</v>
      </c>
      <c r="E496" s="1" t="n">
        <v>46313</v>
      </c>
      <c r="F496" t="inlineStr">
        <is>
          <t>HALLANDS LÄN</t>
        </is>
      </c>
      <c r="G496" t="inlineStr">
        <is>
          <t>HALMSTAD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46313</v>
      </c>
      <c r="F497" t="inlineStr">
        <is>
          <t>HALLANDS LÄN</t>
        </is>
      </c>
      <c r="G497" t="inlineStr">
        <is>
          <t>HALMSTAD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46313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53109-2024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45611</v>
      </c>
      <c r="E499" s="1" t="n">
        <v>46313</v>
      </c>
      <c r="F499" t="inlineStr">
        <is>
          <t>HALLANDS LÄN</t>
        </is>
      </c>
      <c r="G499" t="inlineStr">
        <is>
          <t>HALMSTAD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46313</v>
      </c>
      <c r="F500" t="inlineStr">
        <is>
          <t>HALLANDS LÄN</t>
        </is>
      </c>
      <c r="G500" t="inlineStr">
        <is>
          <t>HALMSTAD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46313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46313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46313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45357</v>
      </c>
      <c r="E504" s="1" t="n">
        <v>46313</v>
      </c>
      <c r="F504" t="inlineStr">
        <is>
          <t>HALLANDS LÄN</t>
        </is>
      </c>
      <c r="G504" t="inlineStr">
        <is>
          <t>HALMSTAD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46313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44699</v>
      </c>
      <c r="E506" s="1" t="n">
        <v>46313</v>
      </c>
      <c r="F506" t="inlineStr">
        <is>
          <t>HALLANDS LÄN</t>
        </is>
      </c>
      <c r="G506" t="inlineStr">
        <is>
          <t>HALMSTAD</t>
        </is>
      </c>
      <c r="H506" t="inlineStr">
        <is>
          <t>Kommuner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45068</v>
      </c>
      <c r="E507" s="1" t="n">
        <v>46313</v>
      </c>
      <c r="F507" t="inlineStr">
        <is>
          <t>HALLANDS LÄN</t>
        </is>
      </c>
      <c r="G507" t="inlineStr">
        <is>
          <t>HALMSTAD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45581</v>
      </c>
      <c r="E508" s="1" t="n">
        <v>46313</v>
      </c>
      <c r="F508" t="inlineStr">
        <is>
          <t>HALLANDS LÄN</t>
        </is>
      </c>
      <c r="G508" t="inlineStr">
        <is>
          <t>HALMSTAD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46313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46313</v>
      </c>
      <c r="F510" t="inlineStr">
        <is>
          <t>HALLANDS LÄN</t>
        </is>
      </c>
      <c r="G510" t="inlineStr">
        <is>
          <t>HALMSTAD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46313</v>
      </c>
      <c r="F511" t="inlineStr">
        <is>
          <t>HALLANDS LÄN</t>
        </is>
      </c>
      <c r="G511" t="inlineStr">
        <is>
          <t>HALMSTAD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46313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46313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46313</v>
      </c>
      <c r="F514" t="inlineStr">
        <is>
          <t>HALLANDS LÄN</t>
        </is>
      </c>
      <c r="G514" t="inlineStr">
        <is>
          <t>HALMSTAD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46313</v>
      </c>
      <c r="F515" t="inlineStr">
        <is>
          <t>HALLANDS LÄN</t>
        </is>
      </c>
      <c r="G515" t="inlineStr">
        <is>
          <t>HALMSTAD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2307-2020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44132</v>
      </c>
      <c r="E516" s="1" t="n">
        <v>46313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4158-2022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44767</v>
      </c>
      <c r="E517" s="1" t="n">
        <v>46313</v>
      </c>
      <c r="F517" t="inlineStr">
        <is>
          <t>HALLANDS LÄN</t>
        </is>
      </c>
      <c r="G517" t="inlineStr">
        <is>
          <t>HALMSTAD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46313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46313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46313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46313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46313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46313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46313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46313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46313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46313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46313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46313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2026-10-18T08:03:47Z</dcterms:created>
  <dcterms:modified xmlns:dcterms="http://purl.org/dc/terms/" xmlns:xsi="http://www.w3.org/2001/XMLSchema-instance" xsi:type="dcterms:W3CDTF">2026-10-18T08:03:47Z</dcterms:modified>
</cp:coreProperties>
</file>
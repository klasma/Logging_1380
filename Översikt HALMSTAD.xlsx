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46275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46275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29302-2025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46275</v>
      </c>
      <c r="F17" t="inlineStr">
        <is>
          <t>HALLANDS LÄN</t>
        </is>
      </c>
      <c r="G17" t="inlineStr">
        <is>
          <t>HALMSTAD</t>
        </is>
      </c>
      <c r="I17" t="n">
        <v>5.5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Gulsparv
Mindre tåtelsmygare
Gröngöling
Kungsfågel</t>
        </is>
      </c>
      <c r="W17">
        <f>HYPERLINK("https://klasma.github.io/Logging_1380/artfynd/A 29302-2025 artfynd.xlsx", "A 29302-2025")</f>
        <v/>
      </c>
      <c r="X17">
        <f>HYPERLINK("https://klasma.github.io/Logging_1380/kartor/A 29302-2025 karta.png", "A 29302-2025")</f>
        <v/>
      </c>
      <c r="Y17">
        <f>HYPERLINK("https://klasma.github.io/Logging_1380/kartor_geotiff/A 29302-2025 georefererad karta.tif", "A 29302-2025")</f>
        <v/>
      </c>
      <c r="AA17">
        <f>HYPERLINK("https://klasma.github.io/Logging_1380/klagomål/A 29302-2025 FSC-klagomål.docx", "A 29302-2025")</f>
        <v/>
      </c>
      <c r="AB17">
        <f>HYPERLINK("https://klasma.github.io/Logging_1380/klagomålsmail/A 29302-2025 FSC-klagomål mail.docx", "A 29302-2025")</f>
        <v/>
      </c>
      <c r="AC17">
        <f>HYPERLINK("https://klasma.github.io/Logging_1380/tillsyn/A 29302-2025 tillsynsbegäran.docx", "A 29302-2025")</f>
        <v/>
      </c>
      <c r="AD17">
        <f>HYPERLINK("https://klasma.github.io/Logging_1380/tillsynsmail/A 29302-2025 tillsynsbegäran mail.docx", "A 29302-2025")</f>
        <v/>
      </c>
      <c r="AE17">
        <f>HYPERLINK("https://klasma.github.io/Logging_1380/fåglar/A 29302-2025 prioriterade fågelarter.docx", "A 29302-2025")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46275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46275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46275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46275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46275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46275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Röd glada
Lopplummer (aggregat)</t>
        </is>
      </c>
      <c r="W24">
        <f>HYPERLINK("https://klasma.github.io/Logging_1380/artfynd/A 26108-2022 artfynd.xlsx", "A 26108-2022")</f>
        <v/>
      </c>
      <c r="X24">
        <f>HYPERLINK("https://klasma.github.io/Logging_1380/kartor/A 26108-2022 karta.png", "A 26108-2022")</f>
        <v/>
      </c>
      <c r="Y24">
        <f>HYPERLINK("https://klasma.github.io/Logging_1380/kartor_geotiff/A 26108-2022 georefererad karta.tif", "A 26108-2022")</f>
        <v/>
      </c>
      <c r="AA24">
        <f>HYPERLINK("https://klasma.github.io/Logging_1380/klagomål/A 26108-2022 FSC-klagomål.docx", "A 26108-2022")</f>
        <v/>
      </c>
      <c r="AB24">
        <f>HYPERLINK("https://klasma.github.io/Logging_1380/klagomålsmail/A 26108-2022 FSC-klagomål mail.docx", "A 26108-2022")</f>
        <v/>
      </c>
      <c r="AC24">
        <f>HYPERLINK("https://klasma.github.io/Logging_1380/tillsyn/A 26108-2022 tillsynsbegäran.docx", "A 26108-2022")</f>
        <v/>
      </c>
      <c r="AD24">
        <f>HYPERLINK("https://klasma.github.io/Logging_1380/tillsynsmail/A 26108-2022 tillsynsbegäran mail.docx", "A 26108-2022")</f>
        <v/>
      </c>
      <c r="AE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46275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46275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46275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46275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46275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46275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46275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40716-2023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45168</v>
      </c>
      <c r="E32" s="1" t="n">
        <v>46275</v>
      </c>
      <c r="F32" t="inlineStr">
        <is>
          <t>HALLANDS LÄN</t>
        </is>
      </c>
      <c r="G32" t="inlineStr">
        <is>
          <t>HALMSTAD</t>
        </is>
      </c>
      <c r="H32" t="inlineStr">
        <is>
          <t>Kommuner</t>
        </is>
      </c>
      <c r="I32" t="n">
        <v>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Kambräken
Vanlig groda</t>
        </is>
      </c>
      <c r="W32">
        <f>HYPERLINK("https://klasma.github.io/Logging_1380/artfynd/A 40716-2023 artfynd.xlsx", "A 40716-2023")</f>
        <v/>
      </c>
      <c r="X32">
        <f>HYPERLINK("https://klasma.github.io/Logging_1380/kartor/A 40716-2023 karta.png", "A 40716-2023")</f>
        <v/>
      </c>
      <c r="Y32">
        <f>HYPERLINK("https://klasma.github.io/Logging_1380/kartor_geotiff/A 40716-2023 georefererad karta.tif", "A 40716-2023")</f>
        <v/>
      </c>
      <c r="AA32">
        <f>HYPERLINK("https://klasma.github.io/Logging_1380/klagomål/A 40716-2023 FSC-klagomål.docx", "A 40716-2023")</f>
        <v/>
      </c>
      <c r="AB32">
        <f>HYPERLINK("https://klasma.github.io/Logging_1380/klagomålsmail/A 40716-2023 FSC-klagomål mail.docx", "A 40716-2023")</f>
        <v/>
      </c>
      <c r="AC32">
        <f>HYPERLINK("https://klasma.github.io/Logging_1380/tillsyn/A 40716-2023 tillsynsbegäran.docx", "A 40716-2023")</f>
        <v/>
      </c>
      <c r="AD32">
        <f>HYPERLINK("https://klasma.github.io/Logging_1380/tillsynsmail/A 40716-2023 tillsynsbegäran mail.docx", "A 40716-2023")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46275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46275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Tofsmes
Kungsfågel</t>
        </is>
      </c>
      <c r="W34">
        <f>HYPERLINK("https://klasma.github.io/Logging_1380/artfynd/A 40589-2023 artfynd.xlsx", "A 40589-2023")</f>
        <v/>
      </c>
      <c r="X34">
        <f>HYPERLINK("https://klasma.github.io/Logging_1380/kartor/A 40589-2023 karta.png", "A 40589-2023")</f>
        <v/>
      </c>
      <c r="Y34">
        <f>HYPERLINK("https://klasma.github.io/Logging_1380/kartor_geotiff/A 40589-2023 georefererad karta.tif", "A 40589-2023")</f>
        <v/>
      </c>
      <c r="AA34">
        <f>HYPERLINK("https://klasma.github.io/Logging_1380/klagomål/A 40589-2023 FSC-klagomål.docx", "A 40589-2023")</f>
        <v/>
      </c>
      <c r="AB34">
        <f>HYPERLINK("https://klasma.github.io/Logging_1380/klagomålsmail/A 40589-2023 FSC-klagomål mail.docx", "A 40589-2023")</f>
        <v/>
      </c>
      <c r="AC34">
        <f>HYPERLINK("https://klasma.github.io/Logging_1380/tillsyn/A 40589-2023 tillsynsbegäran.docx", "A 40589-2023")</f>
        <v/>
      </c>
      <c r="AD34">
        <f>HYPERLINK("https://klasma.github.io/Logging_1380/tillsynsmail/A 40589-2023 tillsynsbegäran mail.docx", "A 40589-2023")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46275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37137-2025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46275</v>
      </c>
      <c r="F36" t="inlineStr">
        <is>
          <t>HALLANDS LÄN</t>
        </is>
      </c>
      <c r="G36" t="inlineStr">
        <is>
          <t>HALMSTAD</t>
        </is>
      </c>
      <c r="I36" t="n">
        <v>21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3</v>
      </c>
      <c r="V36" s="2" t="inlineStr">
        <is>
          <t>Dvärglin
Kambräken</t>
        </is>
      </c>
      <c r="W36">
        <f>HYPERLINK("https://klasma.github.io/Logging_1380/artfynd/A 37137-2025 artfynd.xlsx", "A 37137-2025")</f>
        <v/>
      </c>
      <c r="X36">
        <f>HYPERLINK("https://klasma.github.io/Logging_1380/kartor/A 37137-2025 karta.png", "A 37137-2025")</f>
        <v/>
      </c>
      <c r="Y36">
        <f>HYPERLINK("https://klasma.github.io/Logging_1380/kartor_geotiff/A 37137-2025 georefererad karta.tif", "A 37137-2025")</f>
        <v/>
      </c>
      <c r="AA36">
        <f>HYPERLINK("https://klasma.github.io/Logging_1380/klagomål/A 37137-2025 FSC-klagomål.docx", "A 37137-2025")</f>
        <v/>
      </c>
      <c r="AB36">
        <f>HYPERLINK("https://klasma.github.io/Logging_1380/klagomålsmail/A 37137-2025 FSC-klagomål mail.docx", "A 37137-2025")</f>
        <v/>
      </c>
      <c r="AC36">
        <f>HYPERLINK("https://klasma.github.io/Logging_1380/tillsyn/A 37137-2025 tillsynsbegäran.docx", "A 37137-2025")</f>
        <v/>
      </c>
      <c r="AD36">
        <f>HYPERLINK("https://klasma.github.io/Logging_1380/tillsynsmail/A 37137-2025 tillsynsbegäran mail.docx", "A 37137-2025")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46275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46275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46275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46275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46275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46275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46275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46275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46275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22842-2022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44715</v>
      </c>
      <c r="E47" s="1" t="n">
        <v>46275</v>
      </c>
      <c r="F47" t="inlineStr">
        <is>
          <t>HALLANDS LÄN</t>
        </is>
      </c>
      <c r="G47" t="inlineStr">
        <is>
          <t>HALMSTAD</t>
        </is>
      </c>
      <c r="I47" t="n">
        <v>6.1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Spillkråka</t>
        </is>
      </c>
      <c r="W47">
        <f>HYPERLINK("https://klasma.github.io/Logging_1380/artfynd/A 22842-2022 artfynd.xlsx", "A 22842-2022")</f>
        <v/>
      </c>
      <c r="X47">
        <f>HYPERLINK("https://klasma.github.io/Logging_1380/kartor/A 22842-2022 karta.png", "A 22842-2022")</f>
        <v/>
      </c>
      <c r="Y47">
        <f>HYPERLINK("https://klasma.github.io/Logging_1380/kartor_geotiff/A 22842-2022 georefererad karta.tif", "A 22842-2022")</f>
        <v/>
      </c>
      <c r="AA47">
        <f>HYPERLINK("https://klasma.github.io/Logging_1380/klagomål/A 22842-2022 FSC-klagomål.docx", "A 22842-2022")</f>
        <v/>
      </c>
      <c r="AB47">
        <f>HYPERLINK("https://klasma.github.io/Logging_1380/klagomålsmail/A 22842-2022 FSC-klagomål mail.docx", "A 22842-2022")</f>
        <v/>
      </c>
      <c r="AC47">
        <f>HYPERLINK("https://klasma.github.io/Logging_1380/tillsyn/A 22842-2022 tillsynsbegäran.docx", "A 22842-2022")</f>
        <v/>
      </c>
      <c r="AD47">
        <f>HYPERLINK("https://klasma.github.io/Logging_1380/tillsynsmail/A 22842-2022 tillsynsbegäran mail.docx", "A 22842-2022")</f>
        <v/>
      </c>
      <c r="AE47">
        <f>HYPERLINK("https://klasma.github.io/Logging_1380/fåglar/A 22842-2022 prioriterade fågelarter.docx", "A 22842-2022")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46275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36808-2023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46275</v>
      </c>
      <c r="F49" t="inlineStr">
        <is>
          <t>HALLANDS LÄN</t>
        </is>
      </c>
      <c r="G49" t="inlineStr">
        <is>
          <t>HALMSTAD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Ljungögontröst</t>
        </is>
      </c>
      <c r="W49">
        <f>HYPERLINK("https://klasma.github.io/Logging_1380/artfynd/A 36808-2023 artfynd.xlsx", "A 36808-2023")</f>
        <v/>
      </c>
      <c r="X49">
        <f>HYPERLINK("https://klasma.github.io/Logging_1380/kartor/A 36808-2023 karta.png", "A 36808-2023")</f>
        <v/>
      </c>
      <c r="Y49">
        <f>HYPERLINK("https://klasma.github.io/Logging_1380/kartor_geotiff/A 36808-2023 georefererad karta.tif", "A 36808-2023")</f>
        <v/>
      </c>
      <c r="AA49">
        <f>HYPERLINK("https://klasma.github.io/Logging_1380/klagomål/A 36808-2023 FSC-klagomål.docx", "A 36808-2023")</f>
        <v/>
      </c>
      <c r="AB49">
        <f>HYPERLINK("https://klasma.github.io/Logging_1380/klagomålsmail/A 36808-2023 FSC-klagomål mail.docx", "A 36808-2023")</f>
        <v/>
      </c>
      <c r="AC49">
        <f>HYPERLINK("https://klasma.github.io/Logging_1380/tillsyn/A 36808-2023 tillsynsbegäran.docx", "A 36808-2023")</f>
        <v/>
      </c>
      <c r="AD49">
        <f>HYPERLINK("https://klasma.github.io/Logging_1380/tillsynsmail/A 36808-2023 tillsynsbegäran mail.docx", "A 36808-2023")</f>
        <v/>
      </c>
    </row>
    <row r="50" ht="15" customHeight="1">
      <c r="A50" t="inlineStr">
        <is>
          <t>A 5530-2025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45692</v>
      </c>
      <c r="E50" s="1" t="n">
        <v>46275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Igelkott</t>
        </is>
      </c>
      <c r="W50">
        <f>HYPERLINK("https://klasma.github.io/Logging_1380/artfynd/A 5530-2025 artfynd.xlsx", "A 5530-2025")</f>
        <v/>
      </c>
      <c r="X50">
        <f>HYPERLINK("https://klasma.github.io/Logging_1380/kartor/A 5530-2025 karta.png", "A 5530-2025")</f>
        <v/>
      </c>
      <c r="Y50">
        <f>HYPERLINK("https://klasma.github.io/Logging_1380/kartor_geotiff/A 5530-2025 georefererad karta.tif", "A 5530-2025")</f>
        <v/>
      </c>
      <c r="AA50">
        <f>HYPERLINK("https://klasma.github.io/Logging_1380/klagomål/A 5530-2025 FSC-klagomål.docx", "A 5530-2025")</f>
        <v/>
      </c>
      <c r="AB50">
        <f>HYPERLINK("https://klasma.github.io/Logging_1380/klagomålsmail/A 5530-2025 FSC-klagomål mail.docx", "A 5530-2025")</f>
        <v/>
      </c>
      <c r="AC50">
        <f>HYPERLINK("https://klasma.github.io/Logging_1380/tillsyn/A 5530-2025 tillsynsbegäran.docx", "A 5530-2025")</f>
        <v/>
      </c>
      <c r="AD50">
        <f>HYPERLINK("https://klasma.github.io/Logging_1380/tillsynsmail/A 5530-2025 tillsynsbegäran mail.docx", "A 5530-2025")</f>
        <v/>
      </c>
    </row>
    <row r="51" ht="15" customHeight="1">
      <c r="A51" t="inlineStr">
        <is>
          <t>A 17266-2023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45035</v>
      </c>
      <c r="E51" s="1" t="n">
        <v>46275</v>
      </c>
      <c r="F51" t="inlineStr">
        <is>
          <t>HALLANDS LÄN</t>
        </is>
      </c>
      <c r="G51" t="inlineStr">
        <is>
          <t>HALMSTAD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HYPERLINK("https://klasma.github.io/Logging_1380/artfynd/A 17266-2023 artfynd.xlsx", "A 17266-2023")</f>
        <v/>
      </c>
      <c r="X51">
        <f>HYPERLINK("https://klasma.github.io/Logging_1380/kartor/A 17266-2023 karta.png", "A 17266-2023")</f>
        <v/>
      </c>
      <c r="Y51">
        <f>HYPERLINK("https://klasma.github.io/Logging_1380/kartor_geotiff/A 17266-2023 georefererad karta.tif", "A 17266-2023")</f>
        <v/>
      </c>
      <c r="AA51">
        <f>HYPERLINK("https://klasma.github.io/Logging_1380/klagomål/A 17266-2023 FSC-klagomål.docx", "A 17266-2023")</f>
        <v/>
      </c>
      <c r="AB51">
        <f>HYPERLINK("https://klasma.github.io/Logging_1380/klagomålsmail/A 17266-2023 FSC-klagomål mail.docx", "A 17266-2023")</f>
        <v/>
      </c>
      <c r="AC51">
        <f>HYPERLINK("https://klasma.github.io/Logging_1380/tillsyn/A 17266-2023 tillsynsbegäran.docx", "A 17266-2023")</f>
        <v/>
      </c>
      <c r="AD51">
        <f>HYPERLINK("https://klasma.github.io/Logging_1380/tillsynsmail/A 17266-2023 tillsynsbegäran mail.docx", "A 17266-2023")</f>
        <v/>
      </c>
    </row>
    <row r="52" ht="15" customHeight="1">
      <c r="A52" t="inlineStr">
        <is>
          <t>A 21483-2024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46275</v>
      </c>
      <c r="F52" t="inlineStr">
        <is>
          <t>HALLANDS LÄN</t>
        </is>
      </c>
      <c r="G52" t="inlineStr">
        <is>
          <t>HALMSTAD</t>
        </is>
      </c>
      <c r="I52" t="n">
        <v>0.8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21483-2024 artfynd.xlsx", "A 21483-2024")</f>
        <v/>
      </c>
      <c r="X52">
        <f>HYPERLINK("https://klasma.github.io/Logging_1380/kartor/A 21483-2024 karta.png", "A 21483-2024")</f>
        <v/>
      </c>
      <c r="Y52">
        <f>HYPERLINK("https://klasma.github.io/Logging_1380/kartor_geotiff/A 21483-2024 georefererad karta.tif", "A 21483-2024")</f>
        <v/>
      </c>
      <c r="AA52">
        <f>HYPERLINK("https://klasma.github.io/Logging_1380/klagomål/A 21483-2024 FSC-klagomål.docx", "A 21483-2024")</f>
        <v/>
      </c>
      <c r="AB52">
        <f>HYPERLINK("https://klasma.github.io/Logging_1380/klagomålsmail/A 21483-2024 FSC-klagomål mail.docx", "A 21483-2024")</f>
        <v/>
      </c>
      <c r="AC52">
        <f>HYPERLINK("https://klasma.github.io/Logging_1380/tillsyn/A 21483-2024 tillsynsbegäran.docx", "A 21483-2024")</f>
        <v/>
      </c>
      <c r="AD52">
        <f>HYPERLINK("https://klasma.github.io/Logging_1380/tillsynsmail/A 21483-2024 tillsynsbegäran mail.docx", "A 21483-2024")</f>
        <v/>
      </c>
    </row>
    <row r="53" ht="15" customHeight="1">
      <c r="A53" t="inlineStr">
        <is>
          <t>A 21488-2024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45441</v>
      </c>
      <c r="E53" s="1" t="n">
        <v>46275</v>
      </c>
      <c r="F53" t="inlineStr">
        <is>
          <t>HALLANDS LÄN</t>
        </is>
      </c>
      <c r="G53" t="inlineStr">
        <is>
          <t>HALMSTAD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Hårginst</t>
        </is>
      </c>
      <c r="W53">
        <f>HYPERLINK("https://klasma.github.io/Logging_1380/artfynd/A 21488-2024 artfynd.xlsx", "A 21488-2024")</f>
        <v/>
      </c>
      <c r="X53">
        <f>HYPERLINK("https://klasma.github.io/Logging_1380/kartor/A 21488-2024 karta.png", "A 21488-2024")</f>
        <v/>
      </c>
      <c r="Y53">
        <f>HYPERLINK("https://klasma.github.io/Logging_1380/kartor_geotiff/A 21488-2024 georefererad karta.tif", "A 21488-2024")</f>
        <v/>
      </c>
      <c r="AA53">
        <f>HYPERLINK("https://klasma.github.io/Logging_1380/klagomål/A 21488-2024 FSC-klagomål.docx", "A 21488-2024")</f>
        <v/>
      </c>
      <c r="AB53">
        <f>HYPERLINK("https://klasma.github.io/Logging_1380/klagomålsmail/A 21488-2024 FSC-klagomål mail.docx", "A 21488-2024")</f>
        <v/>
      </c>
      <c r="AC53">
        <f>HYPERLINK("https://klasma.github.io/Logging_1380/tillsyn/A 21488-2024 tillsynsbegäran.docx", "A 21488-2024")</f>
        <v/>
      </c>
      <c r="AD53">
        <f>HYPERLINK("https://klasma.github.io/Logging_1380/tillsynsmail/A 21488-2024 tillsynsbegäran mail.docx", "A 21488-2024")</f>
        <v/>
      </c>
    </row>
    <row r="54" ht="15" customHeight="1">
      <c r="A54" t="inlineStr">
        <is>
          <t>A 40623-2023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46275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Hårginst</t>
        </is>
      </c>
      <c r="W54">
        <f>HYPERLINK("https://klasma.github.io/Logging_1380/artfynd/A 40623-2023 artfynd.xlsx", "A 40623-2023")</f>
        <v/>
      </c>
      <c r="X54">
        <f>HYPERLINK("https://klasma.github.io/Logging_1380/kartor/A 40623-2023 karta.png", "A 40623-2023")</f>
        <v/>
      </c>
      <c r="Y54">
        <f>HYPERLINK("https://klasma.github.io/Logging_1380/kartor_geotiff/A 40623-2023 georefererad karta.tif", "A 40623-2023")</f>
        <v/>
      </c>
      <c r="AA54">
        <f>HYPERLINK("https://klasma.github.io/Logging_1380/klagomål/A 40623-2023 FSC-klagomål.docx", "A 40623-2023")</f>
        <v/>
      </c>
      <c r="AB54">
        <f>HYPERLINK("https://klasma.github.io/Logging_1380/klagomålsmail/A 40623-2023 FSC-klagomål mail.docx", "A 40623-2023")</f>
        <v/>
      </c>
      <c r="AC54">
        <f>HYPERLINK("https://klasma.github.io/Logging_1380/tillsyn/A 40623-2023 tillsynsbegäran.docx", "A 40623-2023")</f>
        <v/>
      </c>
      <c r="AD54">
        <f>HYPERLINK("https://klasma.github.io/Logging_1380/tillsynsmail/A 40623-2023 tillsynsbegäran mail.docx", "A 40623-2023")</f>
        <v/>
      </c>
    </row>
    <row r="55" ht="15" customHeight="1">
      <c r="A55" t="inlineStr">
        <is>
          <t>A 40659-2023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46275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3.1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40659-2023 artfynd.xlsx", "A 40659-2023")</f>
        <v/>
      </c>
      <c r="X55">
        <f>HYPERLINK("https://klasma.github.io/Logging_1380/kartor/A 40659-2023 karta.png", "A 40659-2023")</f>
        <v/>
      </c>
      <c r="Y55">
        <f>HYPERLINK("https://klasma.github.io/Logging_1380/kartor_geotiff/A 40659-2023 georefererad karta.tif", "A 40659-2023")</f>
        <v/>
      </c>
      <c r="AA55">
        <f>HYPERLINK("https://klasma.github.io/Logging_1380/klagomål/A 40659-2023 FSC-klagomål.docx", "A 40659-2023")</f>
        <v/>
      </c>
      <c r="AB55">
        <f>HYPERLINK("https://klasma.github.io/Logging_1380/klagomålsmail/A 40659-2023 FSC-klagomål mail.docx", "A 40659-2023")</f>
        <v/>
      </c>
      <c r="AC55">
        <f>HYPERLINK("https://klasma.github.io/Logging_1380/tillsyn/A 40659-2023 tillsynsbegäran.docx", "A 40659-2023")</f>
        <v/>
      </c>
      <c r="AD55">
        <f>HYPERLINK("https://klasma.github.io/Logging_1380/tillsynsmail/A 40659-2023 tillsynsbegäran mail.docx", "A 40659-2023")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46275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32753-2023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45122</v>
      </c>
      <c r="E57" s="1" t="n">
        <v>46275</v>
      </c>
      <c r="F57" t="inlineStr">
        <is>
          <t>HALLANDS LÄN</t>
        </is>
      </c>
      <c r="G57" t="inlineStr">
        <is>
          <t>HALMSTAD</t>
        </is>
      </c>
      <c r="I57" t="n">
        <v>2.7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Entita</t>
        </is>
      </c>
      <c r="W57">
        <f>HYPERLINK("https://klasma.github.io/Logging_1380/artfynd/A 32753-2023 artfynd.xlsx", "A 32753-2023")</f>
        <v/>
      </c>
      <c r="X57">
        <f>HYPERLINK("https://klasma.github.io/Logging_1380/kartor/A 32753-2023 karta.png", "A 32753-2023")</f>
        <v/>
      </c>
      <c r="Y57">
        <f>HYPERLINK("https://klasma.github.io/Logging_1380/kartor_geotiff/A 32753-2023 georefererad karta.tif", "A 32753-2023")</f>
        <v/>
      </c>
      <c r="AA57">
        <f>HYPERLINK("https://klasma.github.io/Logging_1380/klagomål/A 32753-2023 FSC-klagomål.docx", "A 32753-2023")</f>
        <v/>
      </c>
      <c r="AB57">
        <f>HYPERLINK("https://klasma.github.io/Logging_1380/klagomålsmail/A 32753-2023 FSC-klagomål mail.docx", "A 32753-2023")</f>
        <v/>
      </c>
      <c r="AC57">
        <f>HYPERLINK("https://klasma.github.io/Logging_1380/tillsyn/A 32753-2023 tillsynsbegäran.docx", "A 32753-2023")</f>
        <v/>
      </c>
      <c r="AD57">
        <f>HYPERLINK("https://klasma.github.io/Logging_1380/tillsynsmail/A 32753-2023 tillsynsbegäran mail.docx", "A 32753-2023")</f>
        <v/>
      </c>
      <c r="AE57">
        <f>HYPERLINK("https://klasma.github.io/Logging_1380/fåglar/A 32753-2023 prioriterade fågelarter.docx", "A 32753-2023")</f>
        <v/>
      </c>
    </row>
    <row r="58" ht="15" customHeight="1">
      <c r="A58" t="inlineStr">
        <is>
          <t>A 53797-2024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46275</v>
      </c>
      <c r="F58" t="inlineStr">
        <is>
          <t>HALLANDS LÄN</t>
        </is>
      </c>
      <c r="G58" t="inlineStr">
        <is>
          <t>HALMSTAD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Dvärglin</t>
        </is>
      </c>
      <c r="W58">
        <f>HYPERLINK("https://klasma.github.io/Logging_1380/artfynd/A 53797-2024 artfynd.xlsx", "A 53797-2024")</f>
        <v/>
      </c>
      <c r="X58">
        <f>HYPERLINK("https://klasma.github.io/Logging_1380/kartor/A 53797-2024 karta.png", "A 53797-2024")</f>
        <v/>
      </c>
      <c r="Y58">
        <f>HYPERLINK("https://klasma.github.io/Logging_1380/kartor_geotiff/A 53797-2024 georefererad karta.tif", "A 53797-2024")</f>
        <v/>
      </c>
      <c r="AA58">
        <f>HYPERLINK("https://klasma.github.io/Logging_1380/klagomål/A 53797-2024 FSC-klagomål.docx", "A 53797-2024")</f>
        <v/>
      </c>
      <c r="AB58">
        <f>HYPERLINK("https://klasma.github.io/Logging_1380/klagomålsmail/A 53797-2024 FSC-klagomål mail.docx", "A 53797-2024")</f>
        <v/>
      </c>
      <c r="AC58">
        <f>HYPERLINK("https://klasma.github.io/Logging_1380/tillsyn/A 53797-2024 tillsynsbegäran.docx", "A 53797-2024")</f>
        <v/>
      </c>
      <c r="AD58">
        <f>HYPERLINK("https://klasma.github.io/Logging_1380/tillsynsmail/A 53797-2024 tillsynsbegäran mail.docx", "A 53797-2024")</f>
        <v/>
      </c>
    </row>
    <row r="59" ht="15" customHeight="1">
      <c r="A59" t="inlineStr">
        <is>
          <t>A 40650-2023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46275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14.7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40650-2023 artfynd.xlsx", "A 40650-2023")</f>
        <v/>
      </c>
      <c r="X59">
        <f>HYPERLINK("https://klasma.github.io/Logging_1380/kartor/A 40650-2023 karta.png", "A 40650-2023")</f>
        <v/>
      </c>
      <c r="Y59">
        <f>HYPERLINK("https://klasma.github.io/Logging_1380/kartor_geotiff/A 40650-2023 georefererad karta.tif", "A 40650-2023")</f>
        <v/>
      </c>
      <c r="AA59">
        <f>HYPERLINK("https://klasma.github.io/Logging_1380/klagomål/A 40650-2023 FSC-klagomål.docx", "A 40650-2023")</f>
        <v/>
      </c>
      <c r="AB59">
        <f>HYPERLINK("https://klasma.github.io/Logging_1380/klagomålsmail/A 40650-2023 FSC-klagomål mail.docx", "A 40650-2023")</f>
        <v/>
      </c>
      <c r="AC59">
        <f>HYPERLINK("https://klasma.github.io/Logging_1380/tillsyn/A 40650-2023 tillsynsbegäran.docx", "A 40650-2023")</f>
        <v/>
      </c>
      <c r="AD59">
        <f>HYPERLINK("https://klasma.github.io/Logging_1380/tillsynsmail/A 40650-2023 tillsynsbegäran mail.docx", "A 40650-2023")</f>
        <v/>
      </c>
    </row>
    <row r="60" ht="15" customHeight="1">
      <c r="A60" t="inlineStr">
        <is>
          <t>A 27386-2025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46275</v>
      </c>
      <c r="F60" t="inlineStr">
        <is>
          <t>HALLANDS LÄN</t>
        </is>
      </c>
      <c r="G60" t="inlineStr">
        <is>
          <t>HALMSTAD</t>
        </is>
      </c>
      <c r="I60" t="n">
        <v>8.5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27386-2025 artfynd.xlsx", "A 27386-2025")</f>
        <v/>
      </c>
      <c r="X60">
        <f>HYPERLINK("https://klasma.github.io/Logging_1380/kartor/A 27386-2025 karta.png", "A 27386-2025")</f>
        <v/>
      </c>
      <c r="Y60">
        <f>HYPERLINK("https://klasma.github.io/Logging_1380/kartor_geotiff/A 27386-2025 georefererad karta.tif", "A 27386-2025")</f>
        <v/>
      </c>
      <c r="AA60">
        <f>HYPERLINK("https://klasma.github.io/Logging_1380/klagomål/A 27386-2025 FSC-klagomål.docx", "A 27386-2025")</f>
        <v/>
      </c>
      <c r="AB60">
        <f>HYPERLINK("https://klasma.github.io/Logging_1380/klagomålsmail/A 27386-2025 FSC-klagomål mail.docx", "A 27386-2025")</f>
        <v/>
      </c>
      <c r="AC60">
        <f>HYPERLINK("https://klasma.github.io/Logging_1380/tillsyn/A 27386-2025 tillsynsbegäran.docx", "A 27386-2025")</f>
        <v/>
      </c>
      <c r="AD60">
        <f>HYPERLINK("https://klasma.github.io/Logging_1380/tillsynsmail/A 27386-2025 tillsynsbegäran mail.docx", "A 27386-2025")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46275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32822-2025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46275</v>
      </c>
      <c r="F62" t="inlineStr">
        <is>
          <t>HALLANDS LÄN</t>
        </is>
      </c>
      <c r="G62" t="inlineStr">
        <is>
          <t>HALMSTAD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Hasselmus</t>
        </is>
      </c>
      <c r="W62">
        <f>HYPERLINK("https://klasma.github.io/Logging_1380/artfynd/A 32822-2025 artfynd.xlsx", "A 32822-2025")</f>
        <v/>
      </c>
      <c r="X62">
        <f>HYPERLINK("https://klasma.github.io/Logging_1380/kartor/A 32822-2025 karta.png", "A 32822-2025")</f>
        <v/>
      </c>
      <c r="Y62">
        <f>HYPERLINK("https://klasma.github.io/Logging_1380/kartor_geotiff/A 32822-2025 georefererad karta.tif", "A 32822-2025")</f>
        <v/>
      </c>
      <c r="AA62">
        <f>HYPERLINK("https://klasma.github.io/Logging_1380/klagomål/A 32822-2025 FSC-klagomål.docx", "A 32822-2025")</f>
        <v/>
      </c>
      <c r="AB62">
        <f>HYPERLINK("https://klasma.github.io/Logging_1380/klagomålsmail/A 32822-2025 FSC-klagomål mail.docx", "A 32822-2025")</f>
        <v/>
      </c>
      <c r="AC62">
        <f>HYPERLINK("https://klasma.github.io/Logging_1380/tillsyn/A 32822-2025 tillsynsbegäran.docx", "A 32822-2025")</f>
        <v/>
      </c>
      <c r="AD62">
        <f>HYPERLINK("https://klasma.github.io/Logging_1380/tillsynsmail/A 32822-2025 tillsynsbegäran mail.docx", "A 32822-2025")</f>
        <v/>
      </c>
    </row>
    <row r="63" ht="15" customHeight="1">
      <c r="A63" t="inlineStr">
        <is>
          <t>A 9816-2025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45715</v>
      </c>
      <c r="E63" s="1" t="n">
        <v>46275</v>
      </c>
      <c r="F63" t="inlineStr">
        <is>
          <t>HALLANDS LÄN</t>
        </is>
      </c>
      <c r="G63" t="inlineStr">
        <is>
          <t>HALMSTAD</t>
        </is>
      </c>
      <c r="H63" t="inlineStr">
        <is>
          <t>Övriga statliga verk och myndigheter</t>
        </is>
      </c>
      <c r="I63" t="n">
        <v>9.4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HYPERLINK("https://klasma.github.io/Logging_1380/artfynd/A 9816-2025 artfynd.xlsx", "A 9816-2025")</f>
        <v/>
      </c>
      <c r="X63">
        <f>HYPERLINK("https://klasma.github.io/Logging_1380/kartor/A 9816-2025 karta.png", "A 9816-2025")</f>
        <v/>
      </c>
      <c r="Y63">
        <f>HYPERLINK("https://klasma.github.io/Logging_1380/kartor_geotiff/A 9816-2025 georefererad karta.tif", "A 9816-2025")</f>
        <v/>
      </c>
      <c r="AA63">
        <f>HYPERLINK("https://klasma.github.io/Logging_1380/klagomål/A 9816-2025 FSC-klagomål.docx", "A 9816-2025")</f>
        <v/>
      </c>
      <c r="AB63">
        <f>HYPERLINK("https://klasma.github.io/Logging_1380/klagomålsmail/A 9816-2025 FSC-klagomål mail.docx", "A 9816-2025")</f>
        <v/>
      </c>
      <c r="AC63">
        <f>HYPERLINK("https://klasma.github.io/Logging_1380/tillsyn/A 9816-2025 tillsynsbegäran.docx", "A 9816-2025")</f>
        <v/>
      </c>
      <c r="AD63">
        <f>HYPERLINK("https://klasma.github.io/Logging_1380/tillsynsmail/A 9816-2025 tillsynsbegäran mail.docx", "A 9816-2025")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46275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24383-2023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46275</v>
      </c>
      <c r="F65" t="inlineStr">
        <is>
          <t>HALLANDS LÄN</t>
        </is>
      </c>
      <c r="G65" t="inlineStr">
        <is>
          <t>HALMSTAD</t>
        </is>
      </c>
      <c r="I65" t="n">
        <v>3.2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24383-2023 artfynd.xlsx", "A 24383-2023")</f>
        <v/>
      </c>
      <c r="X65">
        <f>HYPERLINK("https://klasma.github.io/Logging_1380/kartor/A 24383-2023 karta.png", "A 24383-2023")</f>
        <v/>
      </c>
      <c r="Y65">
        <f>HYPERLINK("https://klasma.github.io/Logging_1380/kartor_geotiff/A 24383-2023 georefererad karta.tif", "A 24383-2023")</f>
        <v/>
      </c>
      <c r="AA65">
        <f>HYPERLINK("https://klasma.github.io/Logging_1380/klagomål/A 24383-2023 FSC-klagomål.docx", "A 24383-2023")</f>
        <v/>
      </c>
      <c r="AB65">
        <f>HYPERLINK("https://klasma.github.io/Logging_1380/klagomålsmail/A 24383-2023 FSC-klagomål mail.docx", "A 24383-2023")</f>
        <v/>
      </c>
      <c r="AC65">
        <f>HYPERLINK("https://klasma.github.io/Logging_1380/tillsyn/A 24383-2023 tillsynsbegäran.docx", "A 24383-2023")</f>
        <v/>
      </c>
      <c r="AD65">
        <f>HYPERLINK("https://klasma.github.io/Logging_1380/tillsynsmail/A 24383-2023 tillsynsbegäran mail.docx", "A 24383-2023")</f>
        <v/>
      </c>
    </row>
    <row r="66" ht="15" customHeight="1">
      <c r="A66" t="inlineStr">
        <is>
          <t>A 16387-2023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46275</v>
      </c>
      <c r="F66" t="inlineStr">
        <is>
          <t>HALLANDS LÄN</t>
        </is>
      </c>
      <c r="G66" t="inlineStr">
        <is>
          <t>HALMSTAD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HYPERLINK("https://klasma.github.io/Logging_1380/artfynd/A 16387-2023 artfynd.xlsx", "A 16387-2023")</f>
        <v/>
      </c>
      <c r="X66">
        <f>HYPERLINK("https://klasma.github.io/Logging_1380/kartor/A 16387-2023 karta.png", "A 16387-2023")</f>
        <v/>
      </c>
      <c r="Y66">
        <f>HYPERLINK("https://klasma.github.io/Logging_1380/kartor_geotiff/A 16387-2023 georefererad karta.tif", "A 16387-2023")</f>
        <v/>
      </c>
      <c r="AA66">
        <f>HYPERLINK("https://klasma.github.io/Logging_1380/klagomål/A 16387-2023 FSC-klagomål.docx", "A 16387-2023")</f>
        <v/>
      </c>
      <c r="AB66">
        <f>HYPERLINK("https://klasma.github.io/Logging_1380/klagomålsmail/A 16387-2023 FSC-klagomål mail.docx", "A 16387-2023")</f>
        <v/>
      </c>
      <c r="AC66">
        <f>HYPERLINK("https://klasma.github.io/Logging_1380/tillsyn/A 16387-2023 tillsynsbegäran.docx", "A 16387-2023")</f>
        <v/>
      </c>
      <c r="AD66">
        <f>HYPERLINK("https://klasma.github.io/Logging_1380/tillsynsmail/A 16387-2023 tillsynsbegäran mail.docx", "A 16387-2023")</f>
        <v/>
      </c>
      <c r="AE66">
        <f>HYPERLINK("https://klasma.github.io/Logging_1380/fåglar/A 16387-2023 prioriterade fågelarter.docx", "A 16387-2023")</f>
        <v/>
      </c>
    </row>
    <row r="67" ht="15" customHeight="1">
      <c r="A67" t="inlineStr">
        <is>
          <t>A 10063-2022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46275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Hasselmus</t>
        </is>
      </c>
      <c r="W67">
        <f>HYPERLINK("https://klasma.github.io/Logging_1380/artfynd/A 10063-2022 artfynd.xlsx", "A 10063-2022")</f>
        <v/>
      </c>
      <c r="X67">
        <f>HYPERLINK("https://klasma.github.io/Logging_1380/kartor/A 10063-2022 karta.png", "A 10063-2022")</f>
        <v/>
      </c>
      <c r="Y67">
        <f>HYPERLINK("https://klasma.github.io/Logging_1380/kartor_geotiff/A 10063-2022 georefererad karta.tif", "A 10063-2022")</f>
        <v/>
      </c>
      <c r="AA67">
        <f>HYPERLINK("https://klasma.github.io/Logging_1380/klagomål/A 10063-2022 FSC-klagomål.docx", "A 10063-2022")</f>
        <v/>
      </c>
      <c r="AB67">
        <f>HYPERLINK("https://klasma.github.io/Logging_1380/klagomålsmail/A 10063-2022 FSC-klagomål mail.docx", "A 10063-2022")</f>
        <v/>
      </c>
      <c r="AC67">
        <f>HYPERLINK("https://klasma.github.io/Logging_1380/tillsyn/A 10063-2022 tillsynsbegäran.docx", "A 10063-2022")</f>
        <v/>
      </c>
      <c r="AD67">
        <f>HYPERLINK("https://klasma.github.io/Logging_1380/tillsynsmail/A 10063-2022 tillsynsbegäran mail.docx", "A 10063-2022")</f>
        <v/>
      </c>
    </row>
    <row r="68" ht="15" customHeight="1">
      <c r="A68" t="inlineStr">
        <is>
          <t>A 20419-2022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44699</v>
      </c>
      <c r="E68" s="1" t="n">
        <v>46275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6.5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20419-2022 artfynd.xlsx", "A 20419-2022")</f>
        <v/>
      </c>
      <c r="X68">
        <f>HYPERLINK("https://klasma.github.io/Logging_1380/kartor/A 20419-2022 karta.png", "A 20419-2022")</f>
        <v/>
      </c>
      <c r="Y68">
        <f>HYPERLINK("https://klasma.github.io/Logging_1380/kartor_geotiff/A 20419-2022 georefererad karta.tif", "A 20419-2022")</f>
        <v/>
      </c>
      <c r="AA68">
        <f>HYPERLINK("https://klasma.github.io/Logging_1380/klagomål/A 20419-2022 FSC-klagomål.docx", "A 20419-2022")</f>
        <v/>
      </c>
      <c r="AB68">
        <f>HYPERLINK("https://klasma.github.io/Logging_1380/klagomålsmail/A 20419-2022 FSC-klagomål mail.docx", "A 20419-2022")</f>
        <v/>
      </c>
      <c r="AC68">
        <f>HYPERLINK("https://klasma.github.io/Logging_1380/tillsyn/A 20419-2022 tillsynsbegäran.docx", "A 20419-2022")</f>
        <v/>
      </c>
      <c r="AD68">
        <f>HYPERLINK("https://klasma.github.io/Logging_1380/tillsynsmail/A 20419-2022 tillsynsbegäran mail.docx", "A 20419-2022")</f>
        <v/>
      </c>
    </row>
    <row r="69" ht="15" customHeight="1">
      <c r="A69" t="inlineStr">
        <is>
          <t>A 37139-2025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46275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Kornknutmossa</t>
        </is>
      </c>
      <c r="W69">
        <f>HYPERLINK("https://klasma.github.io/Logging_1380/artfynd/A 37139-2025 artfynd.xlsx", "A 37139-2025")</f>
        <v/>
      </c>
      <c r="X69">
        <f>HYPERLINK("https://klasma.github.io/Logging_1380/kartor/A 37139-2025 karta.png", "A 37139-2025")</f>
        <v/>
      </c>
      <c r="Y69">
        <f>HYPERLINK("https://klasma.github.io/Logging_1380/kartor_geotiff/A 37139-2025 georefererad karta.tif", "A 37139-2025")</f>
        <v/>
      </c>
      <c r="AA69">
        <f>HYPERLINK("https://klasma.github.io/Logging_1380/klagomål/A 37139-2025 FSC-klagomål.docx", "A 37139-2025")</f>
        <v/>
      </c>
      <c r="AB69">
        <f>HYPERLINK("https://klasma.github.io/Logging_1380/klagomålsmail/A 37139-2025 FSC-klagomål mail.docx", "A 37139-2025")</f>
        <v/>
      </c>
      <c r="AC69">
        <f>HYPERLINK("https://klasma.github.io/Logging_1380/tillsyn/A 37139-2025 tillsynsbegäran.docx", "A 37139-2025")</f>
        <v/>
      </c>
      <c r="AD69">
        <f>HYPERLINK("https://klasma.github.io/Logging_1380/tillsynsmail/A 37139-2025 tillsynsbegäran mail.docx", "A 37139-2025")</f>
        <v/>
      </c>
    </row>
    <row r="70" ht="15" customHeight="1">
      <c r="A70" t="inlineStr">
        <is>
          <t>A 5240-2025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46275</v>
      </c>
      <c r="F70" t="inlineStr">
        <is>
          <t>HALLANDS LÄN</t>
        </is>
      </c>
      <c r="G70" t="inlineStr">
        <is>
          <t>HALMSTAD</t>
        </is>
      </c>
      <c r="I70" t="n">
        <v>8.300000000000001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Mussellav</t>
        </is>
      </c>
      <c r="W70">
        <f>HYPERLINK("https://klasma.github.io/Logging_1380/artfynd/A 5240-2025 artfynd.xlsx", "A 5240-2025")</f>
        <v/>
      </c>
      <c r="X70">
        <f>HYPERLINK("https://klasma.github.io/Logging_1380/kartor/A 5240-2025 karta.png", "A 5240-2025")</f>
        <v/>
      </c>
      <c r="Y70">
        <f>HYPERLINK("https://klasma.github.io/Logging_1380/kartor_geotiff/A 5240-2025 georefererad karta.tif", "A 5240-2025")</f>
        <v/>
      </c>
      <c r="AA70">
        <f>HYPERLINK("https://klasma.github.io/Logging_1380/klagomål/A 5240-2025 FSC-klagomål.docx", "A 5240-2025")</f>
        <v/>
      </c>
      <c r="AB70">
        <f>HYPERLINK("https://klasma.github.io/Logging_1380/klagomålsmail/A 5240-2025 FSC-klagomål mail.docx", "A 5240-2025")</f>
        <v/>
      </c>
      <c r="AC70">
        <f>HYPERLINK("https://klasma.github.io/Logging_1380/tillsyn/A 5240-2025 tillsynsbegäran.docx", "A 5240-2025")</f>
        <v/>
      </c>
      <c r="AD70">
        <f>HYPERLINK("https://klasma.github.io/Logging_1380/tillsynsmail/A 5240-2025 tillsynsbegäran mail.docx", "A 5240-2025")</f>
        <v/>
      </c>
    </row>
    <row r="71" ht="15" customHeight="1">
      <c r="A71" t="inlineStr">
        <is>
          <t>A 6987-2026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46275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Dvärgpipistrell</t>
        </is>
      </c>
      <c r="W71">
        <f>HYPERLINK("https://klasma.github.io/Logging_1380/artfynd/A 6987-2026 artfynd.xlsx", "A 6987-2026")</f>
        <v/>
      </c>
      <c r="X71">
        <f>HYPERLINK("https://klasma.github.io/Logging_1380/kartor/A 6987-2026 karta.png", "A 6987-2026")</f>
        <v/>
      </c>
      <c r="Y71">
        <f>HYPERLINK("https://klasma.github.io/Logging_1380/kartor_geotiff/A 6987-2026 georefererad karta.tif", "A 6987-2026")</f>
        <v/>
      </c>
      <c r="AA71">
        <f>HYPERLINK("https://klasma.github.io/Logging_1380/klagomål/A 6987-2026 FSC-klagomål.docx", "A 6987-2026")</f>
        <v/>
      </c>
      <c r="AB71">
        <f>HYPERLINK("https://klasma.github.io/Logging_1380/klagomålsmail/A 6987-2026 FSC-klagomål mail.docx", "A 6987-2026")</f>
        <v/>
      </c>
      <c r="AC71">
        <f>HYPERLINK("https://klasma.github.io/Logging_1380/tillsyn/A 6987-2026 tillsynsbegäran.docx", "A 6987-2026")</f>
        <v/>
      </c>
      <c r="AD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46275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6767-2026 artfynd.xlsx", "A 6767-2026")</f>
        <v/>
      </c>
      <c r="X72">
        <f>HYPERLINK("https://klasma.github.io/Logging_1380/kartor/A 6767-2026 karta.png", "A 6767-2026")</f>
        <v/>
      </c>
      <c r="Y72">
        <f>HYPERLINK("https://klasma.github.io/Logging_1380/kartor_geotiff/A 6767-2026 georefererad karta.tif", "A 6767-2026")</f>
        <v/>
      </c>
      <c r="AA72">
        <f>HYPERLINK("https://klasma.github.io/Logging_1380/klagomål/A 6767-2026 FSC-klagomål.docx", "A 6767-2026")</f>
        <v/>
      </c>
      <c r="AB72">
        <f>HYPERLINK("https://klasma.github.io/Logging_1380/klagomålsmail/A 6767-2026 FSC-klagomål mail.docx", "A 6767-2026")</f>
        <v/>
      </c>
      <c r="AC72">
        <f>HYPERLINK("https://klasma.github.io/Logging_1380/tillsyn/A 6767-2026 tillsynsbegäran.docx", "A 6767-2026")</f>
        <v/>
      </c>
      <c r="AD72">
        <f>HYPERLINK("https://klasma.github.io/Logging_1380/tillsynsmail/A 6767-2026 tillsynsbegäran mail.docx", "A 6767-2026")</f>
        <v/>
      </c>
    </row>
    <row r="73" ht="15" customHeight="1">
      <c r="A73" t="inlineStr">
        <is>
          <t>A 15579-2026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46275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Åkerrättika</t>
        </is>
      </c>
      <c r="W73">
        <f>HYPERLINK("https://klasma.github.io/Logging_1380/artfynd/A 15579-2026 artfynd.xlsx", "A 15579-2026")</f>
        <v/>
      </c>
      <c r="X73">
        <f>HYPERLINK("https://klasma.github.io/Logging_1380/kartor/A 15579-2026 karta.png", "A 15579-2026")</f>
        <v/>
      </c>
      <c r="Y73">
        <f>HYPERLINK("https://klasma.github.io/Logging_1380/kartor_geotiff/A 15579-2026 georefererad karta.tif", "A 15579-2026")</f>
        <v/>
      </c>
      <c r="AA73">
        <f>HYPERLINK("https://klasma.github.io/Logging_1380/klagomål/A 15579-2026 FSC-klagomål.docx", "A 15579-2026")</f>
        <v/>
      </c>
      <c r="AB73">
        <f>HYPERLINK("https://klasma.github.io/Logging_1380/klagomålsmail/A 15579-2026 FSC-klagomål mail.docx", "A 15579-2026")</f>
        <v/>
      </c>
      <c r="AC73">
        <f>HYPERLINK("https://klasma.github.io/Logging_1380/tillsyn/A 15579-2026 tillsynsbegäran.docx", "A 15579-2026")</f>
        <v/>
      </c>
      <c r="AD73">
        <f>HYPERLINK("https://klasma.github.io/Logging_1380/tillsynsmail/A 15579-2026 tillsynsbegäran mail.docx", "A 15579-2026")</f>
        <v/>
      </c>
    </row>
    <row r="74" ht="15" customHeight="1">
      <c r="A74" t="inlineStr">
        <is>
          <t>A 21626-2026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46275</v>
      </c>
      <c r="F74" t="inlineStr">
        <is>
          <t>HALLANDS LÄN</t>
        </is>
      </c>
      <c r="G74" t="inlineStr">
        <is>
          <t>HALMSTAD</t>
        </is>
      </c>
      <c r="I74" t="n">
        <v>9.6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Hårginst</t>
        </is>
      </c>
      <c r="W74">
        <f>HYPERLINK("https://klasma.github.io/Logging_1380/artfynd/A 21626-2026 artfynd.xlsx", "A 21626-2026")</f>
        <v/>
      </c>
      <c r="X74">
        <f>HYPERLINK("https://klasma.github.io/Logging_1380/kartor/A 21626-2026 karta.png", "A 21626-2026")</f>
        <v/>
      </c>
      <c r="Y74">
        <f>HYPERLINK("https://klasma.github.io/Logging_1380/kartor_geotiff/A 21626-2026 georefererad karta.tif", "A 21626-2026")</f>
        <v/>
      </c>
      <c r="AA74">
        <f>HYPERLINK("https://klasma.github.io/Logging_1380/klagomål/A 21626-2026 FSC-klagomål.docx", "A 21626-2026")</f>
        <v/>
      </c>
      <c r="AB74">
        <f>HYPERLINK("https://klasma.github.io/Logging_1380/klagomålsmail/A 21626-2026 FSC-klagomål mail.docx", "A 21626-2026")</f>
        <v/>
      </c>
      <c r="AC74">
        <f>HYPERLINK("https://klasma.github.io/Logging_1380/tillsyn/A 21626-2026 tillsynsbegäran.docx", "A 21626-2026")</f>
        <v/>
      </c>
      <c r="AD74">
        <f>HYPERLINK("https://klasma.github.io/Logging_1380/tillsynsmail/A 21626-2026 tillsynsbegäran mail.docx", "A 21626-2026")</f>
        <v/>
      </c>
    </row>
    <row r="75" ht="15" customHeight="1">
      <c r="A75" t="inlineStr">
        <is>
          <t>A 23305-2026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46162</v>
      </c>
      <c r="E75" s="1" t="n">
        <v>46275</v>
      </c>
      <c r="F75" t="inlineStr">
        <is>
          <t>HALLANDS LÄN</t>
        </is>
      </c>
      <c r="G75" t="inlineStr">
        <is>
          <t>HALMSTAD</t>
        </is>
      </c>
      <c r="I75" t="n">
        <v>1.6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23305-2026 artfynd.xlsx", "A 23305-2026")</f>
        <v/>
      </c>
      <c r="X75">
        <f>HYPERLINK("https://klasma.github.io/Logging_1380/kartor/A 23305-2026 karta.png", "A 23305-2026")</f>
        <v/>
      </c>
      <c r="Y75">
        <f>HYPERLINK("https://klasma.github.io/Logging_1380/kartor_geotiff/A 23305-2026 georefererad karta.tif", "A 23305-2026")</f>
        <v/>
      </c>
      <c r="AA75">
        <f>HYPERLINK("https://klasma.github.io/Logging_1380/klagomål/A 23305-2026 FSC-klagomål.docx", "A 23305-2026")</f>
        <v/>
      </c>
      <c r="AB75">
        <f>HYPERLINK("https://klasma.github.io/Logging_1380/klagomålsmail/A 23305-2026 FSC-klagomål mail.docx", "A 23305-2026")</f>
        <v/>
      </c>
      <c r="AC75">
        <f>HYPERLINK("https://klasma.github.io/Logging_1380/tillsyn/A 23305-2026 tillsynsbegäran.docx", "A 23305-2026")</f>
        <v/>
      </c>
      <c r="AD75">
        <f>HYPERLINK("https://klasma.github.io/Logging_1380/tillsynsmail/A 23305-2026 tillsynsbegäran mail.docx", "A 23305-2026")</f>
        <v/>
      </c>
    </row>
    <row r="76" ht="15" customHeight="1">
      <c r="A76" t="inlineStr">
        <is>
          <t>A 9045-2026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46275</v>
      </c>
      <c r="F76" t="inlineStr">
        <is>
          <t>HALLANDS LÄN</t>
        </is>
      </c>
      <c r="G76" t="inlineStr">
        <is>
          <t>HALMSTAD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Grönvit nattviol</t>
        </is>
      </c>
      <c r="W76">
        <f>HYPERLINK("https://klasma.github.io/Logging_1380/artfynd/A 9045-2026 artfynd.xlsx", "A 9045-2026")</f>
        <v/>
      </c>
      <c r="X76">
        <f>HYPERLINK("https://klasma.github.io/Logging_1380/kartor/A 9045-2026 karta.png", "A 9045-2026")</f>
        <v/>
      </c>
      <c r="Y76">
        <f>HYPERLINK("https://klasma.github.io/Logging_1380/kartor_geotiff/A 9045-2026 georefererad karta.tif", "A 9045-2026")</f>
        <v/>
      </c>
      <c r="AA76">
        <f>HYPERLINK("https://klasma.github.io/Logging_1380/klagomål/A 9045-2026 FSC-klagomål.docx", "A 9045-2026")</f>
        <v/>
      </c>
      <c r="AB76">
        <f>HYPERLINK("https://klasma.github.io/Logging_1380/klagomålsmail/A 9045-2026 FSC-klagomål mail.docx", "A 9045-2026")</f>
        <v/>
      </c>
      <c r="AC76">
        <f>HYPERLINK("https://klasma.github.io/Logging_1380/tillsyn/A 9045-2026 tillsynsbegäran.docx", "A 9045-2026")</f>
        <v/>
      </c>
      <c r="AD76">
        <f>HYPERLINK("https://klasma.github.io/Logging_1380/tillsynsmail/A 9045-2026 tillsynsbegäran mail.docx", "A 9045-2026")</f>
        <v/>
      </c>
    </row>
    <row r="77" ht="15" customHeight="1">
      <c r="A77" t="inlineStr">
        <is>
          <t>A 25382-2026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46176</v>
      </c>
      <c r="E77" s="1" t="n">
        <v>46275</v>
      </c>
      <c r="F77" t="inlineStr">
        <is>
          <t>HALLANDS LÄN</t>
        </is>
      </c>
      <c r="G77" t="inlineStr">
        <is>
          <t>HALMSTAD</t>
        </is>
      </c>
      <c r="I77" t="n">
        <v>10.9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Svinrot</t>
        </is>
      </c>
      <c r="W77">
        <f>HYPERLINK("https://klasma.github.io/Logging_1380/artfynd/A 25382-2026 artfynd.xlsx", "A 25382-2026")</f>
        <v/>
      </c>
      <c r="X77">
        <f>HYPERLINK("https://klasma.github.io/Logging_1380/kartor/A 25382-2026 karta.png", "A 25382-2026")</f>
        <v/>
      </c>
      <c r="Y77">
        <f>HYPERLINK("https://klasma.github.io/Logging_1380/kartor_geotiff/A 25382-2026 georefererad karta.tif", "A 25382-2026")</f>
        <v/>
      </c>
      <c r="AA77">
        <f>HYPERLINK("https://klasma.github.io/Logging_1380/klagomål/A 25382-2026 FSC-klagomål.docx", "A 25382-2026")</f>
        <v/>
      </c>
      <c r="AB77">
        <f>HYPERLINK("https://klasma.github.io/Logging_1380/klagomålsmail/A 25382-2026 FSC-klagomål mail.docx", "A 25382-2026")</f>
        <v/>
      </c>
      <c r="AC77">
        <f>HYPERLINK("https://klasma.github.io/Logging_1380/tillsyn/A 25382-2026 tillsynsbegäran.docx", "A 25382-2026")</f>
        <v/>
      </c>
      <c r="AD77">
        <f>HYPERLINK("https://klasma.github.io/Logging_1380/tillsynsmail/A 25382-2026 tillsynsbegäran mail.docx", "A 25382-2026")</f>
        <v/>
      </c>
    </row>
    <row r="78" ht="15" customHeight="1">
      <c r="A78" t="inlineStr">
        <is>
          <t>A 46505-2025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45925</v>
      </c>
      <c r="E78" s="1" t="n">
        <v>46275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46505-2025 artfynd.xlsx", "A 46505-2025")</f>
        <v/>
      </c>
      <c r="X78">
        <f>HYPERLINK("https://klasma.github.io/Logging_1380/kartor/A 46505-2025 karta.png", "A 46505-2025")</f>
        <v/>
      </c>
      <c r="Y78">
        <f>HYPERLINK("https://klasma.github.io/Logging_1380/kartor_geotiff/A 46505-2025 georefererad karta.tif", "A 46505-2025")</f>
        <v/>
      </c>
      <c r="AA78">
        <f>HYPERLINK("https://klasma.github.io/Logging_1380/klagomål/A 46505-2025 FSC-klagomål.docx", "A 46505-2025")</f>
        <v/>
      </c>
      <c r="AB78">
        <f>HYPERLINK("https://klasma.github.io/Logging_1380/klagomålsmail/A 46505-2025 FSC-klagomål mail.docx", "A 46505-2025")</f>
        <v/>
      </c>
      <c r="AC78">
        <f>HYPERLINK("https://klasma.github.io/Logging_1380/tillsyn/A 46505-2025 tillsynsbegäran.docx", "A 46505-2025")</f>
        <v/>
      </c>
      <c r="AD78">
        <f>HYPERLINK("https://klasma.github.io/Logging_1380/tillsynsmail/A 46505-2025 tillsynsbegäran mail.docx", "A 46505-2025")</f>
        <v/>
      </c>
    </row>
    <row r="79" ht="15" customHeight="1">
      <c r="A79" t="inlineStr">
        <is>
          <t>A 25887-2026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46275</v>
      </c>
      <c r="F79" t="inlineStr">
        <is>
          <t>HALLANDS LÄN</t>
        </is>
      </c>
      <c r="G79" t="inlineStr">
        <is>
          <t>HALMSTAD</t>
        </is>
      </c>
      <c r="I79" t="n">
        <v>14.9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snok</t>
        </is>
      </c>
      <c r="W79">
        <f>HYPERLINK("https://klasma.github.io/Logging_1380/artfynd/A 25887-2026 artfynd.xlsx", "A 25887-2026")</f>
        <v/>
      </c>
      <c r="X79">
        <f>HYPERLINK("https://klasma.github.io/Logging_1380/kartor/A 25887-2026 karta.png", "A 25887-2026")</f>
        <v/>
      </c>
      <c r="Y79">
        <f>HYPERLINK("https://klasma.github.io/Logging_1380/kartor_geotiff/A 25887-2026 georefererad karta.tif", "A 25887-2026")</f>
        <v/>
      </c>
      <c r="AA79">
        <f>HYPERLINK("https://klasma.github.io/Logging_1380/klagomål/A 25887-2026 FSC-klagomål.docx", "A 25887-2026")</f>
        <v/>
      </c>
      <c r="AB79">
        <f>HYPERLINK("https://klasma.github.io/Logging_1380/klagomålsmail/A 25887-2026 FSC-klagomål mail.docx", "A 25887-2026")</f>
        <v/>
      </c>
      <c r="AC79">
        <f>HYPERLINK("https://klasma.github.io/Logging_1380/tillsyn/A 25887-2026 tillsynsbegäran.docx", "A 25887-2026")</f>
        <v/>
      </c>
      <c r="AD79">
        <f>HYPERLINK("https://klasma.github.io/Logging_1380/tillsynsmail/A 25887-2026 tillsynsbegäran mail.docx", "A 25887-2026")</f>
        <v/>
      </c>
    </row>
    <row r="80" ht="15" customHeight="1">
      <c r="A80" t="inlineStr">
        <is>
          <t>A 26330-2026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46275</v>
      </c>
      <c r="F80" t="inlineStr">
        <is>
          <t>HALLANDS LÄN</t>
        </is>
      </c>
      <c r="G80" t="inlineStr">
        <is>
          <t>HALMSTAD</t>
        </is>
      </c>
      <c r="I80" t="n">
        <v>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HYPERLINK("https://klasma.github.io/Logging_1380/artfynd/A 26330-2026 artfynd.xlsx", "A 26330-2026")</f>
        <v/>
      </c>
      <c r="X80">
        <f>HYPERLINK("https://klasma.github.io/Logging_1380/kartor/A 26330-2026 karta.png", "A 26330-2026")</f>
        <v/>
      </c>
      <c r="Y80">
        <f>HYPERLINK("https://klasma.github.io/Logging_1380/kartor_geotiff/A 26330-2026 georefererad karta.tif", "A 26330-2026")</f>
        <v/>
      </c>
      <c r="AA80">
        <f>HYPERLINK("https://klasma.github.io/Logging_1380/klagomål/A 26330-2026 FSC-klagomål.docx", "A 26330-2026")</f>
        <v/>
      </c>
      <c r="AB80">
        <f>HYPERLINK("https://klasma.github.io/Logging_1380/klagomålsmail/A 26330-2026 FSC-klagomål mail.docx", "A 26330-2026")</f>
        <v/>
      </c>
      <c r="AC80">
        <f>HYPERLINK("https://klasma.github.io/Logging_1380/tillsyn/A 26330-2026 tillsynsbegäran.docx", "A 26330-2026")</f>
        <v/>
      </c>
      <c r="AD80">
        <f>HYPERLINK("https://klasma.github.io/Logging_1380/tillsynsmail/A 26330-2026 tillsynsbegäran mail.docx", "A 26330-2026")</f>
        <v/>
      </c>
    </row>
    <row r="81" ht="15" customHeight="1">
      <c r="A81" t="inlineStr">
        <is>
          <t>A 6775-2026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46275</v>
      </c>
      <c r="F81" t="inlineStr">
        <is>
          <t>HALLANDS LÄN</t>
        </is>
      </c>
      <c r="G81" t="inlineStr">
        <is>
          <t>HALMSTAD</t>
        </is>
      </c>
      <c r="I81" t="n">
        <v>8.199999999999999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Barbastell</t>
        </is>
      </c>
      <c r="W81">
        <f>HYPERLINK("https://klasma.github.io/Logging_1380/artfynd/A 6775-2026 artfynd.xlsx", "A 6775-2026")</f>
        <v/>
      </c>
      <c r="X81">
        <f>HYPERLINK("https://klasma.github.io/Logging_1380/kartor/A 6775-2026 karta.png", "A 6775-2026")</f>
        <v/>
      </c>
      <c r="Y81">
        <f>HYPERLINK("https://klasma.github.io/Logging_1380/kartor_geotiff/A 6775-2026 georefererad karta.tif", "A 6775-2026")</f>
        <v/>
      </c>
      <c r="AA81">
        <f>HYPERLINK("https://klasma.github.io/Logging_1380/klagomål/A 6775-2026 FSC-klagomål.docx", "A 6775-2026")</f>
        <v/>
      </c>
      <c r="AB81">
        <f>HYPERLINK("https://klasma.github.io/Logging_1380/klagomålsmail/A 6775-2026 FSC-klagomål mail.docx", "A 6775-2026")</f>
        <v/>
      </c>
      <c r="AC81">
        <f>HYPERLINK("https://klasma.github.io/Logging_1380/tillsyn/A 6775-2026 tillsynsbegäran.docx", "A 6775-2026")</f>
        <v/>
      </c>
      <c r="AD81">
        <f>HYPERLINK("https://klasma.github.io/Logging_1380/tillsynsmail/A 6775-2026 tillsynsbegäran mail.docx", "A 6775-2026")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46275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46275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46275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46275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46275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46275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46275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46275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46275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46275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46275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46275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46275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46275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44760</v>
      </c>
      <c r="E96" s="1" t="n">
        <v>46275</v>
      </c>
      <c r="F96" t="inlineStr">
        <is>
          <t>HALLANDS LÄN</t>
        </is>
      </c>
      <c r="G96" t="inlineStr">
        <is>
          <t>HALMSTAD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46275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46275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70834-2021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46275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46275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46275</v>
      </c>
      <c r="F101" t="inlineStr">
        <is>
          <t>HALLANDS LÄN</t>
        </is>
      </c>
      <c r="G101" t="inlineStr">
        <is>
          <t>HALMSTAD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46275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17069-2022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44677</v>
      </c>
      <c r="E103" s="1" t="n">
        <v>46275</v>
      </c>
      <c r="F103" t="inlineStr">
        <is>
          <t>HALLANDS LÄN</t>
        </is>
      </c>
      <c r="G103" t="inlineStr">
        <is>
          <t>HALMSTAD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46275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46275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46275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46275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54838-2021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46275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46275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46275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46275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46275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46275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46275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46275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46275</v>
      </c>
      <c r="F116" t="inlineStr">
        <is>
          <t>HALLANDS LÄN</t>
        </is>
      </c>
      <c r="G116" t="inlineStr">
        <is>
          <t>HALMSTAD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46275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46275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46275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31543-2022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46275</v>
      </c>
      <c r="F120" t="inlineStr">
        <is>
          <t>HALLANDS LÄN</t>
        </is>
      </c>
      <c r="G120" t="inlineStr">
        <is>
          <t>HALMSTAD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46275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46275</v>
      </c>
      <c r="F122" t="inlineStr">
        <is>
          <t>HALLANDS LÄN</t>
        </is>
      </c>
      <c r="G122" t="inlineStr">
        <is>
          <t>HALMSTAD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46275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46275</v>
      </c>
      <c r="F124" t="inlineStr">
        <is>
          <t>HALLANDS LÄN</t>
        </is>
      </c>
      <c r="G124" t="inlineStr">
        <is>
          <t>HALMSTAD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45217</v>
      </c>
      <c r="E125" s="1" t="n">
        <v>46275</v>
      </c>
      <c r="F125" t="inlineStr">
        <is>
          <t>HALLANDS LÄN</t>
        </is>
      </c>
      <c r="G125" t="inlineStr">
        <is>
          <t>HALMSTAD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61853-2023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45265</v>
      </c>
      <c r="E126" s="1" t="n">
        <v>46275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45488</v>
      </c>
      <c r="E127" s="1" t="n">
        <v>46275</v>
      </c>
      <c r="F127" t="inlineStr">
        <is>
          <t>HALLANDS LÄN</t>
        </is>
      </c>
      <c r="G127" t="inlineStr">
        <is>
          <t>HALMSTAD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44802</v>
      </c>
      <c r="E128" s="1" t="n">
        <v>46275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46275</v>
      </c>
      <c r="F129" t="inlineStr">
        <is>
          <t>HALLANDS LÄN</t>
        </is>
      </c>
      <c r="G129" t="inlineStr">
        <is>
          <t>HALMSTAD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46275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46275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46275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46275</v>
      </c>
      <c r="F133" t="inlineStr">
        <is>
          <t>HALLANDS LÄN</t>
        </is>
      </c>
      <c r="G133" t="inlineStr">
        <is>
          <t>HALMSTAD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44922</v>
      </c>
      <c r="E134" s="1" t="n">
        <v>46275</v>
      </c>
      <c r="F134" t="inlineStr">
        <is>
          <t>HALLANDS LÄN</t>
        </is>
      </c>
      <c r="G134" t="inlineStr">
        <is>
          <t>HALMSTAD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46275</v>
      </c>
      <c r="F135" t="inlineStr">
        <is>
          <t>HALLANDS LÄN</t>
        </is>
      </c>
      <c r="G135" t="inlineStr">
        <is>
          <t>HALMSTAD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46275</v>
      </c>
      <c r="F136" t="inlineStr">
        <is>
          <t>HALLANDS LÄN</t>
        </is>
      </c>
      <c r="G136" t="inlineStr">
        <is>
          <t>HALMSTAD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46275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53642-2023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45230</v>
      </c>
      <c r="E138" s="1" t="n">
        <v>46275</v>
      </c>
      <c r="F138" t="inlineStr">
        <is>
          <t>HALLANDS LÄN</t>
        </is>
      </c>
      <c r="G138" t="inlineStr">
        <is>
          <t>HALMSTAD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44827</v>
      </c>
      <c r="E139" s="1" t="n">
        <v>46275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46275</v>
      </c>
      <c r="F140" t="inlineStr">
        <is>
          <t>HALLANDS LÄN</t>
        </is>
      </c>
      <c r="G140" t="inlineStr">
        <is>
          <t>HALMSTAD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44721</v>
      </c>
      <c r="E141" s="1" t="n">
        <v>46275</v>
      </c>
      <c r="F141" t="inlineStr">
        <is>
          <t>HALLANDS LÄN</t>
        </is>
      </c>
      <c r="G141" t="inlineStr">
        <is>
          <t>HALMSTAD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46275</v>
      </c>
      <c r="F142" t="inlineStr">
        <is>
          <t>HALLANDS LÄN</t>
        </is>
      </c>
      <c r="G142" t="inlineStr">
        <is>
          <t>HALMSTAD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46275</v>
      </c>
      <c r="F143" t="inlineStr">
        <is>
          <t>HALLANDS LÄN</t>
        </is>
      </c>
      <c r="G143" t="inlineStr">
        <is>
          <t>HALMSTAD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46275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46275</v>
      </c>
      <c r="F145" t="inlineStr">
        <is>
          <t>HALLANDS LÄN</t>
        </is>
      </c>
      <c r="G145" t="inlineStr">
        <is>
          <t>HALMSTAD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46275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46275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46275</v>
      </c>
      <c r="F148" t="inlineStr">
        <is>
          <t>HALLANDS LÄN</t>
        </is>
      </c>
      <c r="G148" t="inlineStr">
        <is>
          <t>HALMSTAD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46275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44885</v>
      </c>
      <c r="E150" s="1" t="n">
        <v>46275</v>
      </c>
      <c r="F150" t="inlineStr">
        <is>
          <t>HALLANDS LÄN</t>
        </is>
      </c>
      <c r="G150" t="inlineStr">
        <is>
          <t>HALMSTAD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45476</v>
      </c>
      <c r="E151" s="1" t="n">
        <v>46275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46275</v>
      </c>
      <c r="F152" t="inlineStr">
        <is>
          <t>HALLANDS LÄN</t>
        </is>
      </c>
      <c r="G152" t="inlineStr">
        <is>
          <t>HALMSTAD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44662</v>
      </c>
      <c r="E153" s="1" t="n">
        <v>46275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46275</v>
      </c>
      <c r="F154" t="inlineStr">
        <is>
          <t>HALLANDS LÄN</t>
        </is>
      </c>
      <c r="G154" t="inlineStr">
        <is>
          <t>HALMSTAD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46275</v>
      </c>
      <c r="F155" t="inlineStr">
        <is>
          <t>HALLANDS LÄN</t>
        </is>
      </c>
      <c r="G155" t="inlineStr">
        <is>
          <t>HALMSTAD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44712</v>
      </c>
      <c r="E156" s="1" t="n">
        <v>46275</v>
      </c>
      <c r="F156" t="inlineStr">
        <is>
          <t>HALLANDS LÄN</t>
        </is>
      </c>
      <c r="G156" t="inlineStr">
        <is>
          <t>HALMSTAD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46275</v>
      </c>
      <c r="F157" t="inlineStr">
        <is>
          <t>HALLANDS LÄN</t>
        </is>
      </c>
      <c r="G157" t="inlineStr">
        <is>
          <t>HALMSTAD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45401</v>
      </c>
      <c r="E158" s="1" t="n">
        <v>46275</v>
      </c>
      <c r="F158" t="inlineStr">
        <is>
          <t>HALLANDS LÄN</t>
        </is>
      </c>
      <c r="G158" t="inlineStr">
        <is>
          <t>HALMSTAD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46275</v>
      </c>
      <c r="F159" t="inlineStr">
        <is>
          <t>HALLANDS LÄN</t>
        </is>
      </c>
      <c r="G159" t="inlineStr">
        <is>
          <t>HALMSTAD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70720-2021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46275</v>
      </c>
      <c r="F160" t="inlineStr">
        <is>
          <t>HALLANDS LÄN</t>
        </is>
      </c>
      <c r="G160" t="inlineStr">
        <is>
          <t>HALMSTAD</t>
        </is>
      </c>
      <c r="H160" t="inlineStr">
        <is>
          <t>Kyrkan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46275</v>
      </c>
      <c r="F161" t="inlineStr">
        <is>
          <t>HALLANDS LÄN</t>
        </is>
      </c>
      <c r="G161" t="inlineStr">
        <is>
          <t>HALMSTAD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46275</v>
      </c>
      <c r="F162" t="inlineStr">
        <is>
          <t>HALLANDS LÄN</t>
        </is>
      </c>
      <c r="G162" t="inlineStr">
        <is>
          <t>HALMSTAD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46275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46275</v>
      </c>
      <c r="F164" t="inlineStr">
        <is>
          <t>HALLANDS LÄN</t>
        </is>
      </c>
      <c r="G164" t="inlineStr">
        <is>
          <t>HALMSTAD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46275</v>
      </c>
      <c r="F165" t="inlineStr">
        <is>
          <t>HALLANDS LÄN</t>
        </is>
      </c>
      <c r="G165" t="inlineStr">
        <is>
          <t>HALMSTAD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44885</v>
      </c>
      <c r="E166" s="1" t="n">
        <v>46275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46275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46275</v>
      </c>
      <c r="F168" t="inlineStr">
        <is>
          <t>HALLANDS LÄN</t>
        </is>
      </c>
      <c r="G168" t="inlineStr">
        <is>
          <t>HALMSTAD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46275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46275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46275</v>
      </c>
      <c r="F171" t="inlineStr">
        <is>
          <t>HALLANDS LÄN</t>
        </is>
      </c>
      <c r="G171" t="inlineStr">
        <is>
          <t>HALMSTAD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46275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45194</v>
      </c>
      <c r="E173" s="1" t="n">
        <v>46275</v>
      </c>
      <c r="F173" t="inlineStr">
        <is>
          <t>HALLANDS LÄN</t>
        </is>
      </c>
      <c r="G173" t="inlineStr">
        <is>
          <t>HALMSTAD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46275</v>
      </c>
      <c r="F174" t="inlineStr">
        <is>
          <t>HALLANDS LÄN</t>
        </is>
      </c>
      <c r="G174" t="inlineStr">
        <is>
          <t>HALMSTAD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46275</v>
      </c>
      <c r="F175" t="inlineStr">
        <is>
          <t>HALLANDS LÄN</t>
        </is>
      </c>
      <c r="G175" t="inlineStr">
        <is>
          <t>HALMSTAD</t>
        </is>
      </c>
      <c r="I175" t="n">
        <v>11.8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46275</v>
      </c>
      <c r="F176" t="inlineStr">
        <is>
          <t>HALLANDS LÄN</t>
        </is>
      </c>
      <c r="G176" t="inlineStr">
        <is>
          <t>HALMSTAD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46275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46275</v>
      </c>
      <c r="F178" t="inlineStr">
        <is>
          <t>HALLANDS LÄN</t>
        </is>
      </c>
      <c r="G178" t="inlineStr">
        <is>
          <t>HALMSTAD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46275</v>
      </c>
      <c r="F179" t="inlineStr">
        <is>
          <t>HALLANDS LÄN</t>
        </is>
      </c>
      <c r="G179" t="inlineStr">
        <is>
          <t>HALMSTAD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46275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46275</v>
      </c>
      <c r="F181" t="inlineStr">
        <is>
          <t>HALLANDS LÄN</t>
        </is>
      </c>
      <c r="G181" t="inlineStr">
        <is>
          <t>HALMSTAD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44610</v>
      </c>
      <c r="E182" s="1" t="n">
        <v>46275</v>
      </c>
      <c r="F182" t="inlineStr">
        <is>
          <t>HALLANDS LÄN</t>
        </is>
      </c>
      <c r="G182" t="inlineStr">
        <is>
          <t>HALMSTAD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46275</v>
      </c>
      <c r="F183" t="inlineStr">
        <is>
          <t>HALLANDS LÄN</t>
        </is>
      </c>
      <c r="G183" t="inlineStr">
        <is>
          <t>HALMSTAD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46275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46275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46275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46275</v>
      </c>
      <c r="F187" t="inlineStr">
        <is>
          <t>HALLANDS LÄN</t>
        </is>
      </c>
      <c r="G187" t="inlineStr">
        <is>
          <t>HALMSTAD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22070-2022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44711</v>
      </c>
      <c r="E188" s="1" t="n">
        <v>46275</v>
      </c>
      <c r="F188" t="inlineStr">
        <is>
          <t>HALLANDS LÄN</t>
        </is>
      </c>
      <c r="G188" t="inlineStr">
        <is>
          <t>HALMSTAD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46275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46275</v>
      </c>
      <c r="F190" t="inlineStr">
        <is>
          <t>HALLANDS LÄN</t>
        </is>
      </c>
      <c r="G190" t="inlineStr">
        <is>
          <t>HALMSTAD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46275</v>
      </c>
      <c r="F191" t="inlineStr">
        <is>
          <t>HALLANDS LÄN</t>
        </is>
      </c>
      <c r="G191" t="inlineStr">
        <is>
          <t>HALMSTAD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46275</v>
      </c>
      <c r="F192" t="inlineStr">
        <is>
          <t>HALLANDS LÄN</t>
        </is>
      </c>
      <c r="G192" t="inlineStr">
        <is>
          <t>HALMSTAD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46275</v>
      </c>
      <c r="F193" t="inlineStr">
        <is>
          <t>HALLANDS LÄN</t>
        </is>
      </c>
      <c r="G193" t="inlineStr">
        <is>
          <t>HALMSTAD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46275</v>
      </c>
      <c r="F194" t="inlineStr">
        <is>
          <t>HALLANDS LÄN</t>
        </is>
      </c>
      <c r="G194" t="inlineStr">
        <is>
          <t>HALMSTAD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46275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46275</v>
      </c>
      <c r="F196" t="inlineStr">
        <is>
          <t>HALLANDS LÄN</t>
        </is>
      </c>
      <c r="G196" t="inlineStr">
        <is>
          <t>HALMSTAD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66311-2021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46275</v>
      </c>
      <c r="F197" t="inlineStr">
        <is>
          <t>HALLANDS LÄN</t>
        </is>
      </c>
      <c r="G197" t="inlineStr">
        <is>
          <t>HALMSTAD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46275</v>
      </c>
      <c r="F198" t="inlineStr">
        <is>
          <t>HALLANDS LÄN</t>
        </is>
      </c>
      <c r="G198" t="inlineStr">
        <is>
          <t>HALMSTAD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46275</v>
      </c>
      <c r="F199" t="inlineStr">
        <is>
          <t>HALLANDS LÄN</t>
        </is>
      </c>
      <c r="G199" t="inlineStr">
        <is>
          <t>HALMSTAD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44687</v>
      </c>
      <c r="E200" s="1" t="n">
        <v>46275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46275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46275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45733</v>
      </c>
      <c r="E203" s="1" t="n">
        <v>46275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51192-2021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46275</v>
      </c>
      <c r="F204" t="inlineStr">
        <is>
          <t>HALLANDS LÄN</t>
        </is>
      </c>
      <c r="G204" t="inlineStr">
        <is>
          <t>HALMSTAD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46275</v>
      </c>
      <c r="F205" t="inlineStr">
        <is>
          <t>HALLANDS LÄN</t>
        </is>
      </c>
      <c r="G205" t="inlineStr">
        <is>
          <t>HALMSTAD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46275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46275</v>
      </c>
      <c r="F207" t="inlineStr">
        <is>
          <t>HALLANDS LÄN</t>
        </is>
      </c>
      <c r="G207" t="inlineStr">
        <is>
          <t>HALMSTAD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45079</v>
      </c>
      <c r="E208" s="1" t="n">
        <v>46275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46275</v>
      </c>
      <c r="F209" t="inlineStr">
        <is>
          <t>HALLANDS LÄN</t>
        </is>
      </c>
      <c r="G209" t="inlineStr">
        <is>
          <t>HALMSTAD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45363</v>
      </c>
      <c r="E210" s="1" t="n">
        <v>46275</v>
      </c>
      <c r="F210" t="inlineStr">
        <is>
          <t>HALLANDS LÄN</t>
        </is>
      </c>
      <c r="G210" t="inlineStr">
        <is>
          <t>HALMSTAD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46275</v>
      </c>
      <c r="F211" t="inlineStr">
        <is>
          <t>HALLANDS LÄN</t>
        </is>
      </c>
      <c r="G211" t="inlineStr">
        <is>
          <t>HALMSTAD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46275</v>
      </c>
      <c r="F212" t="inlineStr">
        <is>
          <t>HALLANDS LÄN</t>
        </is>
      </c>
      <c r="G212" t="inlineStr">
        <is>
          <t>HALMSTAD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46275</v>
      </c>
      <c r="F213" t="inlineStr">
        <is>
          <t>HALLANDS LÄN</t>
        </is>
      </c>
      <c r="G213" t="inlineStr">
        <is>
          <t>HALMSTAD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45627</v>
      </c>
      <c r="E214" s="1" t="n">
        <v>46275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46275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46275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46275</v>
      </c>
      <c r="F217" t="inlineStr">
        <is>
          <t>HALLANDS LÄN</t>
        </is>
      </c>
      <c r="G217" t="inlineStr">
        <is>
          <t>HALMSTAD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45712</v>
      </c>
      <c r="E218" s="1" t="n">
        <v>46275</v>
      </c>
      <c r="F218" t="inlineStr">
        <is>
          <t>HALLANDS LÄN</t>
        </is>
      </c>
      <c r="G218" t="inlineStr">
        <is>
          <t>HALMSTAD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46275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46275</v>
      </c>
      <c r="F220" t="inlineStr">
        <is>
          <t>HALLANDS LÄN</t>
        </is>
      </c>
      <c r="G220" t="inlineStr">
        <is>
          <t>HALMSTAD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46275</v>
      </c>
      <c r="F221" t="inlineStr">
        <is>
          <t>HALLANDS LÄN</t>
        </is>
      </c>
      <c r="G221" t="inlineStr">
        <is>
          <t>HALMSTAD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66730-2021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44520</v>
      </c>
      <c r="E222" s="1" t="n">
        <v>46275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46275</v>
      </c>
      <c r="F223" t="inlineStr">
        <is>
          <t>HALLANDS LÄN</t>
        </is>
      </c>
      <c r="G223" t="inlineStr">
        <is>
          <t>HALMSTAD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74038-2021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44557</v>
      </c>
      <c r="E224" s="1" t="n">
        <v>46275</v>
      </c>
      <c r="F224" t="inlineStr">
        <is>
          <t>HALLANDS LÄN</t>
        </is>
      </c>
      <c r="G224" t="inlineStr">
        <is>
          <t>HALMSTAD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46275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46275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46275</v>
      </c>
      <c r="F227" t="inlineStr">
        <is>
          <t>HALLANDS LÄN</t>
        </is>
      </c>
      <c r="G227" t="inlineStr">
        <is>
          <t>HALMSTAD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46275</v>
      </c>
      <c r="F228" t="inlineStr">
        <is>
          <t>HALLANDS LÄN</t>
        </is>
      </c>
      <c r="G228" t="inlineStr">
        <is>
          <t>HALMSTAD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13594-2023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45006</v>
      </c>
      <c r="E229" s="1" t="n">
        <v>46275</v>
      </c>
      <c r="F229" t="inlineStr">
        <is>
          <t>HALLANDS LÄN</t>
        </is>
      </c>
      <c r="G229" t="inlineStr">
        <is>
          <t>HALMSTAD</t>
        </is>
      </c>
      <c r="H229" t="inlineStr">
        <is>
          <t>Bergvik skog väst AB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46275</v>
      </c>
      <c r="F230" t="inlineStr">
        <is>
          <t>HALLANDS LÄN</t>
        </is>
      </c>
      <c r="G230" t="inlineStr">
        <is>
          <t>HALMSTAD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46275</v>
      </c>
      <c r="F231" t="inlineStr">
        <is>
          <t>HALLANDS LÄN</t>
        </is>
      </c>
      <c r="G231" t="inlineStr">
        <is>
          <t>HALMSTAD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44742</v>
      </c>
      <c r="E232" s="1" t="n">
        <v>46275</v>
      </c>
      <c r="F232" t="inlineStr">
        <is>
          <t>HALLANDS LÄN</t>
        </is>
      </c>
      <c r="G232" t="inlineStr">
        <is>
          <t>HALMSTAD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46275</v>
      </c>
      <c r="F233" t="inlineStr">
        <is>
          <t>HALLANDS LÄN</t>
        </is>
      </c>
      <c r="G233" t="inlineStr">
        <is>
          <t>HALMSTAD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46275</v>
      </c>
      <c r="F234" t="inlineStr">
        <is>
          <t>HALLANDS LÄN</t>
        </is>
      </c>
      <c r="G234" t="inlineStr">
        <is>
          <t>HALMSTAD</t>
        </is>
      </c>
      <c r="H234" t="inlineStr">
        <is>
          <t>Kommuner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45183</v>
      </c>
      <c r="E235" s="1" t="n">
        <v>46275</v>
      </c>
      <c r="F235" t="inlineStr">
        <is>
          <t>HALLANDS LÄN</t>
        </is>
      </c>
      <c r="G235" t="inlineStr">
        <is>
          <t>HALMSTAD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46275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46275</v>
      </c>
      <c r="F237" t="inlineStr">
        <is>
          <t>HALLANDS LÄN</t>
        </is>
      </c>
      <c r="G237" t="inlineStr">
        <is>
          <t>HALMSTAD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45415</v>
      </c>
      <c r="E238" s="1" t="n">
        <v>46275</v>
      </c>
      <c r="F238" t="inlineStr">
        <is>
          <t>HALLANDS LÄN</t>
        </is>
      </c>
      <c r="G238" t="inlineStr">
        <is>
          <t>HALMSTAD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46275</v>
      </c>
      <c r="F239" t="inlineStr">
        <is>
          <t>HALLANDS LÄN</t>
        </is>
      </c>
      <c r="G239" t="inlineStr">
        <is>
          <t>HALMSTAD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46275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45712</v>
      </c>
      <c r="E241" s="1" t="n">
        <v>46275</v>
      </c>
      <c r="F241" t="inlineStr">
        <is>
          <t>HALLANDS LÄN</t>
        </is>
      </c>
      <c r="G241" t="inlineStr">
        <is>
          <t>HALMSTAD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46275</v>
      </c>
      <c r="F242" t="inlineStr">
        <is>
          <t>HALLANDS LÄN</t>
        </is>
      </c>
      <c r="G242" t="inlineStr">
        <is>
          <t>HALMSTAD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46275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60831-2023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46275</v>
      </c>
      <c r="F244" t="inlineStr">
        <is>
          <t>HALLANDS LÄN</t>
        </is>
      </c>
      <c r="G244" t="inlineStr">
        <is>
          <t>HALMSTAD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45302</v>
      </c>
      <c r="E245" s="1" t="n">
        <v>46275</v>
      </c>
      <c r="F245" t="inlineStr">
        <is>
          <t>HALLANDS LÄN</t>
        </is>
      </c>
      <c r="G245" t="inlineStr">
        <is>
          <t>HALMSTAD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46275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46275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46275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46275</v>
      </c>
      <c r="F249" t="inlineStr">
        <is>
          <t>HALLANDS LÄN</t>
        </is>
      </c>
      <c r="G249" t="inlineStr">
        <is>
          <t>HALMSTAD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46275</v>
      </c>
      <c r="F250" t="inlineStr">
        <is>
          <t>HALLANDS LÄN</t>
        </is>
      </c>
      <c r="G250" t="inlineStr">
        <is>
          <t>HALMSTAD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46275</v>
      </c>
      <c r="F251" t="inlineStr">
        <is>
          <t>HALLANDS LÄN</t>
        </is>
      </c>
      <c r="G251" t="inlineStr">
        <is>
          <t>HALMSTAD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45555</v>
      </c>
      <c r="E252" s="1" t="n">
        <v>46275</v>
      </c>
      <c r="F252" t="inlineStr">
        <is>
          <t>HALLANDS LÄN</t>
        </is>
      </c>
      <c r="G252" t="inlineStr">
        <is>
          <t>HALMSTAD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45555</v>
      </c>
      <c r="E253" s="1" t="n">
        <v>46275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45588</v>
      </c>
      <c r="E254" s="1" t="n">
        <v>46275</v>
      </c>
      <c r="F254" t="inlineStr">
        <is>
          <t>HALLANDS LÄN</t>
        </is>
      </c>
      <c r="G254" t="inlineStr">
        <is>
          <t>HALMSTAD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51302-2021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44461</v>
      </c>
      <c r="E255" s="1" t="n">
        <v>46275</v>
      </c>
      <c r="F255" t="inlineStr">
        <is>
          <t>HALLANDS LÄN</t>
        </is>
      </c>
      <c r="G255" t="inlineStr">
        <is>
          <t>HALMSTAD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46275</v>
      </c>
      <c r="F256" t="inlineStr">
        <is>
          <t>HALLANDS LÄN</t>
        </is>
      </c>
      <c r="G256" t="inlineStr">
        <is>
          <t>HALMSTAD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46275</v>
      </c>
      <c r="F257" t="inlineStr">
        <is>
          <t>HALLANDS LÄN</t>
        </is>
      </c>
      <c r="G257" t="inlineStr">
        <is>
          <t>HALMSTAD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46275</v>
      </c>
      <c r="F258" t="inlineStr">
        <is>
          <t>HALLANDS LÄN</t>
        </is>
      </c>
      <c r="G258" t="inlineStr">
        <is>
          <t>HALMSTAD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46275</v>
      </c>
      <c r="F259" t="inlineStr">
        <is>
          <t>HALLANDS LÄN</t>
        </is>
      </c>
      <c r="G259" t="inlineStr">
        <is>
          <t>HALMSTAD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46275</v>
      </c>
      <c r="F260" t="inlineStr">
        <is>
          <t>HALLANDS LÄN</t>
        </is>
      </c>
      <c r="G260" t="inlineStr">
        <is>
          <t>HALMSTAD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46275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46275</v>
      </c>
      <c r="F262" t="inlineStr">
        <is>
          <t>HALLANDS LÄN</t>
        </is>
      </c>
      <c r="G262" t="inlineStr">
        <is>
          <t>HALMSTAD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44594</v>
      </c>
      <c r="E263" s="1" t="n">
        <v>46275</v>
      </c>
      <c r="F263" t="inlineStr">
        <is>
          <t>HALLANDS LÄN</t>
        </is>
      </c>
      <c r="G263" t="inlineStr">
        <is>
          <t>HALMSTAD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46275</v>
      </c>
      <c r="F264" t="inlineStr">
        <is>
          <t>HALLANDS LÄN</t>
        </is>
      </c>
      <c r="G264" t="inlineStr">
        <is>
          <t>HALMSTAD</t>
        </is>
      </c>
      <c r="H264" t="inlineStr">
        <is>
          <t>Kyrkan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46275</v>
      </c>
      <c r="F265" t="inlineStr">
        <is>
          <t>HALLANDS LÄN</t>
        </is>
      </c>
      <c r="G265" t="inlineStr">
        <is>
          <t>HALMSTAD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46275</v>
      </c>
      <c r="F266" t="inlineStr">
        <is>
          <t>HALLANDS LÄN</t>
        </is>
      </c>
      <c r="G266" t="inlineStr">
        <is>
          <t>HALMSTAD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45169</v>
      </c>
      <c r="E267" s="1" t="n">
        <v>46275</v>
      </c>
      <c r="F267" t="inlineStr">
        <is>
          <t>HALLANDS LÄN</t>
        </is>
      </c>
      <c r="G267" t="inlineStr">
        <is>
          <t>HALMSTAD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46275</v>
      </c>
      <c r="F268" t="inlineStr">
        <is>
          <t>HALLANDS LÄN</t>
        </is>
      </c>
      <c r="G268" t="inlineStr">
        <is>
          <t>HALMSTAD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46275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46275</v>
      </c>
      <c r="F270" t="inlineStr">
        <is>
          <t>HALLANDS LÄN</t>
        </is>
      </c>
      <c r="G270" t="inlineStr">
        <is>
          <t>HALMSTAD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46275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44753</v>
      </c>
      <c r="E272" s="1" t="n">
        <v>46275</v>
      </c>
      <c r="F272" t="inlineStr">
        <is>
          <t>HALLANDS LÄN</t>
        </is>
      </c>
      <c r="G272" t="inlineStr">
        <is>
          <t>HALMSTAD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46275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45747</v>
      </c>
      <c r="E274" s="1" t="n">
        <v>46275</v>
      </c>
      <c r="F274" t="inlineStr">
        <is>
          <t>HALLANDS LÄN</t>
        </is>
      </c>
      <c r="G274" t="inlineStr">
        <is>
          <t>HALMSTAD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46275</v>
      </c>
      <c r="F275" t="inlineStr">
        <is>
          <t>HALLANDS LÄN</t>
        </is>
      </c>
      <c r="G275" t="inlineStr">
        <is>
          <t>HALMSTAD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45627</v>
      </c>
      <c r="E276" s="1" t="n">
        <v>46275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46275</v>
      </c>
      <c r="F277" t="inlineStr">
        <is>
          <t>HALLANDS LÄN</t>
        </is>
      </c>
      <c r="G277" t="inlineStr">
        <is>
          <t>HALMSTAD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44677</v>
      </c>
      <c r="E278" s="1" t="n">
        <v>46275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46275</v>
      </c>
      <c r="F279" t="inlineStr">
        <is>
          <t>HALLANDS LÄN</t>
        </is>
      </c>
      <c r="G279" t="inlineStr">
        <is>
          <t>HALMSTAD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46275</v>
      </c>
      <c r="F280" t="inlineStr">
        <is>
          <t>HALLANDS LÄN</t>
        </is>
      </c>
      <c r="G280" t="inlineStr">
        <is>
          <t>HALMSTAD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46275</v>
      </c>
      <c r="F281" t="inlineStr">
        <is>
          <t>HALLANDS LÄN</t>
        </is>
      </c>
      <c r="G281" t="inlineStr">
        <is>
          <t>HALMSTAD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45330</v>
      </c>
      <c r="E282" s="1" t="n">
        <v>46275</v>
      </c>
      <c r="F282" t="inlineStr">
        <is>
          <t>HALLANDS LÄN</t>
        </is>
      </c>
      <c r="G282" t="inlineStr">
        <is>
          <t>HALMSTAD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46275</v>
      </c>
      <c r="F283" t="inlineStr">
        <is>
          <t>HALLANDS LÄN</t>
        </is>
      </c>
      <c r="G283" t="inlineStr">
        <is>
          <t>HALMSTAD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45359</v>
      </c>
      <c r="E284" s="1" t="n">
        <v>46275</v>
      </c>
      <c r="F284" t="inlineStr">
        <is>
          <t>HALLANDS LÄN</t>
        </is>
      </c>
      <c r="G284" t="inlineStr">
        <is>
          <t>HALMSTAD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46275</v>
      </c>
      <c r="F285" t="inlineStr">
        <is>
          <t>HALLANDS LÄN</t>
        </is>
      </c>
      <c r="G285" t="inlineStr">
        <is>
          <t>HALMSTAD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46275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46275</v>
      </c>
      <c r="F287" t="inlineStr">
        <is>
          <t>HALLANDS LÄN</t>
        </is>
      </c>
      <c r="G287" t="inlineStr">
        <is>
          <t>HALMSTAD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46275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46275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46275</v>
      </c>
      <c r="F290" t="inlineStr">
        <is>
          <t>HALLANDS LÄN</t>
        </is>
      </c>
      <c r="G290" t="inlineStr">
        <is>
          <t>HALMSTAD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46275</v>
      </c>
      <c r="F291" t="inlineStr">
        <is>
          <t>HALLANDS LÄN</t>
        </is>
      </c>
      <c r="G291" t="inlineStr">
        <is>
          <t>HALMSTAD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46275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46275</v>
      </c>
      <c r="F293" t="inlineStr">
        <is>
          <t>HALLANDS LÄN</t>
        </is>
      </c>
      <c r="G293" t="inlineStr">
        <is>
          <t>HALMSTAD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44910</v>
      </c>
      <c r="E294" s="1" t="n">
        <v>46275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46275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46275</v>
      </c>
      <c r="F296" t="inlineStr">
        <is>
          <t>HALLANDS LÄN</t>
        </is>
      </c>
      <c r="G296" t="inlineStr">
        <is>
          <t>HALMSTAD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46275</v>
      </c>
      <c r="F297" t="inlineStr">
        <is>
          <t>HALLANDS LÄN</t>
        </is>
      </c>
      <c r="G297" t="inlineStr">
        <is>
          <t>HALMSTAD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44712</v>
      </c>
      <c r="E298" s="1" t="n">
        <v>46275</v>
      </c>
      <c r="F298" t="inlineStr">
        <is>
          <t>HALLANDS LÄN</t>
        </is>
      </c>
      <c r="G298" t="inlineStr">
        <is>
          <t>HALMSTAD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46275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46275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46275</v>
      </c>
      <c r="F301" t="inlineStr">
        <is>
          <t>HALLANDS LÄN</t>
        </is>
      </c>
      <c r="G301" t="inlineStr">
        <is>
          <t>HALMSTAD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46275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46275</v>
      </c>
      <c r="F303" t="inlineStr">
        <is>
          <t>HALLANDS LÄN</t>
        </is>
      </c>
      <c r="G303" t="inlineStr">
        <is>
          <t>HALMSTAD</t>
        </is>
      </c>
      <c r="H303" t="inlineStr">
        <is>
          <t>Bergvik skog väst AB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46275</v>
      </c>
      <c r="F304" t="inlineStr">
        <is>
          <t>HALLANDS LÄN</t>
        </is>
      </c>
      <c r="G304" t="inlineStr">
        <is>
          <t>HALMSTAD</t>
        </is>
      </c>
      <c r="I304" t="n">
        <v>9.1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46275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45800</v>
      </c>
      <c r="E306" s="1" t="n">
        <v>46275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46275</v>
      </c>
      <c r="F307" t="inlineStr">
        <is>
          <t>HALLANDS LÄN</t>
        </is>
      </c>
      <c r="G307" t="inlineStr">
        <is>
          <t>HALMSTAD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25106-2025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45800</v>
      </c>
      <c r="E308" s="1" t="n">
        <v>46275</v>
      </c>
      <c r="F308" t="inlineStr">
        <is>
          <t>HALLANDS LÄN</t>
        </is>
      </c>
      <c r="G308" t="inlineStr">
        <is>
          <t>HALMSTAD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46275</v>
      </c>
      <c r="F309" t="inlineStr">
        <is>
          <t>HALLANDS LÄN</t>
        </is>
      </c>
      <c r="G309" t="inlineStr">
        <is>
          <t>HALMSTAD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46275</v>
      </c>
      <c r="F310" t="inlineStr">
        <is>
          <t>HALLANDS LÄN</t>
        </is>
      </c>
      <c r="G310" t="inlineStr">
        <is>
          <t>HALMSTAD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46275</v>
      </c>
      <c r="F311" t="inlineStr">
        <is>
          <t>HALLANDS LÄN</t>
        </is>
      </c>
      <c r="G311" t="inlineStr">
        <is>
          <t>HALMSTAD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46275</v>
      </c>
      <c r="F312" t="inlineStr">
        <is>
          <t>HALLANDS LÄN</t>
        </is>
      </c>
      <c r="G312" t="inlineStr">
        <is>
          <t>HALMSTAD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46275</v>
      </c>
      <c r="F313" t="inlineStr">
        <is>
          <t>HALLANDS LÄN</t>
        </is>
      </c>
      <c r="G313" t="inlineStr">
        <is>
          <t>HALMSTAD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46275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46275</v>
      </c>
      <c r="F315" t="inlineStr">
        <is>
          <t>HALLANDS LÄN</t>
        </is>
      </c>
      <c r="G315" t="inlineStr">
        <is>
          <t>HALMSTAD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46275</v>
      </c>
      <c r="F316" t="inlineStr">
        <is>
          <t>HALLANDS LÄN</t>
        </is>
      </c>
      <c r="G316" t="inlineStr">
        <is>
          <t>HALMSTAD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46275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46275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46275</v>
      </c>
      <c r="F319" t="inlineStr">
        <is>
          <t>HALLANDS LÄN</t>
        </is>
      </c>
      <c r="G319" t="inlineStr">
        <is>
          <t>HALMSTAD</t>
        </is>
      </c>
      <c r="H319" t="inlineStr">
        <is>
          <t>Övriga statliga verk och myndigheter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45793</v>
      </c>
      <c r="E320" s="1" t="n">
        <v>46275</v>
      </c>
      <c r="F320" t="inlineStr">
        <is>
          <t>HALLANDS LÄN</t>
        </is>
      </c>
      <c r="G320" t="inlineStr">
        <is>
          <t>HALMSTAD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45708</v>
      </c>
      <c r="E321" s="1" t="n">
        <v>46275</v>
      </c>
      <c r="F321" t="inlineStr">
        <is>
          <t>HALLANDS LÄN</t>
        </is>
      </c>
      <c r="G321" t="inlineStr">
        <is>
          <t>HALMSTAD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45681</v>
      </c>
      <c r="E322" s="1" t="n">
        <v>46275</v>
      </c>
      <c r="F322" t="inlineStr">
        <is>
          <t>HALLANDS LÄN</t>
        </is>
      </c>
      <c r="G322" t="inlineStr">
        <is>
          <t>HALMSTAD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45257</v>
      </c>
      <c r="E323" s="1" t="n">
        <v>46275</v>
      </c>
      <c r="F323" t="inlineStr">
        <is>
          <t>HALLANDS LÄN</t>
        </is>
      </c>
      <c r="G323" t="inlineStr">
        <is>
          <t>HALMSTAD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45923</v>
      </c>
      <c r="E324" s="1" t="n">
        <v>46275</v>
      </c>
      <c r="F324" t="inlineStr">
        <is>
          <t>HALLANDS LÄN</t>
        </is>
      </c>
      <c r="G324" t="inlineStr">
        <is>
          <t>HALMSTAD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45854</v>
      </c>
      <c r="E325" s="1" t="n">
        <v>46275</v>
      </c>
      <c r="F325" t="inlineStr">
        <is>
          <t>HALLANDS LÄN</t>
        </is>
      </c>
      <c r="G325" t="inlineStr">
        <is>
          <t>HALMSTAD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46275</v>
      </c>
      <c r="F326" t="inlineStr">
        <is>
          <t>HALLANDS LÄN</t>
        </is>
      </c>
      <c r="G326" t="inlineStr">
        <is>
          <t>HALMSTAD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46275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46275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45741</v>
      </c>
      <c r="E329" s="1" t="n">
        <v>46275</v>
      </c>
      <c r="F329" t="inlineStr">
        <is>
          <t>HALLANDS LÄN</t>
        </is>
      </c>
      <c r="G329" t="inlineStr">
        <is>
          <t>HALMSTAD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45493</v>
      </c>
      <c r="E330" s="1" t="n">
        <v>46275</v>
      </c>
      <c r="F330" t="inlineStr">
        <is>
          <t>HALLANDS LÄN</t>
        </is>
      </c>
      <c r="G330" t="inlineStr">
        <is>
          <t>HALMSTAD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46275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46275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46275</v>
      </c>
      <c r="F333" t="inlineStr">
        <is>
          <t>HALLANDS LÄN</t>
        </is>
      </c>
      <c r="G333" t="inlineStr">
        <is>
          <t>HALMSTAD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46275</v>
      </c>
      <c r="F334" t="inlineStr">
        <is>
          <t>HALLANDS LÄN</t>
        </is>
      </c>
      <c r="G334" t="inlineStr">
        <is>
          <t>HALMSTAD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45931</v>
      </c>
      <c r="E335" s="1" t="n">
        <v>46275</v>
      </c>
      <c r="F335" t="inlineStr">
        <is>
          <t>HALLANDS LÄN</t>
        </is>
      </c>
      <c r="G335" t="inlineStr">
        <is>
          <t>HALMSTAD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46275</v>
      </c>
      <c r="F336" t="inlineStr">
        <is>
          <t>HALLANDS LÄN</t>
        </is>
      </c>
      <c r="G336" t="inlineStr">
        <is>
          <t>HALMSTAD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46275</v>
      </c>
      <c r="F337" t="inlineStr">
        <is>
          <t>HALLANDS LÄN</t>
        </is>
      </c>
      <c r="G337" t="inlineStr">
        <is>
          <t>HALMSTAD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46275</v>
      </c>
      <c r="F338" t="inlineStr">
        <is>
          <t>HALLANDS LÄN</t>
        </is>
      </c>
      <c r="G338" t="inlineStr">
        <is>
          <t>HALMSTAD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44817</v>
      </c>
      <c r="E339" s="1" t="n">
        <v>46275</v>
      </c>
      <c r="F339" t="inlineStr">
        <is>
          <t>HALLANDS LÄN</t>
        </is>
      </c>
      <c r="G339" t="inlineStr">
        <is>
          <t>HALMSTAD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46275</v>
      </c>
      <c r="F340" t="inlineStr">
        <is>
          <t>HALLANDS LÄN</t>
        </is>
      </c>
      <c r="G340" t="inlineStr">
        <is>
          <t>HALMSTAD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46275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45692</v>
      </c>
      <c r="E342" s="1" t="n">
        <v>46275</v>
      </c>
      <c r="F342" t="inlineStr">
        <is>
          <t>HALLANDS LÄN</t>
        </is>
      </c>
      <c r="G342" t="inlineStr">
        <is>
          <t>HALMSTAD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46275</v>
      </c>
      <c r="F343" t="inlineStr">
        <is>
          <t>HALLANDS LÄN</t>
        </is>
      </c>
      <c r="G343" t="inlineStr">
        <is>
          <t>HALMSTAD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53550-2022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46275</v>
      </c>
      <c r="F344" t="inlineStr">
        <is>
          <t>HALLANDS LÄN</t>
        </is>
      </c>
      <c r="G344" t="inlineStr">
        <is>
          <t>HALMSTAD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46275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21869-2023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45068</v>
      </c>
      <c r="E346" s="1" t="n">
        <v>46275</v>
      </c>
      <c r="F346" t="inlineStr">
        <is>
          <t>HALLANDS LÄN</t>
        </is>
      </c>
      <c r="G346" t="inlineStr">
        <is>
          <t>HALMSTAD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46275</v>
      </c>
      <c r="F347" t="inlineStr">
        <is>
          <t>HALLANDS LÄN</t>
        </is>
      </c>
      <c r="G347" t="inlineStr">
        <is>
          <t>HALMSTAD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20414-2022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44699</v>
      </c>
      <c r="E348" s="1" t="n">
        <v>46275</v>
      </c>
      <c r="F348" t="inlineStr">
        <is>
          <t>HALLANDS LÄN</t>
        </is>
      </c>
      <c r="G348" t="inlineStr">
        <is>
          <t>HALMSTAD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44580</v>
      </c>
      <c r="E349" s="1" t="n">
        <v>46275</v>
      </c>
      <c r="F349" t="inlineStr">
        <is>
          <t>HALLANDS LÄN</t>
        </is>
      </c>
      <c r="G349" t="inlineStr">
        <is>
          <t>HALMSTAD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45642</v>
      </c>
      <c r="E350" s="1" t="n">
        <v>46275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45299</v>
      </c>
      <c r="E351" s="1" t="n">
        <v>46275</v>
      </c>
      <c r="F351" t="inlineStr">
        <is>
          <t>HALLANDS LÄN</t>
        </is>
      </c>
      <c r="G351" t="inlineStr">
        <is>
          <t>HALMSTAD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2438-2024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45311</v>
      </c>
      <c r="E352" s="1" t="n">
        <v>46275</v>
      </c>
      <c r="F352" t="inlineStr">
        <is>
          <t>HALLANDS LÄN</t>
        </is>
      </c>
      <c r="G352" t="inlineStr">
        <is>
          <t>HALMSTAD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44621</v>
      </c>
      <c r="E353" s="1" t="n">
        <v>46275</v>
      </c>
      <c r="F353" t="inlineStr">
        <is>
          <t>HALLANDS LÄN</t>
        </is>
      </c>
      <c r="G353" t="inlineStr">
        <is>
          <t>HALMSTAD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12717-2023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45000</v>
      </c>
      <c r="E354" s="1" t="n">
        <v>46275</v>
      </c>
      <c r="F354" t="inlineStr">
        <is>
          <t>HALLANDS LÄN</t>
        </is>
      </c>
      <c r="G354" t="inlineStr">
        <is>
          <t>HALMSTAD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13532-2023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45006</v>
      </c>
      <c r="E355" s="1" t="n">
        <v>46275</v>
      </c>
      <c r="F355" t="inlineStr">
        <is>
          <t>HALLANDS LÄN</t>
        </is>
      </c>
      <c r="G355" t="inlineStr">
        <is>
          <t>HALMSTAD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46275</v>
      </c>
      <c r="F356" t="inlineStr">
        <is>
          <t>HALLANDS LÄN</t>
        </is>
      </c>
      <c r="G356" t="inlineStr">
        <is>
          <t>HALMSTAD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46275</v>
      </c>
      <c r="F357" t="inlineStr">
        <is>
          <t>HALLANDS LÄN</t>
        </is>
      </c>
      <c r="G357" t="inlineStr">
        <is>
          <t>HALMSTAD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46275</v>
      </c>
      <c r="F358" t="inlineStr">
        <is>
          <t>HALLANDS LÄN</t>
        </is>
      </c>
      <c r="G358" t="inlineStr">
        <is>
          <t>HALMSTAD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45357</v>
      </c>
      <c r="E359" s="1" t="n">
        <v>46275</v>
      </c>
      <c r="F359" t="inlineStr">
        <is>
          <t>HALLANDS LÄN</t>
        </is>
      </c>
      <c r="G359" t="inlineStr">
        <is>
          <t>HALMSTAD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46295-2024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46275</v>
      </c>
      <c r="F360" t="inlineStr">
        <is>
          <t>HALLANDS LÄN</t>
        </is>
      </c>
      <c r="G360" t="inlineStr">
        <is>
          <t>HALMSTAD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45836-2024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46275</v>
      </c>
      <c r="F361" t="inlineStr">
        <is>
          <t>HALLANDS LÄN</t>
        </is>
      </c>
      <c r="G361" t="inlineStr">
        <is>
          <t>HALMSTAD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45079</v>
      </c>
      <c r="E362" s="1" t="n">
        <v>46275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45750</v>
      </c>
      <c r="E363" s="1" t="n">
        <v>46275</v>
      </c>
      <c r="F363" t="inlineStr">
        <is>
          <t>HALLANDS LÄN</t>
        </is>
      </c>
      <c r="G363" t="inlineStr">
        <is>
          <t>HALMSTAD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45874</v>
      </c>
      <c r="E364" s="1" t="n">
        <v>46275</v>
      </c>
      <c r="F364" t="inlineStr">
        <is>
          <t>HALLANDS LÄN</t>
        </is>
      </c>
      <c r="G364" t="inlineStr">
        <is>
          <t>HALMSTAD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45581</v>
      </c>
      <c r="E365" s="1" t="n">
        <v>46275</v>
      </c>
      <c r="F365" t="inlineStr">
        <is>
          <t>HALLANDS LÄN</t>
        </is>
      </c>
      <c r="G365" t="inlineStr">
        <is>
          <t>HALMSTAD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46275</v>
      </c>
      <c r="F366" t="inlineStr">
        <is>
          <t>HALLANDS LÄN</t>
        </is>
      </c>
      <c r="G366" t="inlineStr">
        <is>
          <t>HALMSTAD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45874</v>
      </c>
      <c r="E367" s="1" t="n">
        <v>46275</v>
      </c>
      <c r="F367" t="inlineStr">
        <is>
          <t>HALLANDS LÄN</t>
        </is>
      </c>
      <c r="G367" t="inlineStr">
        <is>
          <t>HALMSTAD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46275</v>
      </c>
      <c r="F368" t="inlineStr">
        <is>
          <t>HALLANDS LÄN</t>
        </is>
      </c>
      <c r="G368" t="inlineStr">
        <is>
          <t>HALMSTAD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45172</v>
      </c>
      <c r="E369" s="1" t="n">
        <v>46275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46275</v>
      </c>
      <c r="F370" t="inlineStr">
        <is>
          <t>HALLANDS LÄN</t>
        </is>
      </c>
      <c r="G370" t="inlineStr">
        <is>
          <t>HALMSTAD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46275</v>
      </c>
      <c r="F371" t="inlineStr">
        <is>
          <t>HALLANDS LÄN</t>
        </is>
      </c>
      <c r="G371" t="inlineStr">
        <is>
          <t>HALMSTAD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49403-2025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46275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45876</v>
      </c>
      <c r="E373" s="1" t="n">
        <v>46275</v>
      </c>
      <c r="F373" t="inlineStr">
        <is>
          <t>HALLANDS LÄN</t>
        </is>
      </c>
      <c r="G373" t="inlineStr">
        <is>
          <t>HALMSTAD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46275</v>
      </c>
      <c r="F374" t="inlineStr">
        <is>
          <t>HALLANDS LÄN</t>
        </is>
      </c>
      <c r="G374" t="inlineStr">
        <is>
          <t>HALMSTAD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45259</v>
      </c>
      <c r="E375" s="1" t="n">
        <v>46275</v>
      </c>
      <c r="F375" t="inlineStr">
        <is>
          <t>HALLANDS LÄN</t>
        </is>
      </c>
      <c r="G375" t="inlineStr">
        <is>
          <t>HALMSTAD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46275</v>
      </c>
      <c r="F376" t="inlineStr">
        <is>
          <t>HALLANDS LÄN</t>
        </is>
      </c>
      <c r="G376" t="inlineStr">
        <is>
          <t>HALMSTAD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46275</v>
      </c>
      <c r="F377" t="inlineStr">
        <is>
          <t>HALLANDS LÄN</t>
        </is>
      </c>
      <c r="G377" t="inlineStr">
        <is>
          <t>HALMSTAD</t>
        </is>
      </c>
      <c r="H377" t="inlineStr">
        <is>
          <t>Bergvik skog väst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46275</v>
      </c>
      <c r="F378" t="inlineStr">
        <is>
          <t>HALLANDS LÄN</t>
        </is>
      </c>
      <c r="G378" t="inlineStr">
        <is>
          <t>HALMSTAD</t>
        </is>
      </c>
      <c r="H378" t="inlineStr">
        <is>
          <t>Kommuner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44868</v>
      </c>
      <c r="E379" s="1" t="n">
        <v>46275</v>
      </c>
      <c r="F379" t="inlineStr">
        <is>
          <t>HALLANDS LÄN</t>
        </is>
      </c>
      <c r="G379" t="inlineStr">
        <is>
          <t>HALMSTAD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46275</v>
      </c>
      <c r="F380" t="inlineStr">
        <is>
          <t>HALLANDS LÄN</t>
        </is>
      </c>
      <c r="G380" t="inlineStr">
        <is>
          <t>HALMSTAD</t>
        </is>
      </c>
      <c r="H380" t="inlineStr">
        <is>
          <t>Bergvik skog väst AB</t>
        </is>
      </c>
      <c r="I380" t="n">
        <v>19.5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46275</v>
      </c>
      <c r="F381" t="inlineStr">
        <is>
          <t>HALLANDS LÄN</t>
        </is>
      </c>
      <c r="G381" t="inlineStr">
        <is>
          <t>HALMSTAD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46275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45386</v>
      </c>
      <c r="E383" s="1" t="n">
        <v>46275</v>
      </c>
      <c r="F383" t="inlineStr">
        <is>
          <t>HALLANDS LÄN</t>
        </is>
      </c>
      <c r="G383" t="inlineStr">
        <is>
          <t>HALMSTAD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46275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46275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45329</v>
      </c>
      <c r="E386" s="1" t="n">
        <v>46275</v>
      </c>
      <c r="F386" t="inlineStr">
        <is>
          <t>HALLANDS LÄN</t>
        </is>
      </c>
      <c r="G386" t="inlineStr">
        <is>
          <t>HALMSTAD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45959</v>
      </c>
      <c r="E387" s="1" t="n">
        <v>46275</v>
      </c>
      <c r="F387" t="inlineStr">
        <is>
          <t>HALLANDS LÄN</t>
        </is>
      </c>
      <c r="G387" t="inlineStr">
        <is>
          <t>HALMSTAD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46275</v>
      </c>
      <c r="F388" t="inlineStr">
        <is>
          <t>HALLANDS LÄN</t>
        </is>
      </c>
      <c r="G388" t="inlineStr">
        <is>
          <t>HALMSTAD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44470</v>
      </c>
      <c r="E389" s="1" t="n">
        <v>46275</v>
      </c>
      <c r="F389" t="inlineStr">
        <is>
          <t>HALLANDS LÄN</t>
        </is>
      </c>
      <c r="G389" t="inlineStr">
        <is>
          <t>HALMSTAD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45967</v>
      </c>
      <c r="E390" s="1" t="n">
        <v>46275</v>
      </c>
      <c r="F390" t="inlineStr">
        <is>
          <t>HALLANDS LÄN</t>
        </is>
      </c>
      <c r="G390" t="inlineStr">
        <is>
          <t>HALMSTAD</t>
        </is>
      </c>
      <c r="H390" t="inlineStr">
        <is>
          <t>Kyrkan</t>
        </is>
      </c>
      <c r="I390" t="n">
        <v>10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46275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62766-2023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45268</v>
      </c>
      <c r="E392" s="1" t="n">
        <v>46275</v>
      </c>
      <c r="F392" t="inlineStr">
        <is>
          <t>HALLANDS LÄN</t>
        </is>
      </c>
      <c r="G392" t="inlineStr">
        <is>
          <t>HALMSTAD</t>
        </is>
      </c>
      <c r="H392" t="inlineStr">
        <is>
          <t>Sveaskog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53763-2022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44875</v>
      </c>
      <c r="E393" s="1" t="n">
        <v>46275</v>
      </c>
      <c r="F393" t="inlineStr">
        <is>
          <t>HALLANDS LÄN</t>
        </is>
      </c>
      <c r="G393" t="inlineStr">
        <is>
          <t>HALMSTAD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44595</v>
      </c>
      <c r="E394" s="1" t="n">
        <v>46275</v>
      </c>
      <c r="F394" t="inlineStr">
        <is>
          <t>HALLANDS LÄN</t>
        </is>
      </c>
      <c r="G394" t="inlineStr">
        <is>
          <t>HALMSTAD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46275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46275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41612-2022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44827</v>
      </c>
      <c r="E397" s="1" t="n">
        <v>46275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45257</v>
      </c>
      <c r="E398" s="1" t="n">
        <v>46275</v>
      </c>
      <c r="F398" t="inlineStr">
        <is>
          <t>HALLANDS LÄN</t>
        </is>
      </c>
      <c r="G398" t="inlineStr">
        <is>
          <t>HALMSTAD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46275</v>
      </c>
      <c r="F399" t="inlineStr">
        <is>
          <t>HALLANDS LÄN</t>
        </is>
      </c>
      <c r="G399" t="inlineStr">
        <is>
          <t>HALMSTAD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44806</v>
      </c>
      <c r="E400" s="1" t="n">
        <v>46275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44691</v>
      </c>
      <c r="E401" s="1" t="n">
        <v>46275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57922-2025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45981</v>
      </c>
      <c r="E402" s="1" t="n">
        <v>46275</v>
      </c>
      <c r="F402" t="inlineStr">
        <is>
          <t>HALLANDS LÄN</t>
        </is>
      </c>
      <c r="G402" t="inlineStr">
        <is>
          <t>HALMSTAD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22710-2023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46275</v>
      </c>
      <c r="F403" t="inlineStr">
        <is>
          <t>HALLANDS LÄN</t>
        </is>
      </c>
      <c r="G403" t="inlineStr">
        <is>
          <t>HALMSTAD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46275</v>
      </c>
      <c r="F404" t="inlineStr">
        <is>
          <t>HALLANDS LÄN</t>
        </is>
      </c>
      <c r="G404" t="inlineStr">
        <is>
          <t>HALMSTAD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44482</v>
      </c>
      <c r="E405" s="1" t="n">
        <v>46275</v>
      </c>
      <c r="F405" t="inlineStr">
        <is>
          <t>HALLANDS LÄN</t>
        </is>
      </c>
      <c r="G405" t="inlineStr">
        <is>
          <t>HALMSTAD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44482</v>
      </c>
      <c r="E406" s="1" t="n">
        <v>46275</v>
      </c>
      <c r="F406" t="inlineStr">
        <is>
          <t>HALLANDS LÄN</t>
        </is>
      </c>
      <c r="G406" t="inlineStr">
        <is>
          <t>HALMSTAD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44466</v>
      </c>
      <c r="E407" s="1" t="n">
        <v>46275</v>
      </c>
      <c r="F407" t="inlineStr">
        <is>
          <t>HALLANDS LÄN</t>
        </is>
      </c>
      <c r="G407" t="inlineStr">
        <is>
          <t>HALMSTAD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46275</v>
      </c>
      <c r="F408" t="inlineStr">
        <is>
          <t>HALLANDS LÄN</t>
        </is>
      </c>
      <c r="G408" t="inlineStr">
        <is>
          <t>HALMSTAD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46275</v>
      </c>
      <c r="F409" t="inlineStr">
        <is>
          <t>HALLANDS LÄN</t>
        </is>
      </c>
      <c r="G409" t="inlineStr">
        <is>
          <t>HALMSTAD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46275</v>
      </c>
      <c r="F410" t="inlineStr">
        <is>
          <t>HALLANDS LÄN</t>
        </is>
      </c>
      <c r="G410" t="inlineStr">
        <is>
          <t>HALMSTAD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46275</v>
      </c>
      <c r="F411" t="inlineStr">
        <is>
          <t>HALLANDS LÄN</t>
        </is>
      </c>
      <c r="G411" t="inlineStr">
        <is>
          <t>HALMSTAD</t>
        </is>
      </c>
      <c r="I411" t="n">
        <v>5.8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46275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40601-2023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46275</v>
      </c>
      <c r="F413" t="inlineStr">
        <is>
          <t>HALLANDS LÄN</t>
        </is>
      </c>
      <c r="G413" t="inlineStr">
        <is>
          <t>HALMSTAD</t>
        </is>
      </c>
      <c r="H413" t="inlineStr">
        <is>
          <t>Kommuner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22419-2022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46275</v>
      </c>
      <c r="F414" t="inlineStr">
        <is>
          <t>HALLANDS LÄN</t>
        </is>
      </c>
      <c r="G414" t="inlineStr">
        <is>
          <t>HALMSTAD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45168</v>
      </c>
      <c r="E415" s="1" t="n">
        <v>46275</v>
      </c>
      <c r="F415" t="inlineStr">
        <is>
          <t>HALLANDS LÄN</t>
        </is>
      </c>
      <c r="G415" t="inlineStr">
        <is>
          <t>HALMSTAD</t>
        </is>
      </c>
      <c r="H415" t="inlineStr">
        <is>
          <t>Kommuner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10263-2022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44622</v>
      </c>
      <c r="E416" s="1" t="n">
        <v>46275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46275</v>
      </c>
      <c r="F417" t="inlineStr">
        <is>
          <t>HALLANDS LÄN</t>
        </is>
      </c>
      <c r="G417" t="inlineStr">
        <is>
          <t>HALMSTAD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46275</v>
      </c>
      <c r="F418" t="inlineStr">
        <is>
          <t>HALLANDS LÄN</t>
        </is>
      </c>
      <c r="G418" t="inlineStr">
        <is>
          <t>HALMSTAD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46275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47198-2022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44852</v>
      </c>
      <c r="E420" s="1" t="n">
        <v>46275</v>
      </c>
      <c r="F420" t="inlineStr">
        <is>
          <t>HALLANDS LÄN</t>
        </is>
      </c>
      <c r="G420" t="inlineStr">
        <is>
          <t>HALMSTAD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62662-2025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46275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62812-2025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46275</v>
      </c>
      <c r="F422" t="inlineStr">
        <is>
          <t>HALLANDS LÄN</t>
        </is>
      </c>
      <c r="G422" t="inlineStr">
        <is>
          <t>HALMSTAD</t>
        </is>
      </c>
      <c r="H422" t="inlineStr">
        <is>
          <t>Kommuner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46275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44974</v>
      </c>
      <c r="E424" s="1" t="n">
        <v>46275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46275</v>
      </c>
      <c r="F425" t="inlineStr">
        <is>
          <t>HALLANDS LÄN</t>
        </is>
      </c>
      <c r="G425" t="inlineStr">
        <is>
          <t>HALMSTAD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46275</v>
      </c>
      <c r="F426" t="inlineStr">
        <is>
          <t>HALLANDS LÄN</t>
        </is>
      </c>
      <c r="G426" t="inlineStr">
        <is>
          <t>HALMSTAD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46275</v>
      </c>
      <c r="F427" t="inlineStr">
        <is>
          <t>HALLANDS LÄN</t>
        </is>
      </c>
      <c r="G427" t="inlineStr">
        <is>
          <t>HALMSTAD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46275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46031</v>
      </c>
      <c r="E429" s="1" t="n">
        <v>46275</v>
      </c>
      <c r="F429" t="inlineStr">
        <is>
          <t>HALLANDS LÄN</t>
        </is>
      </c>
      <c r="G429" t="inlineStr">
        <is>
          <t>HALMSTAD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46275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46057</v>
      </c>
      <c r="E431" s="1" t="n">
        <v>46275</v>
      </c>
      <c r="F431" t="inlineStr">
        <is>
          <t>HALLANDS LÄN</t>
        </is>
      </c>
      <c r="G431" t="inlineStr">
        <is>
          <t>HALMSTAD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46275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46275</v>
      </c>
      <c r="F433" t="inlineStr">
        <is>
          <t>HALLANDS LÄN</t>
        </is>
      </c>
      <c r="G433" t="inlineStr">
        <is>
          <t>HALMSTAD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46275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46275</v>
      </c>
      <c r="F435" t="inlineStr">
        <is>
          <t>HALLANDS LÄN</t>
        </is>
      </c>
      <c r="G435" t="inlineStr">
        <is>
          <t>HALMSTAD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46059</v>
      </c>
      <c r="E436" s="1" t="n">
        <v>46275</v>
      </c>
      <c r="F436" t="inlineStr">
        <is>
          <t>HALLANDS LÄN</t>
        </is>
      </c>
      <c r="G436" t="inlineStr">
        <is>
          <t>HALMSTAD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46275</v>
      </c>
      <c r="F437" t="inlineStr">
        <is>
          <t>HALLANDS LÄN</t>
        </is>
      </c>
      <c r="G437" t="inlineStr">
        <is>
          <t>HALMSTAD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46275</v>
      </c>
      <c r="F438" t="inlineStr">
        <is>
          <t>HALLANDS LÄN</t>
        </is>
      </c>
      <c r="G438" t="inlineStr">
        <is>
          <t>HALMSTAD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46275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45895</v>
      </c>
      <c r="E440" s="1" t="n">
        <v>46275</v>
      </c>
      <c r="F440" t="inlineStr">
        <is>
          <t>HALLANDS LÄN</t>
        </is>
      </c>
      <c r="G440" t="inlineStr">
        <is>
          <t>HALMSTAD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45967</v>
      </c>
      <c r="E441" s="1" t="n">
        <v>46275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46275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46275</v>
      </c>
      <c r="F443" t="inlineStr">
        <is>
          <t>HALLANDS LÄN</t>
        </is>
      </c>
      <c r="G443" t="inlineStr">
        <is>
          <t>HALMSTAD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46275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46275</v>
      </c>
      <c r="F445" t="inlineStr">
        <is>
          <t>HALLANDS LÄN</t>
        </is>
      </c>
      <c r="G445" t="inlineStr">
        <is>
          <t>HALMSTAD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46275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46275</v>
      </c>
      <c r="F447" t="inlineStr">
        <is>
          <t>HALLANDS LÄN</t>
        </is>
      </c>
      <c r="G447" t="inlineStr">
        <is>
          <t>HALMSTAD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46275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46275</v>
      </c>
      <c r="F449" t="inlineStr">
        <is>
          <t>HALLANDS LÄN</t>
        </is>
      </c>
      <c r="G449" t="inlineStr">
        <is>
          <t>HALMSTAD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46275</v>
      </c>
      <c r="F450" t="inlineStr">
        <is>
          <t>HALLANDS LÄN</t>
        </is>
      </c>
      <c r="G450" t="inlineStr">
        <is>
          <t>HALMSTAD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17580-2026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46121</v>
      </c>
      <c r="E451" s="1" t="n">
        <v>46275</v>
      </c>
      <c r="F451" t="inlineStr">
        <is>
          <t>HALLANDS LÄN</t>
        </is>
      </c>
      <c r="G451" t="inlineStr">
        <is>
          <t>HALMSTAD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46275</v>
      </c>
      <c r="F452" t="inlineStr">
        <is>
          <t>HALLANDS LÄN</t>
        </is>
      </c>
      <c r="G452" t="inlineStr">
        <is>
          <t>HALMSTAD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46275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46275</v>
      </c>
      <c r="F454" t="inlineStr">
        <is>
          <t>HALLANDS LÄN</t>
        </is>
      </c>
      <c r="G454" t="inlineStr">
        <is>
          <t>HALMSTAD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45692</v>
      </c>
      <c r="E455" s="1" t="n">
        <v>46275</v>
      </c>
      <c r="F455" t="inlineStr">
        <is>
          <t>HALLANDS LÄN</t>
        </is>
      </c>
      <c r="G455" t="inlineStr">
        <is>
          <t>HALMSTAD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30692-2025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46275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46275</v>
      </c>
      <c r="F457" t="inlineStr">
        <is>
          <t>HALLANDS LÄN</t>
        </is>
      </c>
      <c r="G457" t="inlineStr">
        <is>
          <t>HALMSTAD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46275</v>
      </c>
      <c r="F458" t="inlineStr">
        <is>
          <t>HALLANDS LÄN</t>
        </is>
      </c>
      <c r="G458" t="inlineStr">
        <is>
          <t>HALMSTAD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46275</v>
      </c>
      <c r="F459" t="inlineStr">
        <is>
          <t>HALLANDS LÄN</t>
        </is>
      </c>
      <c r="G459" t="inlineStr">
        <is>
          <t>HALMSTAD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15198-2026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46275</v>
      </c>
      <c r="F460" t="inlineStr">
        <is>
          <t>HALLANDS LÄN</t>
        </is>
      </c>
      <c r="G460" t="inlineStr">
        <is>
          <t>HALMSTAD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23299-2026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46275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46275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45897</v>
      </c>
      <c r="E463" s="1" t="n">
        <v>46275</v>
      </c>
      <c r="F463" t="inlineStr">
        <is>
          <t>HALLANDS LÄN</t>
        </is>
      </c>
      <c r="G463" t="inlineStr">
        <is>
          <t>HALMSTAD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46275</v>
      </c>
      <c r="F464" t="inlineStr">
        <is>
          <t>HALLANDS LÄN</t>
        </is>
      </c>
      <c r="G464" t="inlineStr">
        <is>
          <t>HALMSTAD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46275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46275</v>
      </c>
      <c r="F466" t="inlineStr">
        <is>
          <t>HALLANDS LÄN</t>
        </is>
      </c>
      <c r="G466" t="inlineStr">
        <is>
          <t>HALMSTAD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46275</v>
      </c>
      <c r="F467" t="inlineStr">
        <is>
          <t>HALLANDS LÄN</t>
        </is>
      </c>
      <c r="G467" t="inlineStr">
        <is>
          <t>HALMSTAD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46275</v>
      </c>
      <c r="F468" t="inlineStr">
        <is>
          <t>HALLANDS LÄN</t>
        </is>
      </c>
      <c r="G468" t="inlineStr">
        <is>
          <t>HALMSTAD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46275</v>
      </c>
      <c r="F469" t="inlineStr">
        <is>
          <t>HALLANDS LÄN</t>
        </is>
      </c>
      <c r="G469" t="inlineStr">
        <is>
          <t>HALMSTAD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46275</v>
      </c>
      <c r="F470" t="inlineStr">
        <is>
          <t>HALLANDS LÄN</t>
        </is>
      </c>
      <c r="G470" t="inlineStr">
        <is>
          <t>HALMSTAD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46275</v>
      </c>
      <c r="F471" t="inlineStr">
        <is>
          <t>HALLANDS LÄN</t>
        </is>
      </c>
      <c r="G471" t="inlineStr">
        <is>
          <t>HALMSTAD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45988-2025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46275</v>
      </c>
      <c r="F472" t="inlineStr">
        <is>
          <t>HALLANDS LÄN</t>
        </is>
      </c>
      <c r="G472" t="inlineStr">
        <is>
          <t>HALMSTAD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46173</v>
      </c>
      <c r="E473" s="1" t="n">
        <v>46275</v>
      </c>
      <c r="F473" t="inlineStr">
        <is>
          <t>HALLANDS LÄN</t>
        </is>
      </c>
      <c r="G473" t="inlineStr">
        <is>
          <t>HALMSTAD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46173</v>
      </c>
      <c r="E474" s="1" t="n">
        <v>46275</v>
      </c>
      <c r="F474" t="inlineStr">
        <is>
          <t>HALLANDS LÄN</t>
        </is>
      </c>
      <c r="G474" t="inlineStr">
        <is>
          <t>HALMSTAD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25383-2026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46275</v>
      </c>
      <c r="F475" t="inlineStr">
        <is>
          <t>HALLANDS LÄN</t>
        </is>
      </c>
      <c r="G475" t="inlineStr">
        <is>
          <t>HALMSTAD</t>
        </is>
      </c>
      <c r="I475" t="n">
        <v>17.8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46275</v>
      </c>
      <c r="F476" t="inlineStr">
        <is>
          <t>HALLANDS LÄN</t>
        </is>
      </c>
      <c r="G476" t="inlineStr">
        <is>
          <t>HALMSTAD</t>
        </is>
      </c>
      <c r="I476" t="n">
        <v>12.6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46275</v>
      </c>
      <c r="F477" t="inlineStr">
        <is>
          <t>HALLANDS LÄN</t>
        </is>
      </c>
      <c r="G477" t="inlineStr">
        <is>
          <t>HALMSTAD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46176</v>
      </c>
      <c r="E478" s="1" t="n">
        <v>46275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26335-2026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46275</v>
      </c>
      <c r="F479" t="inlineStr">
        <is>
          <t>HALLANDS LÄN</t>
        </is>
      </c>
      <c r="G479" t="inlineStr">
        <is>
          <t>HALMSTAD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46275</v>
      </c>
      <c r="F480" t="inlineStr">
        <is>
          <t>HALLANDS LÄN</t>
        </is>
      </c>
      <c r="G480" t="inlineStr">
        <is>
          <t>HALMSTAD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46275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46275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46275</v>
      </c>
      <c r="F483" t="inlineStr">
        <is>
          <t>HALLANDS LÄN</t>
        </is>
      </c>
      <c r="G483" t="inlineStr">
        <is>
          <t>HALMSTAD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46275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46275</v>
      </c>
      <c r="F485" t="inlineStr">
        <is>
          <t>HALLANDS LÄN</t>
        </is>
      </c>
      <c r="G485" t="inlineStr">
        <is>
          <t>HALMSTAD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46275</v>
      </c>
      <c r="F486" t="inlineStr">
        <is>
          <t>HALLANDS LÄN</t>
        </is>
      </c>
      <c r="G486" t="inlineStr">
        <is>
          <t>HALMSTAD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46275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46275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46275</v>
      </c>
      <c r="F489" t="inlineStr">
        <is>
          <t>HALLANDS LÄN</t>
        </is>
      </c>
      <c r="G489" t="inlineStr">
        <is>
          <t>HALMSTAD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46275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7542-2026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46275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46275</v>
      </c>
      <c r="F492" t="inlineStr">
        <is>
          <t>HALLANDS LÄN</t>
        </is>
      </c>
      <c r="G492" t="inlineStr">
        <is>
          <t>HALMSTAD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27205-2026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46275</v>
      </c>
      <c r="F493" t="inlineStr">
        <is>
          <t>HALLANDS LÄN</t>
        </is>
      </c>
      <c r="G493" t="inlineStr">
        <is>
          <t>HALMSTAD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46275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46275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46275</v>
      </c>
      <c r="F496" t="inlineStr">
        <is>
          <t>HALLANDS LÄN</t>
        </is>
      </c>
      <c r="G496" t="inlineStr">
        <is>
          <t>HALMSTAD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46275</v>
      </c>
      <c r="F497" t="inlineStr">
        <is>
          <t>HALLANDS LÄN</t>
        </is>
      </c>
      <c r="G497" t="inlineStr">
        <is>
          <t>HALMSTAD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46275</v>
      </c>
      <c r="F498" t="inlineStr">
        <is>
          <t>HALLANDS LÄN</t>
        </is>
      </c>
      <c r="G498" t="inlineStr">
        <is>
          <t>HALMSTAD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46275</v>
      </c>
      <c r="F499" t="inlineStr">
        <is>
          <t>HALLANDS LÄN</t>
        </is>
      </c>
      <c r="G499" t="inlineStr">
        <is>
          <t>HALMSTAD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30503-2026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46275</v>
      </c>
      <c r="F500" t="inlineStr">
        <is>
          <t>HALLANDS LÄN</t>
        </is>
      </c>
      <c r="G500" t="inlineStr">
        <is>
          <t>HALMSTAD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19304-2023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46275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46275</v>
      </c>
      <c r="F502" t="inlineStr">
        <is>
          <t>HALLANDS LÄN</t>
        </is>
      </c>
      <c r="G502" t="inlineStr">
        <is>
          <t>HALMSTAD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46275</v>
      </c>
      <c r="F503" t="inlineStr">
        <is>
          <t>HALLANDS LÄN</t>
        </is>
      </c>
      <c r="G503" t="inlineStr">
        <is>
          <t>HALMSTAD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46275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46275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46275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46275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30496-2026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46275</v>
      </c>
      <c r="F508" t="inlineStr">
        <is>
          <t>HALLANDS LÄN</t>
        </is>
      </c>
      <c r="G508" t="inlineStr">
        <is>
          <t>HALMSTAD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46275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46275</v>
      </c>
      <c r="F510" t="inlineStr">
        <is>
          <t>HALLANDS LÄN</t>
        </is>
      </c>
      <c r="G510" t="inlineStr">
        <is>
          <t>HALMSTAD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46275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46275</v>
      </c>
      <c r="F512" t="inlineStr">
        <is>
          <t>HALLANDS LÄN</t>
        </is>
      </c>
      <c r="G512" t="inlineStr">
        <is>
          <t>HALMSTAD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46275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46275</v>
      </c>
      <c r="F514" t="inlineStr">
        <is>
          <t>HALLANDS LÄN</t>
        </is>
      </c>
      <c r="G514" t="inlineStr">
        <is>
          <t>HALMSTAD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34889-2026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46275</v>
      </c>
      <c r="F515" t="inlineStr">
        <is>
          <t>HALLANDS LÄN</t>
        </is>
      </c>
      <c r="G515" t="inlineStr">
        <is>
          <t>HALMSTAD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46275</v>
      </c>
      <c r="F516" t="inlineStr">
        <is>
          <t>HALLANDS LÄN</t>
        </is>
      </c>
      <c r="G516" t="inlineStr">
        <is>
          <t>HALMSTAD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46275</v>
      </c>
      <c r="F517" t="inlineStr">
        <is>
          <t>HALLANDS LÄN</t>
        </is>
      </c>
      <c r="G517" t="inlineStr">
        <is>
          <t>HALMSTAD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46275</v>
      </c>
      <c r="F518" t="inlineStr">
        <is>
          <t>HALLANDS LÄN</t>
        </is>
      </c>
      <c r="G518" t="inlineStr">
        <is>
          <t>HALMSTAD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46275</v>
      </c>
      <c r="F519" t="inlineStr">
        <is>
          <t>HALLANDS LÄN</t>
        </is>
      </c>
      <c r="G519" t="inlineStr">
        <is>
          <t>HALMSTAD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35185-2026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46260</v>
      </c>
      <c r="E520" s="1" t="n">
        <v>46275</v>
      </c>
      <c r="F520" t="inlineStr">
        <is>
          <t>HALLANDS LÄN</t>
        </is>
      </c>
      <c r="G520" t="inlineStr">
        <is>
          <t>HALMSTAD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46275</v>
      </c>
      <c r="F521" t="inlineStr">
        <is>
          <t>HALLANDS LÄN</t>
        </is>
      </c>
      <c r="G521" t="inlineStr">
        <is>
          <t>HALMSTAD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46275</v>
      </c>
      <c r="F522" t="inlineStr">
        <is>
          <t>HALLANDS LÄN</t>
        </is>
      </c>
      <c r="G522" t="inlineStr">
        <is>
          <t>HALMSTAD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46275</v>
      </c>
      <c r="F523" t="inlineStr">
        <is>
          <t>HALLANDS LÄN</t>
        </is>
      </c>
      <c r="G523" t="inlineStr">
        <is>
          <t>HALMSTAD</t>
        </is>
      </c>
      <c r="I523" t="n">
        <v>10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46275</v>
      </c>
      <c r="F524" t="inlineStr">
        <is>
          <t>HALLANDS LÄN</t>
        </is>
      </c>
      <c r="G524" t="inlineStr">
        <is>
          <t>HALMSTAD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46275</v>
      </c>
      <c r="F525" t="inlineStr">
        <is>
          <t>HALLANDS LÄN</t>
        </is>
      </c>
      <c r="G525" t="inlineStr">
        <is>
          <t>HALMSTAD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36900-2026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46275</v>
      </c>
      <c r="F526" t="inlineStr">
        <is>
          <t>HALLANDS LÄN</t>
        </is>
      </c>
      <c r="G526" t="inlineStr">
        <is>
          <t>HALMSTAD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46275</v>
      </c>
      <c r="F527" t="inlineStr">
        <is>
          <t>HALLANDS LÄN</t>
        </is>
      </c>
      <c r="G527" t="inlineStr">
        <is>
          <t>HALMSTAD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46275</v>
      </c>
      <c r="F528" t="inlineStr">
        <is>
          <t>HALLANDS LÄN</t>
        </is>
      </c>
      <c r="G528" t="inlineStr">
        <is>
          <t>HALMSTAD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46275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46275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46275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46275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46275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46275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46275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46275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46275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46275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46275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46275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46275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46275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46275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2026-09-10T02:15:03Z</dcterms:created>
  <dcterms:modified xmlns:dcterms="http://purl.org/dc/terms/" xmlns:xsi="http://www.w3.org/2001/XMLSchema-instance" xsi:type="dcterms:W3CDTF">2026-09-10T02:15:04Z</dcterms:modified>
</cp:coreProperties>
</file>
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46230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46230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46230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46230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46230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46230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46230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46230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46230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46230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46230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46230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46230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46230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46230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46230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46230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46230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46230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46230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46230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46230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46230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46230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46230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46230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46230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46230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46230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46230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46230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46230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46230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46230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46230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46230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46230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46230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46230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46230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20419-2022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44699</v>
      </c>
      <c r="E51" s="1" t="n">
        <v>46230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6.5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HYPERLINK("https://klasma.github.io/Logging_1380/artfynd/A 20419-2022 artfynd.xlsx", "A 20419-2022")</f>
        <v/>
      </c>
      <c r="X51">
        <f>HYPERLINK("https://klasma.github.io/Logging_1380/kartor/A 20419-2022 karta.png", "A 20419-2022")</f>
        <v/>
      </c>
      <c r="Y51">
        <f>HYPERLINK("https://klasma.github.io/Logging_1380/kartor_geotiff/A 20419-2022 georefererad karta.tif", "A 20419-2022")</f>
        <v/>
      </c>
      <c r="AA51">
        <f>HYPERLINK("https://klasma.github.io/Logging_1380/klagomål/A 20419-2022 FSC-klagomål.docx", "A 20419-2022")</f>
        <v/>
      </c>
      <c r="AB51">
        <f>HYPERLINK("https://klasma.github.io/Logging_1380/klagomålsmail/A 20419-2022 FSC-klagomål mail.docx", "A 20419-2022")</f>
        <v/>
      </c>
      <c r="AC51">
        <f>HYPERLINK("https://klasma.github.io/Logging_1380/tillsyn/A 20419-2022 tillsynsbegäran.docx", "A 20419-2022")</f>
        <v/>
      </c>
      <c r="AD51">
        <f>HYPERLINK("https://klasma.github.io/Logging_1380/tillsynsmail/A 20419-2022 tillsynsbegäran mail.docx", "A 20419-2022")</f>
        <v/>
      </c>
    </row>
    <row r="52" ht="15" customHeight="1">
      <c r="A52" t="inlineStr">
        <is>
          <t>A 24383-2023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46230</v>
      </c>
      <c r="F52" t="inlineStr">
        <is>
          <t>HALLANDS LÄN</t>
        </is>
      </c>
      <c r="G52" t="inlineStr">
        <is>
          <t>HALMSTAD</t>
        </is>
      </c>
      <c r="I52" t="n">
        <v>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24383-2023 artfynd.xlsx", "A 24383-2023")</f>
        <v/>
      </c>
      <c r="X52">
        <f>HYPERLINK("https://klasma.github.io/Logging_1380/kartor/A 24383-2023 karta.png", "A 24383-2023")</f>
        <v/>
      </c>
      <c r="Y52">
        <f>HYPERLINK("https://klasma.github.io/Logging_1380/kartor_geotiff/A 24383-2023 georefererad karta.tif", "A 24383-2023")</f>
        <v/>
      </c>
      <c r="AA52">
        <f>HYPERLINK("https://klasma.github.io/Logging_1380/klagomål/A 24383-2023 FSC-klagomål.docx", "A 24383-2023")</f>
        <v/>
      </c>
      <c r="AB52">
        <f>HYPERLINK("https://klasma.github.io/Logging_1380/klagomålsmail/A 24383-2023 FSC-klagomål mail.docx", "A 24383-2023")</f>
        <v/>
      </c>
      <c r="AC52">
        <f>HYPERLINK("https://klasma.github.io/Logging_1380/tillsyn/A 24383-2023 tillsynsbegäran.docx", "A 24383-2023")</f>
        <v/>
      </c>
      <c r="AD52">
        <f>HYPERLINK("https://klasma.github.io/Logging_1380/tillsynsmail/A 24383-2023 tillsynsbegäran mail.docx", "A 24383-2023")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46230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16387-2023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46230</v>
      </c>
      <c r="F54" t="inlineStr">
        <is>
          <t>HALLANDS LÄN</t>
        </is>
      </c>
      <c r="G54" t="inlineStr">
        <is>
          <t>HALMSTAD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HYPERLINK("https://klasma.github.io/Logging_1380/artfynd/A 16387-2023 artfynd.xlsx", "A 16387-2023")</f>
        <v/>
      </c>
      <c r="X54">
        <f>HYPERLINK("https://klasma.github.io/Logging_1380/kartor/A 16387-2023 karta.png", "A 16387-2023")</f>
        <v/>
      </c>
      <c r="Y54">
        <f>HYPERLINK("https://klasma.github.io/Logging_1380/kartor_geotiff/A 16387-2023 georefererad karta.tif", "A 16387-2023")</f>
        <v/>
      </c>
      <c r="AA54">
        <f>HYPERLINK("https://klasma.github.io/Logging_1380/klagomål/A 16387-2023 FSC-klagomål.docx", "A 16387-2023")</f>
        <v/>
      </c>
      <c r="AB54">
        <f>HYPERLINK("https://klasma.github.io/Logging_1380/klagomålsmail/A 16387-2023 FSC-klagomål mail.docx", "A 16387-2023")</f>
        <v/>
      </c>
      <c r="AC54">
        <f>HYPERLINK("https://klasma.github.io/Logging_1380/tillsyn/A 16387-2023 tillsynsbegäran.docx", "A 16387-2023")</f>
        <v/>
      </c>
      <c r="AD54">
        <f>HYPERLINK("https://klasma.github.io/Logging_1380/tillsynsmail/A 16387-2023 tillsynsbegäran mail.docx", "A 16387-2023")</f>
        <v/>
      </c>
      <c r="AE54">
        <f>HYPERLINK("https://klasma.github.io/Logging_1380/fåglar/A 16387-2023 prioriterade fågelarter.docx", "A 16387-2023")</f>
        <v/>
      </c>
    </row>
    <row r="55" ht="15" customHeight="1">
      <c r="A55" t="inlineStr">
        <is>
          <t>A 37139-2025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46230</v>
      </c>
      <c r="F55" t="inlineStr">
        <is>
          <t>HALLANDS LÄN</t>
        </is>
      </c>
      <c r="G55" t="inlineStr">
        <is>
          <t>HALMSTAD</t>
        </is>
      </c>
      <c r="I55" t="n">
        <v>0.8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HYPERLINK("https://klasma.github.io/Logging_1380/artfynd/A 37139-2025 artfynd.xlsx", "A 37139-2025")</f>
        <v/>
      </c>
      <c r="X55">
        <f>HYPERLINK("https://klasma.github.io/Logging_1380/kartor/A 37139-2025 karta.png", "A 37139-2025")</f>
        <v/>
      </c>
      <c r="Y55">
        <f>HYPERLINK("https://klasma.github.io/Logging_1380/kartor_geotiff/A 37139-2025 georefererad karta.tif", "A 37139-2025")</f>
        <v/>
      </c>
      <c r="AA55">
        <f>HYPERLINK("https://klasma.github.io/Logging_1380/klagomål/A 37139-2025 FSC-klagomål.docx", "A 37139-2025")</f>
        <v/>
      </c>
      <c r="AB55">
        <f>HYPERLINK("https://klasma.github.io/Logging_1380/klagomålsmail/A 37139-2025 FSC-klagomål mail.docx", "A 37139-2025")</f>
        <v/>
      </c>
      <c r="AC55">
        <f>HYPERLINK("https://klasma.github.io/Logging_1380/tillsyn/A 37139-2025 tillsynsbegäran.docx", "A 37139-2025")</f>
        <v/>
      </c>
      <c r="AD55">
        <f>HYPERLINK("https://klasma.github.io/Logging_1380/tillsynsmail/A 37139-2025 tillsynsbegäran mail.docx", "A 37139-2025")</f>
        <v/>
      </c>
    </row>
    <row r="56" ht="15" customHeight="1">
      <c r="A56" t="inlineStr">
        <is>
          <t>A 38318-2025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45883</v>
      </c>
      <c r="E56" s="1" t="n">
        <v>46230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HYPERLINK("https://klasma.github.io/Logging_1380/artfynd/A 38318-2025 artfynd.xlsx", "A 38318-2025")</f>
        <v/>
      </c>
      <c r="X56">
        <f>HYPERLINK("https://klasma.github.io/Logging_1380/kartor/A 38318-2025 karta.png", "A 38318-2025")</f>
        <v/>
      </c>
      <c r="Y56">
        <f>HYPERLINK("https://klasma.github.io/Logging_1380/kartor_geotiff/A 38318-2025 georefererad karta.tif", "A 38318-2025")</f>
        <v/>
      </c>
      <c r="AA56">
        <f>HYPERLINK("https://klasma.github.io/Logging_1380/klagomål/A 38318-2025 FSC-klagomål.docx", "A 38318-2025")</f>
        <v/>
      </c>
      <c r="AB56">
        <f>HYPERLINK("https://klasma.github.io/Logging_1380/klagomålsmail/A 38318-2025 FSC-klagomål mail.docx", "A 38318-2025")</f>
        <v/>
      </c>
      <c r="AC56">
        <f>HYPERLINK("https://klasma.github.io/Logging_1380/tillsyn/A 38318-2025 tillsynsbegäran.docx", "A 38318-2025")</f>
        <v/>
      </c>
      <c r="AD56">
        <f>HYPERLINK("https://klasma.github.io/Logging_1380/tillsynsmail/A 38318-2025 tillsynsbegäran mail.docx", "A 38318-2025")</f>
        <v/>
      </c>
    </row>
    <row r="57" ht="15" customHeight="1">
      <c r="A57" t="inlineStr">
        <is>
          <t>A 9816-2025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45715</v>
      </c>
      <c r="E57" s="1" t="n">
        <v>46230</v>
      </c>
      <c r="F57" t="inlineStr">
        <is>
          <t>HALLANDS LÄN</t>
        </is>
      </c>
      <c r="G57" t="inlineStr">
        <is>
          <t>HALMSTAD</t>
        </is>
      </c>
      <c r="H57" t="inlineStr">
        <is>
          <t>Övriga statliga verk och myndigheter</t>
        </is>
      </c>
      <c r="I57" t="n">
        <v>9.4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HYPERLINK("https://klasma.github.io/Logging_1380/artfynd/A 9816-2025 artfynd.xlsx", "A 9816-2025")</f>
        <v/>
      </c>
      <c r="X57">
        <f>HYPERLINK("https://klasma.github.io/Logging_1380/kartor/A 9816-2025 karta.png", "A 9816-2025")</f>
        <v/>
      </c>
      <c r="Y57">
        <f>HYPERLINK("https://klasma.github.io/Logging_1380/kartor_geotiff/A 9816-2025 georefererad karta.tif", "A 9816-2025")</f>
        <v/>
      </c>
      <c r="AA57">
        <f>HYPERLINK("https://klasma.github.io/Logging_1380/klagomål/A 9816-2025 FSC-klagomål.docx", "A 9816-2025")</f>
        <v/>
      </c>
      <c r="AB57">
        <f>HYPERLINK("https://klasma.github.io/Logging_1380/klagomålsmail/A 9816-2025 FSC-klagomål mail.docx", "A 9816-2025")</f>
        <v/>
      </c>
      <c r="AC57">
        <f>HYPERLINK("https://klasma.github.io/Logging_1380/tillsyn/A 9816-2025 tillsynsbegäran.docx", "A 9816-2025")</f>
        <v/>
      </c>
      <c r="AD57">
        <f>HYPERLINK("https://klasma.github.io/Logging_1380/tillsynsmail/A 9816-2025 tillsynsbegäran mail.docx", "A 9816-2025")</f>
        <v/>
      </c>
    </row>
    <row r="58" ht="15" customHeight="1">
      <c r="A58" t="inlineStr">
        <is>
          <t>A 40659-2023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46230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3.1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40659-2023 artfynd.xlsx", "A 40659-2023")</f>
        <v/>
      </c>
      <c r="X58">
        <f>HYPERLINK("https://klasma.github.io/Logging_1380/kartor/A 40659-2023 karta.png", "A 40659-2023")</f>
        <v/>
      </c>
      <c r="Y58">
        <f>HYPERLINK("https://klasma.github.io/Logging_1380/kartor_geotiff/A 40659-2023 georefererad karta.tif", "A 40659-2023")</f>
        <v/>
      </c>
      <c r="AA58">
        <f>HYPERLINK("https://klasma.github.io/Logging_1380/klagomål/A 40659-2023 FSC-klagomål.docx", "A 40659-2023")</f>
        <v/>
      </c>
      <c r="AB58">
        <f>HYPERLINK("https://klasma.github.io/Logging_1380/klagomålsmail/A 40659-2023 FSC-klagomål mail.docx", "A 40659-2023")</f>
        <v/>
      </c>
      <c r="AC58">
        <f>HYPERLINK("https://klasma.github.io/Logging_1380/tillsyn/A 40659-2023 tillsynsbegäran.docx", "A 40659-2023")</f>
        <v/>
      </c>
      <c r="AD58">
        <f>HYPERLINK("https://klasma.github.io/Logging_1380/tillsynsmail/A 40659-2023 tillsynsbegäran mail.docx", "A 40659-2023")</f>
        <v/>
      </c>
    </row>
    <row r="59" ht="15" customHeight="1">
      <c r="A59" t="inlineStr">
        <is>
          <t>A 21626-2026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46230</v>
      </c>
      <c r="F59" t="inlineStr">
        <is>
          <t>HALLANDS LÄN</t>
        </is>
      </c>
      <c r="G59" t="inlineStr">
        <is>
          <t>HALMSTAD</t>
        </is>
      </c>
      <c r="I59" t="n">
        <v>9.6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21626-2026 artfynd.xlsx", "A 21626-2026")</f>
        <v/>
      </c>
      <c r="X59">
        <f>HYPERLINK("https://klasma.github.io/Logging_1380/kartor/A 21626-2026 karta.png", "A 21626-2026")</f>
        <v/>
      </c>
      <c r="Y59">
        <f>HYPERLINK("https://klasma.github.io/Logging_1380/kartor_geotiff/A 21626-2026 georefererad karta.tif", "A 21626-2026")</f>
        <v/>
      </c>
      <c r="AA59">
        <f>HYPERLINK("https://klasma.github.io/Logging_1380/klagomål/A 21626-2026 FSC-klagomål.docx", "A 21626-2026")</f>
        <v/>
      </c>
      <c r="AB59">
        <f>HYPERLINK("https://klasma.github.io/Logging_1380/klagomålsmail/A 21626-2026 FSC-klagomål mail.docx", "A 21626-2026")</f>
        <v/>
      </c>
      <c r="AC59">
        <f>HYPERLINK("https://klasma.github.io/Logging_1380/tillsyn/A 21626-2026 tillsynsbegäran.docx", "A 21626-2026")</f>
        <v/>
      </c>
      <c r="AD59">
        <f>HYPERLINK("https://klasma.github.io/Logging_1380/tillsynsmail/A 21626-2026 tillsynsbegäran mail.docx", "A 21626-2026")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46230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17266-2023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45035</v>
      </c>
      <c r="E61" s="1" t="n">
        <v>46230</v>
      </c>
      <c r="F61" t="inlineStr">
        <is>
          <t>HALLANDS LÄN</t>
        </is>
      </c>
      <c r="G61" t="inlineStr">
        <is>
          <t>HALMSTAD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HYPERLINK("https://klasma.github.io/Logging_1380/artfynd/A 17266-2023 artfynd.xlsx", "A 17266-2023")</f>
        <v/>
      </c>
      <c r="X61">
        <f>HYPERLINK("https://klasma.github.io/Logging_1380/kartor/A 17266-2023 karta.png", "A 17266-2023")</f>
        <v/>
      </c>
      <c r="Y61">
        <f>HYPERLINK("https://klasma.github.io/Logging_1380/kartor_geotiff/A 17266-2023 georefererad karta.tif", "A 17266-2023")</f>
        <v/>
      </c>
      <c r="AA61">
        <f>HYPERLINK("https://klasma.github.io/Logging_1380/klagomål/A 17266-2023 FSC-klagomål.docx", "A 17266-2023")</f>
        <v/>
      </c>
      <c r="AB61">
        <f>HYPERLINK("https://klasma.github.io/Logging_1380/klagomålsmail/A 17266-2023 FSC-klagomål mail.docx", "A 17266-2023")</f>
        <v/>
      </c>
      <c r="AC61">
        <f>HYPERLINK("https://klasma.github.io/Logging_1380/tillsyn/A 17266-2023 tillsynsbegäran.docx", "A 17266-2023")</f>
        <v/>
      </c>
      <c r="AD61">
        <f>HYPERLINK("https://klasma.github.io/Logging_1380/tillsynsmail/A 17266-2023 tillsynsbegäran mail.docx", "A 17266-2023")</f>
        <v/>
      </c>
    </row>
    <row r="62" ht="15" customHeight="1">
      <c r="A62" t="inlineStr">
        <is>
          <t>A 22842-2022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46230</v>
      </c>
      <c r="F62" t="inlineStr">
        <is>
          <t>HALLANDS LÄN</t>
        </is>
      </c>
      <c r="G62" t="inlineStr">
        <is>
          <t>HALMSTAD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4</v>
      </c>
      <c r="V62" s="2" t="inlineStr">
        <is>
          <t>Spillkråka</t>
        </is>
      </c>
      <c r="W62">
        <f>HYPERLINK("https://klasma.github.io/Logging_1380/artfynd/A 22842-2022 artfynd.xlsx", "A 22842-2022")</f>
        <v/>
      </c>
      <c r="X62">
        <f>HYPERLINK("https://klasma.github.io/Logging_1380/kartor/A 22842-2022 karta.png", "A 22842-2022")</f>
        <v/>
      </c>
      <c r="Y62">
        <f>HYPERLINK("https://klasma.github.io/Logging_1380/kartor_geotiff/A 22842-2022 georefererad karta.tif", "A 22842-2022")</f>
        <v/>
      </c>
      <c r="AA62">
        <f>HYPERLINK("https://klasma.github.io/Logging_1380/klagomål/A 22842-2022 FSC-klagomål.docx", "A 22842-2022")</f>
        <v/>
      </c>
      <c r="AB62">
        <f>HYPERLINK("https://klasma.github.io/Logging_1380/klagomålsmail/A 22842-2022 FSC-klagomål mail.docx", "A 22842-2022")</f>
        <v/>
      </c>
      <c r="AC62">
        <f>HYPERLINK("https://klasma.github.io/Logging_1380/tillsyn/A 22842-2022 tillsynsbegäran.docx", "A 22842-2022")</f>
        <v/>
      </c>
      <c r="AD62">
        <f>HYPERLINK("https://klasma.github.io/Logging_1380/tillsynsmail/A 22842-2022 tillsynsbegäran mail.docx", "A 22842-2022")</f>
        <v/>
      </c>
      <c r="AE62">
        <f>HYPERLINK("https://klasma.github.io/Logging_1380/fåglar/A 22842-2022 prioriterade fågelarter.docx", "A 22842-2022")</f>
        <v/>
      </c>
    </row>
    <row r="63" ht="15" customHeight="1">
      <c r="A63" t="inlineStr">
        <is>
          <t>A 21483-2024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46230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21483-2024 artfynd.xlsx", "A 21483-2024")</f>
        <v/>
      </c>
      <c r="X63">
        <f>HYPERLINK("https://klasma.github.io/Logging_1380/kartor/A 21483-2024 karta.png", "A 21483-2024")</f>
        <v/>
      </c>
      <c r="Y63">
        <f>HYPERLINK("https://klasma.github.io/Logging_1380/kartor_geotiff/A 21483-2024 georefererad karta.tif", "A 21483-2024")</f>
        <v/>
      </c>
      <c r="AA63">
        <f>HYPERLINK("https://klasma.github.io/Logging_1380/klagomål/A 21483-2024 FSC-klagomål.docx", "A 21483-2024")</f>
        <v/>
      </c>
      <c r="AB63">
        <f>HYPERLINK("https://klasma.github.io/Logging_1380/klagomålsmail/A 21483-2024 FSC-klagomål mail.docx", "A 21483-2024")</f>
        <v/>
      </c>
      <c r="AC63">
        <f>HYPERLINK("https://klasma.github.io/Logging_1380/tillsyn/A 21483-2024 tillsynsbegäran.docx", "A 21483-2024")</f>
        <v/>
      </c>
      <c r="AD63">
        <f>HYPERLINK("https://klasma.github.io/Logging_1380/tillsynsmail/A 21483-2024 tillsynsbegäran mail.docx", "A 21483-2024")</f>
        <v/>
      </c>
    </row>
    <row r="64" ht="15" customHeight="1">
      <c r="A64" t="inlineStr">
        <is>
          <t>A 9045-2026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46230</v>
      </c>
      <c r="F64" t="inlineStr">
        <is>
          <t>HALLANDS LÄN</t>
        </is>
      </c>
      <c r="G64" t="inlineStr">
        <is>
          <t>HALMSTAD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HYPERLINK("https://klasma.github.io/Logging_1380/artfynd/A 9045-2026 artfynd.xlsx", "A 9045-2026")</f>
        <v/>
      </c>
      <c r="X64">
        <f>HYPERLINK("https://klasma.github.io/Logging_1380/kartor/A 9045-2026 karta.png", "A 9045-2026")</f>
        <v/>
      </c>
      <c r="Y64">
        <f>HYPERLINK("https://klasma.github.io/Logging_1380/kartor_geotiff/A 9045-2026 georefererad karta.tif", "A 9045-2026")</f>
        <v/>
      </c>
      <c r="AA64">
        <f>HYPERLINK("https://klasma.github.io/Logging_1380/klagomål/A 9045-2026 FSC-klagomål.docx", "A 9045-2026")</f>
        <v/>
      </c>
      <c r="AB64">
        <f>HYPERLINK("https://klasma.github.io/Logging_1380/klagomålsmail/A 9045-2026 FSC-klagomål mail.docx", "A 9045-2026")</f>
        <v/>
      </c>
      <c r="AC64">
        <f>HYPERLINK("https://klasma.github.io/Logging_1380/tillsyn/A 9045-2026 tillsynsbegäran.docx", "A 9045-2026")</f>
        <v/>
      </c>
      <c r="AD64">
        <f>HYPERLINK("https://klasma.github.io/Logging_1380/tillsynsmail/A 9045-2026 tillsynsbegäran mail.docx", "A 9045-2026")</f>
        <v/>
      </c>
    </row>
    <row r="65" ht="15" customHeight="1">
      <c r="A65" t="inlineStr">
        <is>
          <t>A 38661-2021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44410</v>
      </c>
      <c r="E65" s="1" t="n">
        <v>46230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Skogsduva</t>
        </is>
      </c>
      <c r="W65">
        <f>HYPERLINK("https://klasma.github.io/Logging_1380/artfynd/A 38661-2021 artfynd.xlsx", "A 38661-2021")</f>
        <v/>
      </c>
      <c r="X65">
        <f>HYPERLINK("https://klasma.github.io/Logging_1380/kartor/A 38661-2021 karta.png", "A 38661-2021")</f>
        <v/>
      </c>
      <c r="Y65">
        <f>HYPERLINK("https://klasma.github.io/Logging_1380/kartor_geotiff/A 38661-2021 georefererad karta.tif", "A 38661-2021")</f>
        <v/>
      </c>
      <c r="AA65">
        <f>HYPERLINK("https://klasma.github.io/Logging_1380/klagomål/A 38661-2021 FSC-klagomål.docx", "A 38661-2021")</f>
        <v/>
      </c>
      <c r="AB65">
        <f>HYPERLINK("https://klasma.github.io/Logging_1380/klagomålsmail/A 38661-2021 FSC-klagomål mail.docx", "A 38661-2021")</f>
        <v/>
      </c>
      <c r="AC65">
        <f>HYPERLINK("https://klasma.github.io/Logging_1380/tillsyn/A 38661-2021 tillsynsbegäran.docx", "A 38661-2021")</f>
        <v/>
      </c>
      <c r="AD65">
        <f>HYPERLINK("https://klasma.github.io/Logging_1380/tillsynsmail/A 38661-2021 tillsynsbegäran mail.docx", "A 38661-2021")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46230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6987-2026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46230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Dvärgpipistrell</t>
        </is>
      </c>
      <c r="W67">
        <f>HYPERLINK("https://klasma.github.io/Logging_1380/artfynd/A 6987-2026 artfynd.xlsx", "A 6987-2026")</f>
        <v/>
      </c>
      <c r="X67">
        <f>HYPERLINK("https://klasma.github.io/Logging_1380/kartor/A 6987-2026 karta.png", "A 6987-2026")</f>
        <v/>
      </c>
      <c r="Y67">
        <f>HYPERLINK("https://klasma.github.io/Logging_1380/kartor_geotiff/A 6987-2026 georefererad karta.tif", "A 6987-2026")</f>
        <v/>
      </c>
      <c r="AA67">
        <f>HYPERLINK("https://klasma.github.io/Logging_1380/klagomål/A 6987-2026 FSC-klagomål.docx", "A 6987-2026")</f>
        <v/>
      </c>
      <c r="AB67">
        <f>HYPERLINK("https://klasma.github.io/Logging_1380/klagomålsmail/A 6987-2026 FSC-klagomål mail.docx", "A 6987-2026")</f>
        <v/>
      </c>
      <c r="AC67">
        <f>HYPERLINK("https://klasma.github.io/Logging_1380/tillsyn/A 6987-2026 tillsynsbegäran.docx", "A 6987-2026")</f>
        <v/>
      </c>
      <c r="AD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46230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6767-2026 artfynd.xlsx", "A 6767-2026")</f>
        <v/>
      </c>
      <c r="X68">
        <f>HYPERLINK("https://klasma.github.io/Logging_1380/kartor/A 6767-2026 karta.png", "A 6767-2026")</f>
        <v/>
      </c>
      <c r="Y68">
        <f>HYPERLINK("https://klasma.github.io/Logging_1380/kartor_geotiff/A 6767-2026 georefererad karta.tif", "A 6767-2026")</f>
        <v/>
      </c>
      <c r="AA68">
        <f>HYPERLINK("https://klasma.github.io/Logging_1380/klagomål/A 6767-2026 FSC-klagomål.docx", "A 6767-2026")</f>
        <v/>
      </c>
      <c r="AB68">
        <f>HYPERLINK("https://klasma.github.io/Logging_1380/klagomålsmail/A 6767-2026 FSC-klagomål mail.docx", "A 6767-2026")</f>
        <v/>
      </c>
      <c r="AC68">
        <f>HYPERLINK("https://klasma.github.io/Logging_1380/tillsyn/A 6767-2026 tillsynsbegäran.docx", "A 6767-2026")</f>
        <v/>
      </c>
      <c r="AD68">
        <f>HYPERLINK("https://klasma.github.io/Logging_1380/tillsynsmail/A 6767-2026 tillsynsbegäran mail.docx", "A 6767-2026")</f>
        <v/>
      </c>
    </row>
    <row r="69" ht="15" customHeight="1">
      <c r="A69" t="inlineStr">
        <is>
          <t>A 25382-2026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46230</v>
      </c>
      <c r="F69" t="inlineStr">
        <is>
          <t>HALLANDS LÄN</t>
        </is>
      </c>
      <c r="G69" t="inlineStr">
        <is>
          <t>HALMSTAD</t>
        </is>
      </c>
      <c r="I69" t="n">
        <v>10.9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HYPERLINK("https://klasma.github.io/Logging_1380/artfynd/A 25382-2026 artfynd.xlsx", "A 25382-2026")</f>
        <v/>
      </c>
      <c r="X69">
        <f>HYPERLINK("https://klasma.github.io/Logging_1380/kartor/A 25382-2026 karta.png", "A 25382-2026")</f>
        <v/>
      </c>
      <c r="Y69">
        <f>HYPERLINK("https://klasma.github.io/Logging_1380/kartor_geotiff/A 25382-2026 georefererad karta.tif", "A 25382-2026")</f>
        <v/>
      </c>
      <c r="AA69">
        <f>HYPERLINK("https://klasma.github.io/Logging_1380/klagomål/A 25382-2026 FSC-klagomål.docx", "A 25382-2026")</f>
        <v/>
      </c>
      <c r="AB69">
        <f>HYPERLINK("https://klasma.github.io/Logging_1380/klagomålsmail/A 25382-2026 FSC-klagomål mail.docx", "A 25382-2026")</f>
        <v/>
      </c>
      <c r="AC69">
        <f>HYPERLINK("https://klasma.github.io/Logging_1380/tillsyn/A 25382-2026 tillsynsbegäran.docx", "A 25382-2026")</f>
        <v/>
      </c>
      <c r="AD69">
        <f>HYPERLINK("https://klasma.github.io/Logging_1380/tillsynsmail/A 25382-2026 tillsynsbegäran mail.docx", "A 25382-2026")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46230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25887-2026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46230</v>
      </c>
      <c r="F71" t="inlineStr">
        <is>
          <t>HALLANDS LÄN</t>
        </is>
      </c>
      <c r="G71" t="inlineStr">
        <is>
          <t>HALMSTAD</t>
        </is>
      </c>
      <c r="I71" t="n">
        <v>14.9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snok</t>
        </is>
      </c>
      <c r="W71">
        <f>HYPERLINK("https://klasma.github.io/Logging_1380/artfynd/A 25887-2026 artfynd.xlsx", "A 25887-2026")</f>
        <v/>
      </c>
      <c r="X71">
        <f>HYPERLINK("https://klasma.github.io/Logging_1380/kartor/A 25887-2026 karta.png", "A 25887-2026")</f>
        <v/>
      </c>
      <c r="Y71">
        <f>HYPERLINK("https://klasma.github.io/Logging_1380/kartor_geotiff/A 25887-2026 georefererad karta.tif", "A 25887-2026")</f>
        <v/>
      </c>
      <c r="AA71">
        <f>HYPERLINK("https://klasma.github.io/Logging_1380/klagomål/A 25887-2026 FSC-klagomål.docx", "A 25887-2026")</f>
        <v/>
      </c>
      <c r="AB71">
        <f>HYPERLINK("https://klasma.github.io/Logging_1380/klagomålsmail/A 25887-2026 FSC-klagomål mail.docx", "A 25887-2026")</f>
        <v/>
      </c>
      <c r="AC71">
        <f>HYPERLINK("https://klasma.github.io/Logging_1380/tillsyn/A 25887-2026 tillsynsbegäran.docx", "A 25887-2026")</f>
        <v/>
      </c>
      <c r="AD71">
        <f>HYPERLINK("https://klasma.github.io/Logging_1380/tillsynsmail/A 25887-2026 tillsynsbegäran mail.docx", "A 25887-2026")</f>
        <v/>
      </c>
    </row>
    <row r="72" ht="15" customHeight="1">
      <c r="A72" t="inlineStr">
        <is>
          <t>A 46505-2025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46230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46505-2025 artfynd.xlsx", "A 46505-2025")</f>
        <v/>
      </c>
      <c r="X72">
        <f>HYPERLINK("https://klasma.github.io/Logging_1380/kartor/A 46505-2025 karta.png", "A 46505-2025")</f>
        <v/>
      </c>
      <c r="Y72">
        <f>HYPERLINK("https://klasma.github.io/Logging_1380/kartor_geotiff/A 46505-2025 georefererad karta.tif", "A 46505-2025")</f>
        <v/>
      </c>
      <c r="AA72">
        <f>HYPERLINK("https://klasma.github.io/Logging_1380/klagomål/A 46505-2025 FSC-klagomål.docx", "A 46505-2025")</f>
        <v/>
      </c>
      <c r="AB72">
        <f>HYPERLINK("https://klasma.github.io/Logging_1380/klagomålsmail/A 46505-2025 FSC-klagomål mail.docx", "A 46505-2025")</f>
        <v/>
      </c>
      <c r="AC72">
        <f>HYPERLINK("https://klasma.github.io/Logging_1380/tillsyn/A 46505-2025 tillsynsbegäran.docx", "A 46505-2025")</f>
        <v/>
      </c>
      <c r="AD72">
        <f>HYPERLINK("https://klasma.github.io/Logging_1380/tillsynsmail/A 46505-2025 tillsynsbegäran mail.docx", "A 46505-2025")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46230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53797-2024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46230</v>
      </c>
      <c r="F74" t="inlineStr">
        <is>
          <t>HALLANDS LÄN</t>
        </is>
      </c>
      <c r="G74" t="inlineStr">
        <is>
          <t>HALMSTAD</t>
        </is>
      </c>
      <c r="I74" t="n">
        <v>3.5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Dvärglin</t>
        </is>
      </c>
      <c r="W74">
        <f>HYPERLINK("https://klasma.github.io/Logging_1380/artfynd/A 53797-2024 artfynd.xlsx", "A 53797-2024")</f>
        <v/>
      </c>
      <c r="X74">
        <f>HYPERLINK("https://klasma.github.io/Logging_1380/kartor/A 53797-2024 karta.png", "A 53797-2024")</f>
        <v/>
      </c>
      <c r="Y74">
        <f>HYPERLINK("https://klasma.github.io/Logging_1380/kartor_geotiff/A 53797-2024 georefererad karta.tif", "A 53797-2024")</f>
        <v/>
      </c>
      <c r="AA74">
        <f>HYPERLINK("https://klasma.github.io/Logging_1380/klagomål/A 53797-2024 FSC-klagomål.docx", "A 53797-2024")</f>
        <v/>
      </c>
      <c r="AB74">
        <f>HYPERLINK("https://klasma.github.io/Logging_1380/klagomålsmail/A 53797-2024 FSC-klagomål mail.docx", "A 53797-2024")</f>
        <v/>
      </c>
      <c r="AC74">
        <f>HYPERLINK("https://klasma.github.io/Logging_1380/tillsyn/A 53797-2024 tillsynsbegäran.docx", "A 53797-2024")</f>
        <v/>
      </c>
      <c r="AD74">
        <f>HYPERLINK("https://klasma.github.io/Logging_1380/tillsynsmail/A 53797-2024 tillsynsbegäran mail.docx", "A 53797-2024")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46230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32753-2023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45122</v>
      </c>
      <c r="E76" s="1" t="n">
        <v>46230</v>
      </c>
      <c r="F76" t="inlineStr">
        <is>
          <t>HALLANDS LÄN</t>
        </is>
      </c>
      <c r="G76" t="inlineStr">
        <is>
          <t>HALMSTAD</t>
        </is>
      </c>
      <c r="I76" t="n">
        <v>2.7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Entita</t>
        </is>
      </c>
      <c r="W76">
        <f>HYPERLINK("https://klasma.github.io/Logging_1380/artfynd/A 32753-2023 artfynd.xlsx", "A 32753-2023")</f>
        <v/>
      </c>
      <c r="X76">
        <f>HYPERLINK("https://klasma.github.io/Logging_1380/kartor/A 32753-2023 karta.png", "A 32753-2023")</f>
        <v/>
      </c>
      <c r="Y76">
        <f>HYPERLINK("https://klasma.github.io/Logging_1380/kartor_geotiff/A 32753-2023 georefererad karta.tif", "A 32753-2023")</f>
        <v/>
      </c>
      <c r="AA76">
        <f>HYPERLINK("https://klasma.github.io/Logging_1380/klagomål/A 32753-2023 FSC-klagomål.docx", "A 32753-2023")</f>
        <v/>
      </c>
      <c r="AB76">
        <f>HYPERLINK("https://klasma.github.io/Logging_1380/klagomålsmail/A 32753-2023 FSC-klagomål mail.docx", "A 32753-2023")</f>
        <v/>
      </c>
      <c r="AC76">
        <f>HYPERLINK("https://klasma.github.io/Logging_1380/tillsyn/A 32753-2023 tillsynsbegäran.docx", "A 32753-2023")</f>
        <v/>
      </c>
      <c r="AD76">
        <f>HYPERLINK("https://klasma.github.io/Logging_1380/tillsynsmail/A 32753-2023 tillsynsbegäran mail.docx", "A 32753-2023")</f>
        <v/>
      </c>
      <c r="AE76">
        <f>HYPERLINK("https://klasma.github.io/Logging_1380/fåglar/A 32753-2023 prioriterade fågelarter.docx", "A 32753-2023")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46230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40589-2023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46230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1</v>
      </c>
      <c r="V78" s="2" t="inlineStr">
        <is>
          <t>Kungsfågel</t>
        </is>
      </c>
      <c r="W78">
        <f>HYPERLINK("https://klasma.github.io/Logging_1380/artfynd/A 40589-2023 artfynd.xlsx", "A 40589-2023")</f>
        <v/>
      </c>
      <c r="X78">
        <f>HYPERLINK("https://klasma.github.io/Logging_1380/kartor/A 40589-2023 karta.png", "A 40589-2023")</f>
        <v/>
      </c>
      <c r="Y78">
        <f>HYPERLINK("https://klasma.github.io/Logging_1380/kartor_geotiff/A 40589-2023 georefererad karta.tif", "A 40589-2023")</f>
        <v/>
      </c>
      <c r="AA78">
        <f>HYPERLINK("https://klasma.github.io/Logging_1380/klagomål/A 40589-2023 FSC-klagomål.docx", "A 40589-2023")</f>
        <v/>
      </c>
      <c r="AB78">
        <f>HYPERLINK("https://klasma.github.io/Logging_1380/klagomålsmail/A 40589-2023 FSC-klagomål mail.docx", "A 40589-2023")</f>
        <v/>
      </c>
      <c r="AC78">
        <f>HYPERLINK("https://klasma.github.io/Logging_1380/tillsyn/A 40589-2023 tillsynsbegäran.docx", "A 40589-2023")</f>
        <v/>
      </c>
      <c r="AD78">
        <f>HYPERLINK("https://klasma.github.io/Logging_1380/tillsynsmail/A 40589-2023 tillsynsbegäran mail.docx", "A 40589-2023")</f>
        <v/>
      </c>
    </row>
    <row r="79" ht="15" customHeight="1">
      <c r="A79" t="inlineStr">
        <is>
          <t>A 21488-2024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46230</v>
      </c>
      <c r="F79" t="inlineStr">
        <is>
          <t>HALLANDS LÄN</t>
        </is>
      </c>
      <c r="G79" t="inlineStr">
        <is>
          <t>HALMSTAD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21488-2024 artfynd.xlsx", "A 21488-2024")</f>
        <v/>
      </c>
      <c r="X79">
        <f>HYPERLINK("https://klasma.github.io/Logging_1380/kartor/A 21488-2024 karta.png", "A 21488-2024")</f>
        <v/>
      </c>
      <c r="Y79">
        <f>HYPERLINK("https://klasma.github.io/Logging_1380/kartor_geotiff/A 21488-2024 georefererad karta.tif", "A 21488-2024")</f>
        <v/>
      </c>
      <c r="AA79">
        <f>HYPERLINK("https://klasma.github.io/Logging_1380/klagomål/A 21488-2024 FSC-klagomål.docx", "A 21488-2024")</f>
        <v/>
      </c>
      <c r="AB79">
        <f>HYPERLINK("https://klasma.github.io/Logging_1380/klagomålsmail/A 21488-2024 FSC-klagomål mail.docx", "A 21488-2024")</f>
        <v/>
      </c>
      <c r="AC79">
        <f>HYPERLINK("https://klasma.github.io/Logging_1380/tillsyn/A 21488-2024 tillsynsbegäran.docx", "A 21488-2024")</f>
        <v/>
      </c>
      <c r="AD79">
        <f>HYPERLINK("https://klasma.github.io/Logging_1380/tillsynsmail/A 21488-2024 tillsynsbegäran mail.docx", "A 21488-2024")</f>
        <v/>
      </c>
    </row>
    <row r="80" ht="15" customHeight="1">
      <c r="A80" t="inlineStr">
        <is>
          <t>A 27386-2025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46230</v>
      </c>
      <c r="F80" t="inlineStr">
        <is>
          <t>HALLANDS LÄN</t>
        </is>
      </c>
      <c r="G80" t="inlineStr">
        <is>
          <t>HALMSTAD</t>
        </is>
      </c>
      <c r="I80" t="n">
        <v>8.5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27386-2025 artfynd.xlsx", "A 27386-2025")</f>
        <v/>
      </c>
      <c r="X80">
        <f>HYPERLINK("https://klasma.github.io/Logging_1380/kartor/A 27386-2025 karta.png", "A 27386-2025")</f>
        <v/>
      </c>
      <c r="Y80">
        <f>HYPERLINK("https://klasma.github.io/Logging_1380/kartor_geotiff/A 27386-2025 georefererad karta.tif", "A 27386-2025")</f>
        <v/>
      </c>
      <c r="AA80">
        <f>HYPERLINK("https://klasma.github.io/Logging_1380/klagomål/A 27386-2025 FSC-klagomål.docx", "A 27386-2025")</f>
        <v/>
      </c>
      <c r="AB80">
        <f>HYPERLINK("https://klasma.github.io/Logging_1380/klagomålsmail/A 27386-2025 FSC-klagomål mail.docx", "A 27386-2025")</f>
        <v/>
      </c>
      <c r="AC80">
        <f>HYPERLINK("https://klasma.github.io/Logging_1380/tillsyn/A 27386-2025 tillsynsbegäran.docx", "A 27386-2025")</f>
        <v/>
      </c>
      <c r="AD80">
        <f>HYPERLINK("https://klasma.github.io/Logging_1380/tillsynsmail/A 27386-2025 tillsynsbegäran mail.docx", "A 27386-2025")</f>
        <v/>
      </c>
    </row>
    <row r="81" ht="15" customHeight="1">
      <c r="A81" t="inlineStr">
        <is>
          <t>A 32822-2025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46230</v>
      </c>
      <c r="F81" t="inlineStr">
        <is>
          <t>HALLANDS LÄN</t>
        </is>
      </c>
      <c r="G81" t="inlineStr">
        <is>
          <t>HALMSTAD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HYPERLINK("https://klasma.github.io/Logging_1380/artfynd/A 32822-2025 artfynd.xlsx", "A 32822-2025")</f>
        <v/>
      </c>
      <c r="X81">
        <f>HYPERLINK("https://klasma.github.io/Logging_1380/kartor/A 32822-2025 karta.png", "A 32822-2025")</f>
        <v/>
      </c>
      <c r="Y81">
        <f>HYPERLINK("https://klasma.github.io/Logging_1380/kartor_geotiff/A 32822-2025 georefererad karta.tif", "A 32822-2025")</f>
        <v/>
      </c>
      <c r="AA81">
        <f>HYPERLINK("https://klasma.github.io/Logging_1380/klagomål/A 32822-2025 FSC-klagomål.docx", "A 32822-2025")</f>
        <v/>
      </c>
      <c r="AB81">
        <f>HYPERLINK("https://klasma.github.io/Logging_1380/klagomålsmail/A 32822-2025 FSC-klagomål mail.docx", "A 32822-2025")</f>
        <v/>
      </c>
      <c r="AC81">
        <f>HYPERLINK("https://klasma.github.io/Logging_1380/tillsyn/A 32822-2025 tillsynsbegäran.docx", "A 32822-2025")</f>
        <v/>
      </c>
      <c r="AD81">
        <f>HYPERLINK("https://klasma.github.io/Logging_1380/tillsynsmail/A 32822-2025 tillsynsbegäran mail.docx", "A 32822-2025")</f>
        <v/>
      </c>
    </row>
    <row r="82" ht="15" customHeight="1">
      <c r="A82" t="inlineStr">
        <is>
          <t>A 10063-2022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46230</v>
      </c>
      <c r="F82" t="inlineStr">
        <is>
          <t>HALLANDS LÄN</t>
        </is>
      </c>
      <c r="G82" t="inlineStr">
        <is>
          <t>HALMSTAD</t>
        </is>
      </c>
      <c r="I82" t="n">
        <v>3.7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Hasselmus</t>
        </is>
      </c>
      <c r="W82">
        <f>HYPERLINK("https://klasma.github.io/Logging_1380/artfynd/A 10063-2022 artfynd.xlsx", "A 10063-2022")</f>
        <v/>
      </c>
      <c r="X82">
        <f>HYPERLINK("https://klasma.github.io/Logging_1380/kartor/A 10063-2022 karta.png", "A 10063-2022")</f>
        <v/>
      </c>
      <c r="Y82">
        <f>HYPERLINK("https://klasma.github.io/Logging_1380/kartor_geotiff/A 10063-2022 georefererad karta.tif", "A 10063-2022")</f>
        <v/>
      </c>
      <c r="AA82">
        <f>HYPERLINK("https://klasma.github.io/Logging_1380/klagomål/A 10063-2022 FSC-klagomål.docx", "A 10063-2022")</f>
        <v/>
      </c>
      <c r="AB82">
        <f>HYPERLINK("https://klasma.github.io/Logging_1380/klagomålsmail/A 10063-2022 FSC-klagomål mail.docx", "A 10063-2022")</f>
        <v/>
      </c>
      <c r="AC82">
        <f>HYPERLINK("https://klasma.github.io/Logging_1380/tillsyn/A 10063-2022 tillsynsbegäran.docx", "A 10063-2022")</f>
        <v/>
      </c>
      <c r="AD82">
        <f>HYPERLINK("https://klasma.github.io/Logging_1380/tillsynsmail/A 10063-2022 tillsynsbegäran mail.docx", "A 10063-2022")</f>
        <v/>
      </c>
    </row>
    <row r="83" ht="15" customHeight="1">
      <c r="A83" t="inlineStr">
        <is>
          <t>A 5240-2025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46230</v>
      </c>
      <c r="F83" t="inlineStr">
        <is>
          <t>HALLANDS LÄN</t>
        </is>
      </c>
      <c r="G83" t="inlineStr">
        <is>
          <t>HALMSTAD</t>
        </is>
      </c>
      <c r="I83" t="n">
        <v>8.300000000000001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Mussellav</t>
        </is>
      </c>
      <c r="W83">
        <f>HYPERLINK("https://klasma.github.io/Logging_1380/artfynd/A 5240-2025 artfynd.xlsx", "A 5240-2025")</f>
        <v/>
      </c>
      <c r="X83">
        <f>HYPERLINK("https://klasma.github.io/Logging_1380/kartor/A 5240-2025 karta.png", "A 5240-2025")</f>
        <v/>
      </c>
      <c r="Y83">
        <f>HYPERLINK("https://klasma.github.io/Logging_1380/kartor_geotiff/A 5240-2025 georefererad karta.tif", "A 5240-2025")</f>
        <v/>
      </c>
      <c r="AA83">
        <f>HYPERLINK("https://klasma.github.io/Logging_1380/klagomål/A 5240-2025 FSC-klagomål.docx", "A 5240-2025")</f>
        <v/>
      </c>
      <c r="AB83">
        <f>HYPERLINK("https://klasma.github.io/Logging_1380/klagomålsmail/A 5240-2025 FSC-klagomål mail.docx", "A 5240-2025")</f>
        <v/>
      </c>
      <c r="AC83">
        <f>HYPERLINK("https://klasma.github.io/Logging_1380/tillsyn/A 5240-2025 tillsynsbegäran.docx", "A 5240-2025")</f>
        <v/>
      </c>
      <c r="AD83">
        <f>HYPERLINK("https://klasma.github.io/Logging_1380/tillsynsmail/A 5240-2025 tillsynsbegäran mail.docx", "A 5240-2025")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46230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46230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46230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46230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46230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46230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46230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46230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46230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46230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46230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46230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46230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46230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46230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46230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46230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46230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46230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46230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46230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46230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46230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46230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46230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46230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46230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46230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46230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46230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46230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46230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46230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46230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46230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46230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46230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44875</v>
      </c>
      <c r="E121" s="1" t="n">
        <v>46230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46230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46230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46230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46230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46230</v>
      </c>
      <c r="F126" t="inlineStr">
        <is>
          <t>HALLANDS LÄN</t>
        </is>
      </c>
      <c r="G126" t="inlineStr">
        <is>
          <t>HALMSTAD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46230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46230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63609-2023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45275</v>
      </c>
      <c r="E129" s="1" t="n">
        <v>46230</v>
      </c>
      <c r="F129" t="inlineStr">
        <is>
          <t>HALLANDS LÄN</t>
        </is>
      </c>
      <c r="G129" t="inlineStr">
        <is>
          <t>HALMSTAD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46230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46230</v>
      </c>
      <c r="F131" t="inlineStr">
        <is>
          <t>HALLANDS LÄN</t>
        </is>
      </c>
      <c r="G131" t="inlineStr">
        <is>
          <t>HALMSTAD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46230</v>
      </c>
      <c r="F132" t="inlineStr">
        <is>
          <t>HALLANDS LÄN</t>
        </is>
      </c>
      <c r="G132" t="inlineStr">
        <is>
          <t>HALMSTAD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51302-2021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46230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46230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46230</v>
      </c>
      <c r="F135" t="inlineStr">
        <is>
          <t>HALLANDS LÄN</t>
        </is>
      </c>
      <c r="G135" t="inlineStr">
        <is>
          <t>HALMSTAD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46230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46230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46230</v>
      </c>
      <c r="F138" t="inlineStr">
        <is>
          <t>HALLANDS LÄN</t>
        </is>
      </c>
      <c r="G138" t="inlineStr">
        <is>
          <t>HALMSTAD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46230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46230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46230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46230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46230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46230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44823</v>
      </c>
      <c r="E145" s="1" t="n">
        <v>46230</v>
      </c>
      <c r="F145" t="inlineStr">
        <is>
          <t>HALLANDS LÄN</t>
        </is>
      </c>
      <c r="G145" t="inlineStr">
        <is>
          <t>HALMSTAD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45734</v>
      </c>
      <c r="E146" s="1" t="n">
        <v>46230</v>
      </c>
      <c r="F146" t="inlineStr">
        <is>
          <t>HALLANDS LÄN</t>
        </is>
      </c>
      <c r="G146" t="inlineStr">
        <is>
          <t>HALMSTAD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46230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46230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46230</v>
      </c>
      <c r="F149" t="inlineStr">
        <is>
          <t>HALLANDS LÄN</t>
        </is>
      </c>
      <c r="G149" t="inlineStr">
        <is>
          <t>HALMSTAD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18598-2022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46230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44691</v>
      </c>
      <c r="E151" s="1" t="n">
        <v>46230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46230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46230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46230</v>
      </c>
      <c r="F154" t="inlineStr">
        <is>
          <t>HALLANDS LÄN</t>
        </is>
      </c>
      <c r="G154" t="inlineStr">
        <is>
          <t>HALMSTAD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46230</v>
      </c>
      <c r="F155" t="inlineStr">
        <is>
          <t>HALLANDS LÄN</t>
        </is>
      </c>
      <c r="G155" t="inlineStr">
        <is>
          <t>HALMSTAD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46230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46230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45302</v>
      </c>
      <c r="E158" s="1" t="n">
        <v>46230</v>
      </c>
      <c r="F158" t="inlineStr">
        <is>
          <t>HALLANDS LÄN</t>
        </is>
      </c>
      <c r="G158" t="inlineStr">
        <is>
          <t>HALMSTAD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46230</v>
      </c>
      <c r="F159" t="inlineStr">
        <is>
          <t>HALLANDS LÄN</t>
        </is>
      </c>
      <c r="G159" t="inlineStr">
        <is>
          <t>HALMSTAD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46230</v>
      </c>
      <c r="F160" t="inlineStr">
        <is>
          <t>HALLANDS LÄN</t>
        </is>
      </c>
      <c r="G160" t="inlineStr">
        <is>
          <t>HALMSTAD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46230</v>
      </c>
      <c r="F161" t="inlineStr">
        <is>
          <t>HALLANDS LÄN</t>
        </is>
      </c>
      <c r="G161" t="inlineStr">
        <is>
          <t>HALMSTAD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44885</v>
      </c>
      <c r="E162" s="1" t="n">
        <v>46230</v>
      </c>
      <c r="F162" t="inlineStr">
        <is>
          <t>HALLANDS LÄN</t>
        </is>
      </c>
      <c r="G162" t="inlineStr">
        <is>
          <t>HALMSTAD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44885</v>
      </c>
      <c r="E163" s="1" t="n">
        <v>46230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46230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46230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46230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46230</v>
      </c>
      <c r="F167" t="inlineStr">
        <is>
          <t>HALLANDS LÄN</t>
        </is>
      </c>
      <c r="G167" t="inlineStr">
        <is>
          <t>HALMSTAD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46230</v>
      </c>
      <c r="F168" t="inlineStr">
        <is>
          <t>HALLANDS LÄN</t>
        </is>
      </c>
      <c r="G168" t="inlineStr">
        <is>
          <t>HALMSTAD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46230</v>
      </c>
      <c r="F169" t="inlineStr">
        <is>
          <t>HALLANDS LÄN</t>
        </is>
      </c>
      <c r="G169" t="inlineStr">
        <is>
          <t>HALMSTAD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46230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44952</v>
      </c>
      <c r="E171" s="1" t="n">
        <v>46230</v>
      </c>
      <c r="F171" t="inlineStr">
        <is>
          <t>HALLANDS LÄN</t>
        </is>
      </c>
      <c r="G171" t="inlineStr">
        <is>
          <t>HALMSTAD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44879</v>
      </c>
      <c r="E172" s="1" t="n">
        <v>46230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46230</v>
      </c>
      <c r="F173" t="inlineStr">
        <is>
          <t>HALLANDS LÄN</t>
        </is>
      </c>
      <c r="G173" t="inlineStr">
        <is>
          <t>HALMSTAD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46230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46230</v>
      </c>
      <c r="F175" t="inlineStr">
        <is>
          <t>HALLANDS LÄN</t>
        </is>
      </c>
      <c r="G175" t="inlineStr">
        <is>
          <t>HALMSTAD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46230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46230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44580</v>
      </c>
      <c r="E178" s="1" t="n">
        <v>46230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46230</v>
      </c>
      <c r="F179" t="inlineStr">
        <is>
          <t>HALLANDS LÄN</t>
        </is>
      </c>
      <c r="G179" t="inlineStr">
        <is>
          <t>HALMSTAD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2438-2024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45311</v>
      </c>
      <c r="E180" s="1" t="n">
        <v>46230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46230</v>
      </c>
      <c r="F181" t="inlineStr">
        <is>
          <t>HALLANDS LÄN</t>
        </is>
      </c>
      <c r="G181" t="inlineStr">
        <is>
          <t>HALMSTAD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46230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45692</v>
      </c>
      <c r="E183" s="1" t="n">
        <v>46230</v>
      </c>
      <c r="F183" t="inlineStr">
        <is>
          <t>HALLANDS LÄN</t>
        </is>
      </c>
      <c r="G183" t="inlineStr">
        <is>
          <t>HALMSTAD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46230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46230</v>
      </c>
      <c r="F185" t="inlineStr">
        <is>
          <t>HALLANDS LÄN</t>
        </is>
      </c>
      <c r="G185" t="inlineStr">
        <is>
          <t>HALMSTAD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46230</v>
      </c>
      <c r="F186" t="inlineStr">
        <is>
          <t>HALLANDS LÄN</t>
        </is>
      </c>
      <c r="G186" t="inlineStr">
        <is>
          <t>HALMSTAD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46230</v>
      </c>
      <c r="F187" t="inlineStr">
        <is>
          <t>HALLANDS LÄN</t>
        </is>
      </c>
      <c r="G187" t="inlineStr">
        <is>
          <t>HALMSTAD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46230</v>
      </c>
      <c r="F188" t="inlineStr">
        <is>
          <t>HALLANDS LÄN</t>
        </is>
      </c>
      <c r="G188" t="inlineStr">
        <is>
          <t>HALMSTAD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46230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44622</v>
      </c>
      <c r="E190" s="1" t="n">
        <v>46230</v>
      </c>
      <c r="F190" t="inlineStr">
        <is>
          <t>HALLANDS LÄN</t>
        </is>
      </c>
      <c r="G190" t="inlineStr">
        <is>
          <t>HALMSTAD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46230</v>
      </c>
      <c r="F191" t="inlineStr">
        <is>
          <t>HALLANDS LÄN</t>
        </is>
      </c>
      <c r="G191" t="inlineStr">
        <is>
          <t>HALMSTAD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44621</v>
      </c>
      <c r="E192" s="1" t="n">
        <v>46230</v>
      </c>
      <c r="F192" t="inlineStr">
        <is>
          <t>HALLANDS LÄN</t>
        </is>
      </c>
      <c r="G192" t="inlineStr">
        <is>
          <t>HALMSTAD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46230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46230</v>
      </c>
      <c r="F194" t="inlineStr">
        <is>
          <t>HALLANDS LÄN</t>
        </is>
      </c>
      <c r="G194" t="inlineStr">
        <is>
          <t>HALMSTAD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46230</v>
      </c>
      <c r="F195" t="inlineStr">
        <is>
          <t>HALLANDS LÄN</t>
        </is>
      </c>
      <c r="G195" t="inlineStr">
        <is>
          <t>HALMSTAD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46230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44699</v>
      </c>
      <c r="E197" s="1" t="n">
        <v>46230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46230</v>
      </c>
      <c r="F198" t="inlineStr">
        <is>
          <t>HALLANDS LÄN</t>
        </is>
      </c>
      <c r="G198" t="inlineStr">
        <is>
          <t>HALMSTAD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46230</v>
      </c>
      <c r="F199" t="inlineStr">
        <is>
          <t>HALLANDS LÄN</t>
        </is>
      </c>
      <c r="G199" t="inlineStr">
        <is>
          <t>HALMSTAD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46230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46230</v>
      </c>
      <c r="F201" t="inlineStr">
        <is>
          <t>HALLANDS LÄN</t>
        </is>
      </c>
      <c r="G201" t="inlineStr">
        <is>
          <t>HALMSTAD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46230</v>
      </c>
      <c r="F202" t="inlineStr">
        <is>
          <t>HALLANDS LÄN</t>
        </is>
      </c>
      <c r="G202" t="inlineStr">
        <is>
          <t>HALMSTAD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46230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46230</v>
      </c>
      <c r="F204" t="inlineStr">
        <is>
          <t>HALLANDS LÄN</t>
        </is>
      </c>
      <c r="G204" t="inlineStr">
        <is>
          <t>HALMSTAD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46230</v>
      </c>
      <c r="F205" t="inlineStr">
        <is>
          <t>HALLANDS LÄN</t>
        </is>
      </c>
      <c r="G205" t="inlineStr">
        <is>
          <t>HALMSTAD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46230</v>
      </c>
      <c r="F206" t="inlineStr">
        <is>
          <t>HALLANDS LÄN</t>
        </is>
      </c>
      <c r="G206" t="inlineStr">
        <is>
          <t>HALMSTAD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46230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46230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46230</v>
      </c>
      <c r="F209" t="inlineStr">
        <is>
          <t>HALLANDS LÄN</t>
        </is>
      </c>
      <c r="G209" t="inlineStr">
        <is>
          <t>HALMSTAD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45714</v>
      </c>
      <c r="E210" s="1" t="n">
        <v>46230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45488</v>
      </c>
      <c r="E211" s="1" t="n">
        <v>46230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46230</v>
      </c>
      <c r="F212" t="inlineStr">
        <is>
          <t>HALLANDS LÄN</t>
        </is>
      </c>
      <c r="G212" t="inlineStr">
        <is>
          <t>HALMSTAD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46230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46230</v>
      </c>
      <c r="F214" t="inlineStr">
        <is>
          <t>HALLANDS LÄN</t>
        </is>
      </c>
      <c r="G214" t="inlineStr">
        <is>
          <t>HALMSTAD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46230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46230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46230</v>
      </c>
      <c r="F217" t="inlineStr">
        <is>
          <t>HALLANDS LÄN</t>
        </is>
      </c>
      <c r="G217" t="inlineStr">
        <is>
          <t>HALMSTAD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46230</v>
      </c>
      <c r="F218" t="inlineStr">
        <is>
          <t>HALLANDS LÄN</t>
        </is>
      </c>
      <c r="G218" t="inlineStr">
        <is>
          <t>HALMSTAD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46230</v>
      </c>
      <c r="F219" t="inlineStr">
        <is>
          <t>HALLANDS LÄN</t>
        </is>
      </c>
      <c r="G219" t="inlineStr">
        <is>
          <t>HALMSTAD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46230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46230</v>
      </c>
      <c r="F221" t="inlineStr">
        <is>
          <t>HALLANDS LÄN</t>
        </is>
      </c>
      <c r="G221" t="inlineStr">
        <is>
          <t>HALMSTAD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46230</v>
      </c>
      <c r="F222" t="inlineStr">
        <is>
          <t>HALLANDS LÄN</t>
        </is>
      </c>
      <c r="G222" t="inlineStr">
        <is>
          <t>HALMSTAD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46230</v>
      </c>
      <c r="F223" t="inlineStr">
        <is>
          <t>HALLANDS LÄN</t>
        </is>
      </c>
      <c r="G223" t="inlineStr">
        <is>
          <t>HALMSTAD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46230</v>
      </c>
      <c r="F224" t="inlineStr">
        <is>
          <t>HALLANDS LÄN</t>
        </is>
      </c>
      <c r="G224" t="inlineStr">
        <is>
          <t>HALMSTAD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46230</v>
      </c>
      <c r="F225" t="inlineStr">
        <is>
          <t>HALLANDS LÄN</t>
        </is>
      </c>
      <c r="G225" t="inlineStr">
        <is>
          <t>HALMSTAD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45681</v>
      </c>
      <c r="E226" s="1" t="n">
        <v>46230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46230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45692</v>
      </c>
      <c r="E228" s="1" t="n">
        <v>46230</v>
      </c>
      <c r="F228" t="inlineStr">
        <is>
          <t>HALLANDS LÄN</t>
        </is>
      </c>
      <c r="G228" t="inlineStr">
        <is>
          <t>HALMSTAD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45401</v>
      </c>
      <c r="E229" s="1" t="n">
        <v>46230</v>
      </c>
      <c r="F229" t="inlineStr">
        <is>
          <t>HALLANDS LÄN</t>
        </is>
      </c>
      <c r="G229" t="inlineStr">
        <is>
          <t>HALMSTAD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46230</v>
      </c>
      <c r="F230" t="inlineStr">
        <is>
          <t>HALLANDS LÄN</t>
        </is>
      </c>
      <c r="G230" t="inlineStr">
        <is>
          <t>HALMSTAD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46230</v>
      </c>
      <c r="F231" t="inlineStr">
        <is>
          <t>HALLANDS LÄN</t>
        </is>
      </c>
      <c r="G231" t="inlineStr">
        <is>
          <t>HALMSTAD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46230</v>
      </c>
      <c r="F232" t="inlineStr">
        <is>
          <t>HALLANDS LÄN</t>
        </is>
      </c>
      <c r="G232" t="inlineStr">
        <is>
          <t>HALMSTAD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46230</v>
      </c>
      <c r="F233" t="inlineStr">
        <is>
          <t>HALLANDS LÄN</t>
        </is>
      </c>
      <c r="G233" t="inlineStr">
        <is>
          <t>HALMSTAD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45316</v>
      </c>
      <c r="E234" s="1" t="n">
        <v>46230</v>
      </c>
      <c r="F234" t="inlineStr">
        <is>
          <t>HALLANDS LÄN</t>
        </is>
      </c>
      <c r="G234" t="inlineStr">
        <is>
          <t>HALMSTAD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46230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46230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46230</v>
      </c>
      <c r="F237" t="inlineStr">
        <is>
          <t>HALLANDS LÄN</t>
        </is>
      </c>
      <c r="G237" t="inlineStr">
        <is>
          <t>HALMSTAD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46230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46230</v>
      </c>
      <c r="F239" t="inlineStr">
        <is>
          <t>HALLANDS LÄN</t>
        </is>
      </c>
      <c r="G239" t="inlineStr">
        <is>
          <t>HALMSTAD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46230</v>
      </c>
      <c r="F240" t="inlineStr">
        <is>
          <t>HALLANDS LÄN</t>
        </is>
      </c>
      <c r="G240" t="inlineStr">
        <is>
          <t>HALMSTAD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46230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40741-2023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46230</v>
      </c>
      <c r="F242" t="inlineStr">
        <is>
          <t>HALLANDS LÄN</t>
        </is>
      </c>
      <c r="G242" t="inlineStr">
        <is>
          <t>HALMSTAD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46230</v>
      </c>
      <c r="F243" t="inlineStr">
        <is>
          <t>HALLANDS LÄN</t>
        </is>
      </c>
      <c r="G243" t="inlineStr">
        <is>
          <t>HALMSTAD</t>
        </is>
      </c>
      <c r="H243" t="inlineStr">
        <is>
          <t>Övriga statliga verk och myndigheter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46230</v>
      </c>
      <c r="F244" t="inlineStr">
        <is>
          <t>HALLANDS LÄN</t>
        </is>
      </c>
      <c r="G244" t="inlineStr">
        <is>
          <t>HALMSTAD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46230</v>
      </c>
      <c r="F245" t="inlineStr">
        <is>
          <t>HALLANDS LÄN</t>
        </is>
      </c>
      <c r="G245" t="inlineStr">
        <is>
          <t>HALMSTAD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44662</v>
      </c>
      <c r="E246" s="1" t="n">
        <v>46230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22070-2022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44711</v>
      </c>
      <c r="E247" s="1" t="n">
        <v>46230</v>
      </c>
      <c r="F247" t="inlineStr">
        <is>
          <t>HALLANDS LÄN</t>
        </is>
      </c>
      <c r="G247" t="inlineStr">
        <is>
          <t>HALMSTAD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46230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46230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45488</v>
      </c>
      <c r="E250" s="1" t="n">
        <v>46230</v>
      </c>
      <c r="F250" t="inlineStr">
        <is>
          <t>HALLANDS LÄN</t>
        </is>
      </c>
      <c r="G250" t="inlineStr">
        <is>
          <t>HALMSTAD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46230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46230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46230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46230</v>
      </c>
      <c r="F254" t="inlineStr">
        <is>
          <t>HALLANDS LÄN</t>
        </is>
      </c>
      <c r="G254" t="inlineStr">
        <is>
          <t>HALMSTAD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46230</v>
      </c>
      <c r="F255" t="inlineStr">
        <is>
          <t>HALLANDS LÄN</t>
        </is>
      </c>
      <c r="G255" t="inlineStr">
        <is>
          <t>HALMSTAD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46230</v>
      </c>
      <c r="F256" t="inlineStr">
        <is>
          <t>HALLANDS LÄN</t>
        </is>
      </c>
      <c r="G256" t="inlineStr">
        <is>
          <t>HALMSTAD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46230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46230</v>
      </c>
      <c r="F258" t="inlineStr">
        <is>
          <t>HALLANDS LÄN</t>
        </is>
      </c>
      <c r="G258" t="inlineStr">
        <is>
          <t>HALMSTAD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46230</v>
      </c>
      <c r="F259" t="inlineStr">
        <is>
          <t>HALLANDS LÄN</t>
        </is>
      </c>
      <c r="G259" t="inlineStr">
        <is>
          <t>HALMSTAD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46230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46230</v>
      </c>
      <c r="F261" t="inlineStr">
        <is>
          <t>HALLANDS LÄN</t>
        </is>
      </c>
      <c r="G261" t="inlineStr">
        <is>
          <t>HALMSTAD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58983-2024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46230</v>
      </c>
      <c r="F262" t="inlineStr">
        <is>
          <t>HALLANDS LÄN</t>
        </is>
      </c>
      <c r="G262" t="inlineStr">
        <is>
          <t>HALMSTAD</t>
        </is>
      </c>
      <c r="H262" t="inlineStr">
        <is>
          <t>Kommuner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46230</v>
      </c>
      <c r="F263" t="inlineStr">
        <is>
          <t>HALLANDS LÄN</t>
        </is>
      </c>
      <c r="G263" t="inlineStr">
        <is>
          <t>HALMSTAD</t>
        </is>
      </c>
      <c r="H263" t="inlineStr">
        <is>
          <t>Bergvik skog väst AB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46230</v>
      </c>
      <c r="F264" t="inlineStr">
        <is>
          <t>HALLANDS LÄN</t>
        </is>
      </c>
      <c r="G264" t="inlineStr">
        <is>
          <t>HALMSTAD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46230</v>
      </c>
      <c r="F265" t="inlineStr">
        <is>
          <t>HALLANDS LÄN</t>
        </is>
      </c>
      <c r="G265" t="inlineStr">
        <is>
          <t>HALMSTAD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46230</v>
      </c>
      <c r="F266" t="inlineStr">
        <is>
          <t>HALLANDS LÄN</t>
        </is>
      </c>
      <c r="G266" t="inlineStr">
        <is>
          <t>HALMSTAD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46230</v>
      </c>
      <c r="F267" t="inlineStr">
        <is>
          <t>HALLANDS LÄN</t>
        </is>
      </c>
      <c r="G267" t="inlineStr">
        <is>
          <t>HALMSTAD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46230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46230</v>
      </c>
      <c r="F269" t="inlineStr">
        <is>
          <t>HALLANDS LÄN</t>
        </is>
      </c>
      <c r="G269" t="inlineStr">
        <is>
          <t>HALMSTAD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46230</v>
      </c>
      <c r="F270" t="inlineStr">
        <is>
          <t>HALLANDS LÄN</t>
        </is>
      </c>
      <c r="G270" t="inlineStr">
        <is>
          <t>HALMSTAD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46230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46230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46230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46230</v>
      </c>
      <c r="F274" t="inlineStr">
        <is>
          <t>HALLANDS LÄN</t>
        </is>
      </c>
      <c r="G274" t="inlineStr">
        <is>
          <t>HALMSTAD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46230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46230</v>
      </c>
      <c r="F276" t="inlineStr">
        <is>
          <t>HALLANDS LÄN</t>
        </is>
      </c>
      <c r="G276" t="inlineStr">
        <is>
          <t>HALMSTAD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64136-2023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46230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46230</v>
      </c>
      <c r="F278" t="inlineStr">
        <is>
          <t>HALLANDS LÄN</t>
        </is>
      </c>
      <c r="G278" t="inlineStr">
        <is>
          <t>HALMSTAD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46230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46230</v>
      </c>
      <c r="F280" t="inlineStr">
        <is>
          <t>HALLANDS LÄN</t>
        </is>
      </c>
      <c r="G280" t="inlineStr">
        <is>
          <t>HALMSTAD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62766-2023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45268</v>
      </c>
      <c r="E281" s="1" t="n">
        <v>46230</v>
      </c>
      <c r="F281" t="inlineStr">
        <is>
          <t>HALLANDS LÄN</t>
        </is>
      </c>
      <c r="G281" t="inlineStr">
        <is>
          <t>HALMSTAD</t>
        </is>
      </c>
      <c r="H281" t="inlineStr">
        <is>
          <t>Sveaskog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46230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46230</v>
      </c>
      <c r="F283" t="inlineStr">
        <is>
          <t>HALLANDS LÄN</t>
        </is>
      </c>
      <c r="G283" t="inlineStr">
        <is>
          <t>HALMSTAD</t>
        </is>
      </c>
      <c r="H283" t="inlineStr">
        <is>
          <t>Kyrkan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45050</v>
      </c>
      <c r="E284" s="1" t="n">
        <v>46230</v>
      </c>
      <c r="F284" t="inlineStr">
        <is>
          <t>HALLANDS LÄN</t>
        </is>
      </c>
      <c r="G284" t="inlineStr">
        <is>
          <t>HALMSTAD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46230</v>
      </c>
      <c r="F285" t="inlineStr">
        <is>
          <t>HALLANDS LÄN</t>
        </is>
      </c>
      <c r="G285" t="inlineStr">
        <is>
          <t>HALMSTAD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46230</v>
      </c>
      <c r="F286" t="inlineStr">
        <is>
          <t>HALLANDS LÄN</t>
        </is>
      </c>
      <c r="G286" t="inlineStr">
        <is>
          <t>HALMSTAD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46230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46230</v>
      </c>
      <c r="F288" t="inlineStr">
        <is>
          <t>HALLANDS LÄN</t>
        </is>
      </c>
      <c r="G288" t="inlineStr">
        <is>
          <t>HALMSTAD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46230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46230</v>
      </c>
      <c r="F290" t="inlineStr">
        <is>
          <t>HALLANDS LÄN</t>
        </is>
      </c>
      <c r="G290" t="inlineStr">
        <is>
          <t>HALMSTAD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44628</v>
      </c>
      <c r="E291" s="1" t="n">
        <v>46230</v>
      </c>
      <c r="F291" t="inlineStr">
        <is>
          <t>HALLANDS LÄN</t>
        </is>
      </c>
      <c r="G291" t="inlineStr">
        <is>
          <t>HALMSTAD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46230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46230</v>
      </c>
      <c r="F293" t="inlineStr">
        <is>
          <t>HALLANDS LÄN</t>
        </is>
      </c>
      <c r="G293" t="inlineStr">
        <is>
          <t>HALMSTAD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46230</v>
      </c>
      <c r="F294" t="inlineStr">
        <is>
          <t>HALLANDS LÄN</t>
        </is>
      </c>
      <c r="G294" t="inlineStr">
        <is>
          <t>HALMSTAD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46230</v>
      </c>
      <c r="F295" t="inlineStr">
        <is>
          <t>HALLANDS LÄN</t>
        </is>
      </c>
      <c r="G295" t="inlineStr">
        <is>
          <t>HALMSTAD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46230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46230</v>
      </c>
      <c r="F297" t="inlineStr">
        <is>
          <t>HALLANDS LÄN</t>
        </is>
      </c>
      <c r="G297" t="inlineStr">
        <is>
          <t>HALMSTAD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46230</v>
      </c>
      <c r="F298" t="inlineStr">
        <is>
          <t>HALLANDS LÄN</t>
        </is>
      </c>
      <c r="G298" t="inlineStr">
        <is>
          <t>HALMSTAD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74038-2021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46230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45476</v>
      </c>
      <c r="E300" s="1" t="n">
        <v>46230</v>
      </c>
      <c r="F300" t="inlineStr">
        <is>
          <t>HALLANDS LÄN</t>
        </is>
      </c>
      <c r="G300" t="inlineStr">
        <is>
          <t>HALMSTAD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45476</v>
      </c>
      <c r="E301" s="1" t="n">
        <v>46230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46230</v>
      </c>
      <c r="F302" t="inlineStr">
        <is>
          <t>HALLANDS LÄN</t>
        </is>
      </c>
      <c r="G302" t="inlineStr">
        <is>
          <t>HALMSTAD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46230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46230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46230</v>
      </c>
      <c r="F305" t="inlineStr">
        <is>
          <t>HALLANDS LÄN</t>
        </is>
      </c>
      <c r="G305" t="inlineStr">
        <is>
          <t>HALMSTAD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50791-2023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45217</v>
      </c>
      <c r="E306" s="1" t="n">
        <v>46230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45348</v>
      </c>
      <c r="E307" s="1" t="n">
        <v>46230</v>
      </c>
      <c r="F307" t="inlineStr">
        <is>
          <t>HALLANDS LÄN</t>
        </is>
      </c>
      <c r="G307" t="inlineStr">
        <is>
          <t>HALMSTAD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46230</v>
      </c>
      <c r="F308" t="inlineStr">
        <is>
          <t>HALLANDS LÄN</t>
        </is>
      </c>
      <c r="G308" t="inlineStr">
        <is>
          <t>HALMSTAD</t>
        </is>
      </c>
      <c r="I308" t="n">
        <v>11.8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46230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46230</v>
      </c>
      <c r="F310" t="inlineStr">
        <is>
          <t>HALLANDS LÄN</t>
        </is>
      </c>
      <c r="G310" t="inlineStr">
        <is>
          <t>HALMSTAD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46230</v>
      </c>
      <c r="F311" t="inlineStr">
        <is>
          <t>HALLANDS LÄN</t>
        </is>
      </c>
      <c r="G311" t="inlineStr">
        <is>
          <t>HALMSTAD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46230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46230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46230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46230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66730-2021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44520</v>
      </c>
      <c r="E316" s="1" t="n">
        <v>46230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46230</v>
      </c>
      <c r="F317" t="inlineStr">
        <is>
          <t>HALLANDS LÄN</t>
        </is>
      </c>
      <c r="G317" t="inlineStr">
        <is>
          <t>HALMSTAD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46230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46230</v>
      </c>
      <c r="F319" t="inlineStr">
        <is>
          <t>HALLANDS LÄN</t>
        </is>
      </c>
      <c r="G319" t="inlineStr">
        <is>
          <t>HALMSTAD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63524-2025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46230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46230</v>
      </c>
      <c r="F321" t="inlineStr">
        <is>
          <t>HALLANDS LÄN</t>
        </is>
      </c>
      <c r="G321" t="inlineStr">
        <is>
          <t>HALMSTAD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44610</v>
      </c>
      <c r="E322" s="1" t="n">
        <v>46230</v>
      </c>
      <c r="F322" t="inlineStr">
        <is>
          <t>HALLANDS LÄN</t>
        </is>
      </c>
      <c r="G322" t="inlineStr">
        <is>
          <t>HALMSTAD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44753</v>
      </c>
      <c r="E323" s="1" t="n">
        <v>46230</v>
      </c>
      <c r="F323" t="inlineStr">
        <is>
          <t>HALLANDS LÄN</t>
        </is>
      </c>
      <c r="G323" t="inlineStr">
        <is>
          <t>HALMSTAD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46230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44721</v>
      </c>
      <c r="E325" s="1" t="n">
        <v>46230</v>
      </c>
      <c r="F325" t="inlineStr">
        <is>
          <t>HALLANDS LÄN</t>
        </is>
      </c>
      <c r="G325" t="inlineStr">
        <is>
          <t>HALMSTAD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44742</v>
      </c>
      <c r="E326" s="1" t="n">
        <v>46230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46230</v>
      </c>
      <c r="F327" t="inlineStr">
        <is>
          <t>HALLANDS LÄN</t>
        </is>
      </c>
      <c r="G327" t="inlineStr">
        <is>
          <t>HALMSTAD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46230</v>
      </c>
      <c r="F328" t="inlineStr">
        <is>
          <t>HALLANDS LÄN</t>
        </is>
      </c>
      <c r="G328" t="inlineStr">
        <is>
          <t>HALMSTAD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46230</v>
      </c>
      <c r="F329" t="inlineStr">
        <is>
          <t>HALLANDS LÄN</t>
        </is>
      </c>
      <c r="G329" t="inlineStr">
        <is>
          <t>HALMSTAD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46230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46230</v>
      </c>
      <c r="F331" t="inlineStr">
        <is>
          <t>HALLANDS LÄN</t>
        </is>
      </c>
      <c r="G331" t="inlineStr">
        <is>
          <t>HALMSTAD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46230</v>
      </c>
      <c r="F332" t="inlineStr">
        <is>
          <t>HALLANDS LÄN</t>
        </is>
      </c>
      <c r="G332" t="inlineStr">
        <is>
          <t>HALMSTAD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44802</v>
      </c>
      <c r="E333" s="1" t="n">
        <v>46230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46230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46230</v>
      </c>
      <c r="F335" t="inlineStr">
        <is>
          <t>HALLANDS LÄN</t>
        </is>
      </c>
      <c r="G335" t="inlineStr">
        <is>
          <t>HALMSTAD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44595</v>
      </c>
      <c r="E336" s="1" t="n">
        <v>46230</v>
      </c>
      <c r="F336" t="inlineStr">
        <is>
          <t>HALLANDS LÄN</t>
        </is>
      </c>
      <c r="G336" t="inlineStr">
        <is>
          <t>HALMSTAD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46230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46230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45126</v>
      </c>
      <c r="E339" s="1" t="n">
        <v>46230</v>
      </c>
      <c r="F339" t="inlineStr">
        <is>
          <t>HALLANDS LÄN</t>
        </is>
      </c>
      <c r="G339" t="inlineStr">
        <is>
          <t>HALMSTAD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46230</v>
      </c>
      <c r="F340" t="inlineStr">
        <is>
          <t>HALLANDS LÄN</t>
        </is>
      </c>
      <c r="G340" t="inlineStr">
        <is>
          <t>HALMSTAD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45259</v>
      </c>
      <c r="E341" s="1" t="n">
        <v>46230</v>
      </c>
      <c r="F341" t="inlineStr">
        <is>
          <t>HALLANDS LÄN</t>
        </is>
      </c>
      <c r="G341" t="inlineStr">
        <is>
          <t>HALMSTAD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46230</v>
      </c>
      <c r="F342" t="inlineStr">
        <is>
          <t>HALLANDS LÄN</t>
        </is>
      </c>
      <c r="G342" t="inlineStr">
        <is>
          <t>HALMSTAD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46230</v>
      </c>
      <c r="F343" t="inlineStr">
        <is>
          <t>HALLANDS LÄN</t>
        </is>
      </c>
      <c r="G343" t="inlineStr">
        <is>
          <t>HALMSTAD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46230</v>
      </c>
      <c r="F344" t="inlineStr">
        <is>
          <t>HALLANDS LÄN</t>
        </is>
      </c>
      <c r="G344" t="inlineStr">
        <is>
          <t>HALMSTAD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46230</v>
      </c>
      <c r="F345" t="inlineStr">
        <is>
          <t>HALLANDS LÄN</t>
        </is>
      </c>
      <c r="G345" t="inlineStr">
        <is>
          <t>HALMSTAD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44852</v>
      </c>
      <c r="E346" s="1" t="n">
        <v>46230</v>
      </c>
      <c r="F346" t="inlineStr">
        <is>
          <t>HALLANDS LÄN</t>
        </is>
      </c>
      <c r="G346" t="inlineStr">
        <is>
          <t>HALMSTAD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46230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46230</v>
      </c>
      <c r="F348" t="inlineStr">
        <is>
          <t>HALLANDS LÄN</t>
        </is>
      </c>
      <c r="G348" t="inlineStr">
        <is>
          <t>HALMSTAD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46230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46230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46230</v>
      </c>
      <c r="F351" t="inlineStr">
        <is>
          <t>HALLANDS LÄN</t>
        </is>
      </c>
      <c r="G351" t="inlineStr">
        <is>
          <t>HALMSTAD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46230</v>
      </c>
      <c r="F352" t="inlineStr">
        <is>
          <t>HALLANDS LÄN</t>
        </is>
      </c>
      <c r="G352" t="inlineStr">
        <is>
          <t>HALMSTAD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45485</v>
      </c>
      <c r="E353" s="1" t="n">
        <v>46230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46230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46230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44974</v>
      </c>
      <c r="E356" s="1" t="n">
        <v>46230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46230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46230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46230</v>
      </c>
      <c r="F359" t="inlineStr">
        <is>
          <t>HALLANDS LÄN</t>
        </is>
      </c>
      <c r="G359" t="inlineStr">
        <is>
          <t>HALMSTAD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46230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46230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46230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46230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44775</v>
      </c>
      <c r="E364" s="1" t="n">
        <v>46230</v>
      </c>
      <c r="F364" t="inlineStr">
        <is>
          <t>HALLANDS LÄN</t>
        </is>
      </c>
      <c r="G364" t="inlineStr">
        <is>
          <t>HALMSTAD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46230</v>
      </c>
      <c r="F365" t="inlineStr">
        <is>
          <t>HALLANDS LÄN</t>
        </is>
      </c>
      <c r="G365" t="inlineStr">
        <is>
          <t>HALMSTAD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44571</v>
      </c>
      <c r="E366" s="1" t="n">
        <v>46230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46230</v>
      </c>
      <c r="F367" t="inlineStr">
        <is>
          <t>HALLANDS LÄN</t>
        </is>
      </c>
      <c r="G367" t="inlineStr">
        <is>
          <t>HALMSTAD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46230</v>
      </c>
      <c r="F368" t="inlineStr">
        <is>
          <t>HALLANDS LÄN</t>
        </is>
      </c>
      <c r="G368" t="inlineStr">
        <is>
          <t>HALMSTAD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46230</v>
      </c>
      <c r="F369" t="inlineStr">
        <is>
          <t>HALLANDS LÄN</t>
        </is>
      </c>
      <c r="G369" t="inlineStr">
        <is>
          <t>HALMSTAD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46230</v>
      </c>
      <c r="F370" t="inlineStr">
        <is>
          <t>HALLANDS LÄN</t>
        </is>
      </c>
      <c r="G370" t="inlineStr">
        <is>
          <t>HALMSTAD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46230</v>
      </c>
      <c r="F371" t="inlineStr">
        <is>
          <t>HALLANDS LÄN</t>
        </is>
      </c>
      <c r="G371" t="inlineStr">
        <is>
          <t>HALMSTAD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46230</v>
      </c>
      <c r="F372" t="inlineStr">
        <is>
          <t>HALLANDS LÄN</t>
        </is>
      </c>
      <c r="G372" t="inlineStr">
        <is>
          <t>HALMSTAD</t>
        </is>
      </c>
      <c r="H372" t="inlineStr">
        <is>
          <t>Kommuner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46230</v>
      </c>
      <c r="F373" t="inlineStr">
        <is>
          <t>HALLANDS LÄN</t>
        </is>
      </c>
      <c r="G373" t="inlineStr">
        <is>
          <t>HALMSTAD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46230</v>
      </c>
      <c r="F374" t="inlineStr">
        <is>
          <t>HALLANDS LÄN</t>
        </is>
      </c>
      <c r="G374" t="inlineStr">
        <is>
          <t>HALMSTAD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46230</v>
      </c>
      <c r="F375" t="inlineStr">
        <is>
          <t>HALLANDS LÄN</t>
        </is>
      </c>
      <c r="G375" t="inlineStr">
        <is>
          <t>HALMSTAD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46230</v>
      </c>
      <c r="F376" t="inlineStr">
        <is>
          <t>HALLANDS LÄN</t>
        </is>
      </c>
      <c r="G376" t="inlineStr">
        <is>
          <t>HALMSTAD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46230</v>
      </c>
      <c r="F377" t="inlineStr">
        <is>
          <t>HALLANDS LÄN</t>
        </is>
      </c>
      <c r="G377" t="inlineStr">
        <is>
          <t>HALMSTAD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45156</v>
      </c>
      <c r="E378" s="1" t="n">
        <v>46230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46230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46230</v>
      </c>
      <c r="F380" t="inlineStr">
        <is>
          <t>HALLANDS LÄN</t>
        </is>
      </c>
      <c r="G380" t="inlineStr">
        <is>
          <t>HALMSTAD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46230</v>
      </c>
      <c r="F381" t="inlineStr">
        <is>
          <t>HALLANDS LÄN</t>
        </is>
      </c>
      <c r="G381" t="inlineStr">
        <is>
          <t>HALMSTAD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46230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46230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46230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46230</v>
      </c>
      <c r="F385" t="inlineStr">
        <is>
          <t>HALLANDS LÄN</t>
        </is>
      </c>
      <c r="G385" t="inlineStr">
        <is>
          <t>HALMSTAD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44938</v>
      </c>
      <c r="E386" s="1" t="n">
        <v>46230</v>
      </c>
      <c r="F386" t="inlineStr">
        <is>
          <t>HALLANDS LÄN</t>
        </is>
      </c>
      <c r="G386" t="inlineStr">
        <is>
          <t>HALMSTAD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13594-2023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45006</v>
      </c>
      <c r="E387" s="1" t="n">
        <v>46230</v>
      </c>
      <c r="F387" t="inlineStr">
        <is>
          <t>HALLANDS LÄN</t>
        </is>
      </c>
      <c r="G387" t="inlineStr">
        <is>
          <t>HALMSTAD</t>
        </is>
      </c>
      <c r="H387" t="inlineStr">
        <is>
          <t>Bergvik skog väst AB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46230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46230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46230</v>
      </c>
      <c r="F390" t="inlineStr">
        <is>
          <t>HALLANDS LÄN</t>
        </is>
      </c>
      <c r="G390" t="inlineStr">
        <is>
          <t>HALMSTAD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46230</v>
      </c>
      <c r="F391" t="inlineStr">
        <is>
          <t>HALLANDS LÄN</t>
        </is>
      </c>
      <c r="G391" t="inlineStr">
        <is>
          <t>HALMSTAD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46230</v>
      </c>
      <c r="F392" t="inlineStr">
        <is>
          <t>HALLANDS LÄN</t>
        </is>
      </c>
      <c r="G392" t="inlineStr">
        <is>
          <t>HALMSTAD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46230</v>
      </c>
      <c r="F393" t="inlineStr">
        <is>
          <t>HALLANDS LÄN</t>
        </is>
      </c>
      <c r="G393" t="inlineStr">
        <is>
          <t>HALMSTAD</t>
        </is>
      </c>
      <c r="I393" t="n">
        <v>8.4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46230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46173</v>
      </c>
      <c r="E395" s="1" t="n">
        <v>46230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46230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46230</v>
      </c>
      <c r="F397" t="inlineStr">
        <is>
          <t>HALLANDS LÄN</t>
        </is>
      </c>
      <c r="G397" t="inlineStr">
        <is>
          <t>HALMSTAD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46230</v>
      </c>
      <c r="F398" t="inlineStr">
        <is>
          <t>HALLANDS LÄN</t>
        </is>
      </c>
      <c r="G398" t="inlineStr">
        <is>
          <t>HALMSTAD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46230</v>
      </c>
      <c r="F399" t="inlineStr">
        <is>
          <t>HALLANDS LÄN</t>
        </is>
      </c>
      <c r="G399" t="inlineStr">
        <is>
          <t>HALMSTAD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46230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46173</v>
      </c>
      <c r="E401" s="1" t="n">
        <v>46230</v>
      </c>
      <c r="F401" t="inlineStr">
        <is>
          <t>HALLANDS LÄN</t>
        </is>
      </c>
      <c r="G401" t="inlineStr">
        <is>
          <t>HALMSTAD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45627</v>
      </c>
      <c r="E402" s="1" t="n">
        <v>46230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46230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46230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46230</v>
      </c>
      <c r="F405" t="inlineStr">
        <is>
          <t>HALLANDS LÄN</t>
        </is>
      </c>
      <c r="G405" t="inlineStr">
        <is>
          <t>HALMSTAD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46230</v>
      </c>
      <c r="F406" t="inlineStr">
        <is>
          <t>HALLANDS LÄN</t>
        </is>
      </c>
      <c r="G406" t="inlineStr">
        <is>
          <t>HALMSTAD</t>
        </is>
      </c>
      <c r="I406" t="n">
        <v>17.8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46230</v>
      </c>
      <c r="F407" t="inlineStr">
        <is>
          <t>HALLANDS LÄN</t>
        </is>
      </c>
      <c r="G407" t="inlineStr">
        <is>
          <t>HALMSTAD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46230</v>
      </c>
      <c r="F408" t="inlineStr">
        <is>
          <t>HALLANDS LÄN</t>
        </is>
      </c>
      <c r="G408" t="inlineStr">
        <is>
          <t>HALMSTAD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46230</v>
      </c>
      <c r="F409" t="inlineStr">
        <is>
          <t>HALLANDS LÄN</t>
        </is>
      </c>
      <c r="G409" t="inlineStr">
        <is>
          <t>HALMSTAD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45386</v>
      </c>
      <c r="E410" s="1" t="n">
        <v>46230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46230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46230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46230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44642</v>
      </c>
      <c r="E414" s="1" t="n">
        <v>46230</v>
      </c>
      <c r="F414" t="inlineStr">
        <is>
          <t>HALLANDS LÄN</t>
        </is>
      </c>
      <c r="G414" t="inlineStr">
        <is>
          <t>HALMSTAD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46230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44537</v>
      </c>
      <c r="E416" s="1" t="n">
        <v>46230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46230</v>
      </c>
      <c r="F417" t="inlineStr">
        <is>
          <t>HALLANDS LÄN</t>
        </is>
      </c>
      <c r="G417" t="inlineStr">
        <is>
          <t>HALMSTAD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46230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46230</v>
      </c>
      <c r="F419" t="inlineStr">
        <is>
          <t>HALLANDS LÄN</t>
        </is>
      </c>
      <c r="G419" t="inlineStr">
        <is>
          <t>HALMSTAD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46230</v>
      </c>
      <c r="F420" t="inlineStr">
        <is>
          <t>HALLANDS LÄN</t>
        </is>
      </c>
      <c r="G420" t="inlineStr">
        <is>
          <t>HALMSTAD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44461</v>
      </c>
      <c r="E421" s="1" t="n">
        <v>46230</v>
      </c>
      <c r="F421" t="inlineStr">
        <is>
          <t>HALLANDS LÄN</t>
        </is>
      </c>
      <c r="G421" t="inlineStr">
        <is>
          <t>HALMSTAD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47904-2024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45589</v>
      </c>
      <c r="E422" s="1" t="n">
        <v>46230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37161-2022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44806</v>
      </c>
      <c r="E423" s="1" t="n">
        <v>46230</v>
      </c>
      <c r="F423" t="inlineStr">
        <is>
          <t>HALLANDS LÄN</t>
        </is>
      </c>
      <c r="G423" t="inlineStr">
        <is>
          <t>HALMSTAD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46230</v>
      </c>
      <c r="F424" t="inlineStr">
        <is>
          <t>HALLANDS LÄN</t>
        </is>
      </c>
      <c r="G424" t="inlineStr">
        <is>
          <t>HALMSTAD</t>
        </is>
      </c>
      <c r="I424" t="n">
        <v>12.6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45435</v>
      </c>
      <c r="E425" s="1" t="n">
        <v>46230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46230</v>
      </c>
      <c r="F426" t="inlineStr">
        <is>
          <t>HALLANDS LÄN</t>
        </is>
      </c>
      <c r="G426" t="inlineStr">
        <is>
          <t>HALMSTAD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46230</v>
      </c>
      <c r="F427" t="inlineStr">
        <is>
          <t>HALLANDS LÄN</t>
        </is>
      </c>
      <c r="G427" t="inlineStr">
        <is>
          <t>HALMSTAD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46230</v>
      </c>
      <c r="F428" t="inlineStr">
        <is>
          <t>HALLANDS LÄN</t>
        </is>
      </c>
      <c r="G428" t="inlineStr">
        <is>
          <t>HALMSTAD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46230</v>
      </c>
      <c r="F429" t="inlineStr">
        <is>
          <t>HALLANDS LÄN</t>
        </is>
      </c>
      <c r="G429" t="inlineStr">
        <is>
          <t>HALMSTAD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46230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46230</v>
      </c>
      <c r="F431" t="inlineStr">
        <is>
          <t>HALLANDS LÄN</t>
        </is>
      </c>
      <c r="G431" t="inlineStr">
        <is>
          <t>HALMSTAD</t>
        </is>
      </c>
      <c r="H431" t="inlineStr">
        <is>
          <t>Kommuner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46230</v>
      </c>
      <c r="F432" t="inlineStr">
        <is>
          <t>HALLANDS LÄN</t>
        </is>
      </c>
      <c r="G432" t="inlineStr">
        <is>
          <t>HALMSTAD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46230</v>
      </c>
      <c r="F433" t="inlineStr">
        <is>
          <t>HALLANDS LÄN</t>
        </is>
      </c>
      <c r="G433" t="inlineStr">
        <is>
          <t>HALMSTAD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46230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44922</v>
      </c>
      <c r="E435" s="1" t="n">
        <v>46230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6947-2023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46230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46230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46230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40702-2023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46230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46230</v>
      </c>
      <c r="F440" t="inlineStr">
        <is>
          <t>HALLANDS LÄN</t>
        </is>
      </c>
      <c r="G440" t="inlineStr">
        <is>
          <t>HALMSTAD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46230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46230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46230</v>
      </c>
      <c r="F443" t="inlineStr">
        <is>
          <t>HALLANDS LÄN</t>
        </is>
      </c>
      <c r="G443" t="inlineStr">
        <is>
          <t>HALMSTAD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44466</v>
      </c>
      <c r="E444" s="1" t="n">
        <v>46230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46230</v>
      </c>
      <c r="F445" t="inlineStr">
        <is>
          <t>HALLANDS LÄN</t>
        </is>
      </c>
      <c r="G445" t="inlineStr">
        <is>
          <t>HALMSTAD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45632</v>
      </c>
      <c r="E446" s="1" t="n">
        <v>46230</v>
      </c>
      <c r="F446" t="inlineStr">
        <is>
          <t>HALLANDS LÄN</t>
        </is>
      </c>
      <c r="G446" t="inlineStr">
        <is>
          <t>HALMSTAD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46230</v>
      </c>
      <c r="F447" t="inlineStr">
        <is>
          <t>HALLANDS LÄN</t>
        </is>
      </c>
      <c r="G447" t="inlineStr">
        <is>
          <t>HALMSTAD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46230</v>
      </c>
      <c r="F448" t="inlineStr">
        <is>
          <t>HALLANDS LÄN</t>
        </is>
      </c>
      <c r="G448" t="inlineStr">
        <is>
          <t>HALMSTAD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45203</v>
      </c>
      <c r="E449" s="1" t="n">
        <v>46230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46230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46230</v>
      </c>
      <c r="F451" t="inlineStr">
        <is>
          <t>HALLANDS LÄN</t>
        </is>
      </c>
      <c r="G451" t="inlineStr">
        <is>
          <t>HALMSTAD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58080-2024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46230</v>
      </c>
      <c r="F452" t="inlineStr">
        <is>
          <t>HALLANDS LÄN</t>
        </is>
      </c>
      <c r="G452" t="inlineStr">
        <is>
          <t>HALMSTAD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45238</v>
      </c>
      <c r="E453" s="1" t="n">
        <v>46230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46230</v>
      </c>
      <c r="F454" t="inlineStr">
        <is>
          <t>HALLANDS LÄN</t>
        </is>
      </c>
      <c r="G454" t="inlineStr">
        <is>
          <t>HALMSTAD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44827</v>
      </c>
      <c r="E455" s="1" t="n">
        <v>46230</v>
      </c>
      <c r="F455" t="inlineStr">
        <is>
          <t>HALLANDS LÄN</t>
        </is>
      </c>
      <c r="G455" t="inlineStr">
        <is>
          <t>HALMSTAD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41786-2024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46230</v>
      </c>
      <c r="F456" t="inlineStr">
        <is>
          <t>HALLANDS LÄN</t>
        </is>
      </c>
      <c r="G456" t="inlineStr">
        <is>
          <t>HALMSTAD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45712</v>
      </c>
      <c r="E457" s="1" t="n">
        <v>46230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46230</v>
      </c>
      <c r="F458" t="inlineStr">
        <is>
          <t>HALLANDS LÄN</t>
        </is>
      </c>
      <c r="G458" t="inlineStr">
        <is>
          <t>HALMSTAD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45450</v>
      </c>
      <c r="E459" s="1" t="n">
        <v>46230</v>
      </c>
      <c r="F459" t="inlineStr">
        <is>
          <t>HALLANDS LÄN</t>
        </is>
      </c>
      <c r="G459" t="inlineStr">
        <is>
          <t>HALMSTAD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46230</v>
      </c>
      <c r="F460" t="inlineStr">
        <is>
          <t>HALLANDS LÄN</t>
        </is>
      </c>
      <c r="G460" t="inlineStr">
        <is>
          <t>HALMSTAD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45306</v>
      </c>
      <c r="E461" s="1" t="n">
        <v>46230</v>
      </c>
      <c r="F461" t="inlineStr">
        <is>
          <t>HALLANDS LÄN</t>
        </is>
      </c>
      <c r="G461" t="inlineStr">
        <is>
          <t>HALMSTAD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54114-2021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44470</v>
      </c>
      <c r="E462" s="1" t="n">
        <v>46230</v>
      </c>
      <c r="F462" t="inlineStr">
        <is>
          <t>HALLANDS LÄN</t>
        </is>
      </c>
      <c r="G462" t="inlineStr">
        <is>
          <t>HALMSTAD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46230</v>
      </c>
      <c r="F463" t="inlineStr">
        <is>
          <t>HALLANDS LÄN</t>
        </is>
      </c>
      <c r="G463" t="inlineStr">
        <is>
          <t>HALMSTAD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46230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46230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46230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44775</v>
      </c>
      <c r="E467" s="1" t="n">
        <v>46230</v>
      </c>
      <c r="F467" t="inlineStr">
        <is>
          <t>HALLANDS LÄN</t>
        </is>
      </c>
      <c r="G467" t="inlineStr">
        <is>
          <t>HALMSTAD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46230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46230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46230</v>
      </c>
      <c r="F470" t="inlineStr">
        <is>
          <t>HALLANDS LÄN</t>
        </is>
      </c>
      <c r="G470" t="inlineStr">
        <is>
          <t>HALMSTAD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46230</v>
      </c>
      <c r="F471" t="inlineStr">
        <is>
          <t>HALLANDS LÄN</t>
        </is>
      </c>
      <c r="G471" t="inlineStr">
        <is>
          <t>HALMSTAD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55006-2022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44886</v>
      </c>
      <c r="E472" s="1" t="n">
        <v>46230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45712</v>
      </c>
      <c r="E473" s="1" t="n">
        <v>46230</v>
      </c>
      <c r="F473" t="inlineStr">
        <is>
          <t>HALLANDS LÄN</t>
        </is>
      </c>
      <c r="G473" t="inlineStr">
        <is>
          <t>HALMSTAD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22710-2023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46230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46230</v>
      </c>
      <c r="F475" t="inlineStr">
        <is>
          <t>HALLANDS LÄN</t>
        </is>
      </c>
      <c r="G475" t="inlineStr">
        <is>
          <t>HALMSTAD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46754-2024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45583</v>
      </c>
      <c r="E476" s="1" t="n">
        <v>46230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40418-2024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45555</v>
      </c>
      <c r="E477" s="1" t="n">
        <v>46230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45747</v>
      </c>
      <c r="E478" s="1" t="n">
        <v>46230</v>
      </c>
      <c r="F478" t="inlineStr">
        <is>
          <t>HALLANDS LÄN</t>
        </is>
      </c>
      <c r="G478" t="inlineStr">
        <is>
          <t>HALMSTAD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45792</v>
      </c>
      <c r="E479" s="1" t="n">
        <v>46230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45694</v>
      </c>
      <c r="E480" s="1" t="n">
        <v>46230</v>
      </c>
      <c r="F480" t="inlineStr">
        <is>
          <t>HALLANDS LÄN</t>
        </is>
      </c>
      <c r="G480" t="inlineStr">
        <is>
          <t>HALMSTAD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44677</v>
      </c>
      <c r="E481" s="1" t="n">
        <v>46230</v>
      </c>
      <c r="F481" t="inlineStr">
        <is>
          <t>HALLANDS LÄN</t>
        </is>
      </c>
      <c r="G481" t="inlineStr">
        <is>
          <t>HALMSTAD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45226</v>
      </c>
      <c r="E482" s="1" t="n">
        <v>46230</v>
      </c>
      <c r="F482" t="inlineStr">
        <is>
          <t>HALLANDS LÄN</t>
        </is>
      </c>
      <c r="G482" t="inlineStr">
        <is>
          <t>HALMSTAD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46230</v>
      </c>
      <c r="F483" t="inlineStr">
        <is>
          <t>HALLANDS LÄN</t>
        </is>
      </c>
      <c r="G483" t="inlineStr">
        <is>
          <t>HALMSTAD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46230</v>
      </c>
      <c r="F484" t="inlineStr">
        <is>
          <t>HALLANDS LÄN</t>
        </is>
      </c>
      <c r="G484" t="inlineStr">
        <is>
          <t>HALMSTAD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46230</v>
      </c>
      <c r="F485" t="inlineStr">
        <is>
          <t>HALLANDS LÄN</t>
        </is>
      </c>
      <c r="G485" t="inlineStr">
        <is>
          <t>HALMSTAD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46230</v>
      </c>
      <c r="F486" t="inlineStr">
        <is>
          <t>HALLANDS LÄN</t>
        </is>
      </c>
      <c r="G486" t="inlineStr">
        <is>
          <t>HALMSTAD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56683-2024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45627</v>
      </c>
      <c r="E487" s="1" t="n">
        <v>46230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45735</v>
      </c>
      <c r="E488" s="1" t="n">
        <v>46230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45330</v>
      </c>
      <c r="E489" s="1" t="n">
        <v>46230</v>
      </c>
      <c r="F489" t="inlineStr">
        <is>
          <t>HALLANDS LÄN</t>
        </is>
      </c>
      <c r="G489" t="inlineStr">
        <is>
          <t>HALMSTAD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45359</v>
      </c>
      <c r="E490" s="1" t="n">
        <v>46230</v>
      </c>
      <c r="F490" t="inlineStr">
        <is>
          <t>HALLANDS LÄN</t>
        </is>
      </c>
      <c r="G490" t="inlineStr">
        <is>
          <t>HALMSTAD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46230</v>
      </c>
      <c r="F491" t="inlineStr">
        <is>
          <t>HALLANDS LÄN</t>
        </is>
      </c>
      <c r="G491" t="inlineStr">
        <is>
          <t>HALMSTAD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45642</v>
      </c>
      <c r="E492" s="1" t="n">
        <v>46230</v>
      </c>
      <c r="F492" t="inlineStr">
        <is>
          <t>HALLANDS LÄN</t>
        </is>
      </c>
      <c r="G492" t="inlineStr">
        <is>
          <t>HALMSTAD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45677</v>
      </c>
      <c r="E493" s="1" t="n">
        <v>46230</v>
      </c>
      <c r="F493" t="inlineStr">
        <is>
          <t>HALLANDS LÄN</t>
        </is>
      </c>
      <c r="G493" t="inlineStr">
        <is>
          <t>HALMSTAD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45824</v>
      </c>
      <c r="E494" s="1" t="n">
        <v>46230</v>
      </c>
      <c r="F494" t="inlineStr">
        <is>
          <t>HALLANDS LÄN</t>
        </is>
      </c>
      <c r="G494" t="inlineStr">
        <is>
          <t>HALMSTAD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46230</v>
      </c>
      <c r="F495" t="inlineStr">
        <is>
          <t>HALLANDS LÄN</t>
        </is>
      </c>
      <c r="G495" t="inlineStr">
        <is>
          <t>HALMSTAD</t>
        </is>
      </c>
      <c r="H495" t="inlineStr">
        <is>
          <t>Bergvik skog väst AB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46230</v>
      </c>
      <c r="F496" t="inlineStr">
        <is>
          <t>HALLANDS LÄN</t>
        </is>
      </c>
      <c r="G496" t="inlineStr">
        <is>
          <t>HALMSTAD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46230</v>
      </c>
      <c r="F497" t="inlineStr">
        <is>
          <t>HALLANDS LÄN</t>
        </is>
      </c>
      <c r="G497" t="inlineStr">
        <is>
          <t>HALMSTAD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45831</v>
      </c>
      <c r="E498" s="1" t="n">
        <v>46230</v>
      </c>
      <c r="F498" t="inlineStr">
        <is>
          <t>HALLANDS LÄN</t>
        </is>
      </c>
      <c r="G498" t="inlineStr">
        <is>
          <t>HALMSTAD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46230</v>
      </c>
      <c r="F499" t="inlineStr">
        <is>
          <t>HALLANDS LÄN</t>
        </is>
      </c>
      <c r="G499" t="inlineStr">
        <is>
          <t>HALMSTAD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46230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45841</v>
      </c>
      <c r="E501" s="1" t="n">
        <v>46230</v>
      </c>
      <c r="F501" t="inlineStr">
        <is>
          <t>HALLANDS LÄN</t>
        </is>
      </c>
      <c r="G501" t="inlineStr">
        <is>
          <t>HALMSTAD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45841</v>
      </c>
      <c r="E502" s="1" t="n">
        <v>46230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46230</v>
      </c>
      <c r="F503" t="inlineStr">
        <is>
          <t>HALLANDS LÄN</t>
        </is>
      </c>
      <c r="G503" t="inlineStr">
        <is>
          <t>HALMSTAD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23785-2025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45793</v>
      </c>
      <c r="E504" s="1" t="n">
        <v>46230</v>
      </c>
      <c r="F504" t="inlineStr">
        <is>
          <t>HALLANDS LÄN</t>
        </is>
      </c>
      <c r="G504" t="inlineStr">
        <is>
          <t>HALMSTAD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46230</v>
      </c>
      <c r="F505" t="inlineStr">
        <is>
          <t>HALLANDS LÄN</t>
        </is>
      </c>
      <c r="G505" t="inlineStr">
        <is>
          <t>HALMSTAD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46230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35362-2025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45854</v>
      </c>
      <c r="E507" s="1" t="n">
        <v>46230</v>
      </c>
      <c r="F507" t="inlineStr">
        <is>
          <t>HALLANDS LÄN</t>
        </is>
      </c>
      <c r="G507" t="inlineStr">
        <is>
          <t>HALMSTAD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45856</v>
      </c>
      <c r="E508" s="1" t="n">
        <v>46230</v>
      </c>
      <c r="F508" t="inlineStr">
        <is>
          <t>HALLANDS LÄN</t>
        </is>
      </c>
      <c r="G508" t="inlineStr">
        <is>
          <t>HALMSTAD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45750</v>
      </c>
      <c r="E509" s="1" t="n">
        <v>46230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14521-2025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45741</v>
      </c>
      <c r="E510" s="1" t="n">
        <v>46230</v>
      </c>
      <c r="F510" t="inlineStr">
        <is>
          <t>HALLANDS LÄN</t>
        </is>
      </c>
      <c r="G510" t="inlineStr">
        <is>
          <t>HALMSTAD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45493</v>
      </c>
      <c r="E511" s="1" t="n">
        <v>46230</v>
      </c>
      <c r="F511" t="inlineStr">
        <is>
          <t>HALLANDS LÄN</t>
        </is>
      </c>
      <c r="G511" t="inlineStr">
        <is>
          <t>HALMSTAD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45172</v>
      </c>
      <c r="E512" s="1" t="n">
        <v>46230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46230</v>
      </c>
      <c r="F513" t="inlineStr">
        <is>
          <t>HALLANDS LÄN</t>
        </is>
      </c>
      <c r="G513" t="inlineStr">
        <is>
          <t>HALMSTAD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61783-2022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44917</v>
      </c>
      <c r="E514" s="1" t="n">
        <v>46230</v>
      </c>
      <c r="F514" t="inlineStr">
        <is>
          <t>HALLANDS LÄN</t>
        </is>
      </c>
      <c r="G514" t="inlineStr">
        <is>
          <t>HALMSTAD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46230</v>
      </c>
      <c r="F515" t="inlineStr">
        <is>
          <t>HALLANDS LÄN</t>
        </is>
      </c>
      <c r="G515" t="inlineStr">
        <is>
          <t>HALMSTAD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45000</v>
      </c>
      <c r="E516" s="1" t="n">
        <v>46230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61778-2022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46230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45736</v>
      </c>
      <c r="E518" s="1" t="n">
        <v>46230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53126-2023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45229</v>
      </c>
      <c r="E519" s="1" t="n">
        <v>46230</v>
      </c>
      <c r="F519" t="inlineStr">
        <is>
          <t>HALLANDS LÄN</t>
        </is>
      </c>
      <c r="G519" t="inlineStr">
        <is>
          <t>HALMSTAD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46230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46230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46230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46230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46230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46230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3049-2024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45516</v>
      </c>
      <c r="E526" s="1" t="n">
        <v>46230</v>
      </c>
      <c r="F526" t="inlineStr">
        <is>
          <t>HALLANDS LÄN</t>
        </is>
      </c>
      <c r="G526" t="inlineStr">
        <is>
          <t>HALMSTAD</t>
        </is>
      </c>
      <c r="I526" t="n">
        <v>13.9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46230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46230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46230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46230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46230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46230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46230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2026-07-27T01:53:16Z</dcterms:created>
  <dcterms:modified xmlns:dcterms="http://purl.org/dc/terms/" xmlns:xsi="http://www.w3.org/2001/XMLSchema-instance" xsi:type="dcterms:W3CDTF">2026-07-27T01:53:17Z</dcterms:modified>
</cp:coreProperties>
</file>
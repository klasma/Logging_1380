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46021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46021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46021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46021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46021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46021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46021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46021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46021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46021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46021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46021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46021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46021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18427-2023</t>
        </is>
      </c>
      <c r="B16" s="1" t="n">
        <v>45042.46042824074</v>
      </c>
      <c r="C16" s="1" t="n">
        <v>46021</v>
      </c>
      <c r="D16" t="inlineStr">
        <is>
          <t>HALLANDS LÄN</t>
        </is>
      </c>
      <c r="E16" t="inlineStr">
        <is>
          <t>HALMSTAD</t>
        </is>
      </c>
      <c r="G16" t="n">
        <v>18.2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Törnskata</t>
        </is>
      </c>
      <c r="S16">
        <f>HYPERLINK("https://klasma.github.io/Logging_1380/artfynd/A 18427-2023 artfynd.xlsx", "A 18427-2023")</f>
        <v/>
      </c>
      <c r="T16">
        <f>HYPERLINK("https://klasma.github.io/Logging_1380/kartor/A 18427-2023 karta.png", "A 18427-2023")</f>
        <v/>
      </c>
      <c r="V16">
        <f>HYPERLINK("https://klasma.github.io/Logging_1380/klagomål/A 18427-2023 FSC-klagomål.docx", "A 18427-2023")</f>
        <v/>
      </c>
      <c r="W16">
        <f>HYPERLINK("https://klasma.github.io/Logging_1380/klagomålsmail/A 18427-2023 FSC-klagomål mail.docx", "A 18427-2023")</f>
        <v/>
      </c>
      <c r="X16">
        <f>HYPERLINK("https://klasma.github.io/Logging_1380/tillsyn/A 18427-2023 tillsynsbegäran.docx", "A 18427-2023")</f>
        <v/>
      </c>
      <c r="Y16">
        <f>HYPERLINK("https://klasma.github.io/Logging_1380/tillsynsmail/A 18427-2023 tillsynsbegäran mail.docx", "A 18427-2023")</f>
        <v/>
      </c>
      <c r="Z16">
        <f>HYPERLINK("https://klasma.github.io/Logging_1380/fåglar/A 18427-2023 prioriterade fågelarter.docx", "A 18427-2023")</f>
        <v/>
      </c>
    </row>
    <row r="17" ht="15" customHeight="1">
      <c r="A17" t="inlineStr">
        <is>
          <t>A 17350-2021</t>
        </is>
      </c>
      <c r="B17" s="1" t="n">
        <v>44298.77184027778</v>
      </c>
      <c r="C17" s="1" t="n">
        <v>46021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HYPERLINK("https://klasma.github.io/Logging_1380/artfynd/A 17350-2021 artfynd.xlsx", "A 17350-2021")</f>
        <v/>
      </c>
      <c r="T17">
        <f>HYPERLINK("https://klasma.github.io/Logging_1380/kartor/A 17350-2021 karta.png", "A 17350-2021")</f>
        <v/>
      </c>
      <c r="V17">
        <f>HYPERLINK("https://klasma.github.io/Logging_1380/klagomål/A 17350-2021 FSC-klagomål.docx", "A 17350-2021")</f>
        <v/>
      </c>
      <c r="W17">
        <f>HYPERLINK("https://klasma.github.io/Logging_1380/klagomålsmail/A 17350-2021 FSC-klagomål mail.docx", "A 17350-2021")</f>
        <v/>
      </c>
      <c r="X17">
        <f>HYPERLINK("https://klasma.github.io/Logging_1380/tillsyn/A 17350-2021 tillsynsbegäran.docx", "A 17350-2021")</f>
        <v/>
      </c>
      <c r="Y17">
        <f>HYPERLINK("https://klasma.github.io/Logging_1380/tillsynsmail/A 17350-2021 tillsynsbegäran mail.docx", "A 17350-2021")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46021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40600-2023</t>
        </is>
      </c>
      <c r="B19" s="1" t="n">
        <v>45168</v>
      </c>
      <c r="C19" s="1" t="n">
        <v>46021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40600-2023 artfynd.xlsx", "A 40600-2023")</f>
        <v/>
      </c>
      <c r="T19">
        <f>HYPERLINK("https://klasma.github.io/Logging_1380/kartor/A 40600-2023 karta.png", "A 40600-2023")</f>
        <v/>
      </c>
      <c r="V19">
        <f>HYPERLINK("https://klasma.github.io/Logging_1380/klagomål/A 40600-2023 FSC-klagomål.docx", "A 40600-2023")</f>
        <v/>
      </c>
      <c r="W19">
        <f>HYPERLINK("https://klasma.github.io/Logging_1380/klagomålsmail/A 40600-2023 FSC-klagomål mail.docx", "A 40600-2023")</f>
        <v/>
      </c>
      <c r="X19">
        <f>HYPERLINK("https://klasma.github.io/Logging_1380/tillsyn/A 40600-2023 tillsynsbegäran.docx", "A 40600-2023")</f>
        <v/>
      </c>
      <c r="Y19">
        <f>HYPERLINK("https://klasma.github.io/Logging_1380/tillsynsmail/A 40600-2023 tillsynsbegäran mail.docx", "A 40600-2023")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46021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40589-2023</t>
        </is>
      </c>
      <c r="B21" s="1" t="n">
        <v>45168</v>
      </c>
      <c r="C21" s="1" t="n">
        <v>46021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HYPERLINK("https://klasma.github.io/Logging_1380/artfynd/A 40589-2023 artfynd.xlsx", "A 40589-2023")</f>
        <v/>
      </c>
      <c r="T21">
        <f>HYPERLINK("https://klasma.github.io/Logging_1380/kartor/A 40589-2023 karta.png", "A 40589-2023")</f>
        <v/>
      </c>
      <c r="V21">
        <f>HYPERLINK("https://klasma.github.io/Logging_1380/klagomål/A 40589-2023 FSC-klagomål.docx", "A 40589-2023")</f>
        <v/>
      </c>
      <c r="W21">
        <f>HYPERLINK("https://klasma.github.io/Logging_1380/klagomålsmail/A 40589-2023 FSC-klagomål mail.docx", "A 40589-2023")</f>
        <v/>
      </c>
      <c r="X21">
        <f>HYPERLINK("https://klasma.github.io/Logging_1380/tillsyn/A 40589-2023 tillsynsbegäran.docx", "A 40589-2023")</f>
        <v/>
      </c>
      <c r="Y21">
        <f>HYPERLINK("https://klasma.github.io/Logging_1380/tillsynsmail/A 40589-2023 tillsynsbegäran mail.docx", "A 40589-2023")</f>
        <v/>
      </c>
      <c r="Z21">
        <f>HYPERLINK("https://klasma.github.io/Logging_1380/fåglar/A 40589-2023 prioriterade fågelarter.docx", "A 40589-2023")</f>
        <v/>
      </c>
    </row>
    <row r="22" ht="15" customHeight="1">
      <c r="A22" t="inlineStr">
        <is>
          <t>A 22842-2022</t>
        </is>
      </c>
      <c r="B22" s="1" t="n">
        <v>44715</v>
      </c>
      <c r="C22" s="1" t="n">
        <v>46021</v>
      </c>
      <c r="D22" t="inlineStr">
        <is>
          <t>HALLANDS LÄN</t>
        </is>
      </c>
      <c r="E22" t="inlineStr">
        <is>
          <t>HALMSTAD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22842-2022 artfynd.xlsx", "A 22842-2022")</f>
        <v/>
      </c>
      <c r="T22">
        <f>HYPERLINK("https://klasma.github.io/Logging_1380/kartor/A 22842-2022 karta.png", "A 22842-2022")</f>
        <v/>
      </c>
      <c r="V22">
        <f>HYPERLINK("https://klasma.github.io/Logging_1380/klagomål/A 22842-2022 FSC-klagomål.docx", "A 22842-2022")</f>
        <v/>
      </c>
      <c r="W22">
        <f>HYPERLINK("https://klasma.github.io/Logging_1380/klagomålsmail/A 22842-2022 FSC-klagomål mail.docx", "A 22842-2022")</f>
        <v/>
      </c>
      <c r="X22">
        <f>HYPERLINK("https://klasma.github.io/Logging_1380/tillsyn/A 22842-2022 tillsynsbegäran.docx", "A 22842-2022")</f>
        <v/>
      </c>
      <c r="Y22">
        <f>HYPERLINK("https://klasma.github.io/Logging_1380/tillsynsmail/A 22842-2022 tillsynsbegäran mail.docx", "A 22842-2022")</f>
        <v/>
      </c>
      <c r="Z22">
        <f>HYPERLINK("https://klasma.github.io/Logging_1380/fåglar/A 22842-2022 prioriterade fågelarter.docx", "A 22842-2022")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46021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46021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46021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46021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46021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40531-2023</t>
        </is>
      </c>
      <c r="B28" s="1" t="n">
        <v>45168</v>
      </c>
      <c r="C28" s="1" t="n">
        <v>46021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40531-2023 artfynd.xlsx", "A 40531-2023")</f>
        <v/>
      </c>
      <c r="T28">
        <f>HYPERLINK("https://klasma.github.io/Logging_1380/kartor/A 40531-2023 karta.png", "A 40531-2023")</f>
        <v/>
      </c>
      <c r="V28">
        <f>HYPERLINK("https://klasma.github.io/Logging_1380/klagomål/A 40531-2023 FSC-klagomål.docx", "A 40531-2023")</f>
        <v/>
      </c>
      <c r="W28">
        <f>HYPERLINK("https://klasma.github.io/Logging_1380/klagomålsmail/A 40531-2023 FSC-klagomål mail.docx", "A 40531-2023")</f>
        <v/>
      </c>
      <c r="X28">
        <f>HYPERLINK("https://klasma.github.io/Logging_1380/tillsyn/A 40531-2023 tillsynsbegäran.docx", "A 40531-2023")</f>
        <v/>
      </c>
      <c r="Y28">
        <f>HYPERLINK("https://klasma.github.io/Logging_1380/tillsynsmail/A 40531-2023 tillsynsbegäran mail.docx", "A 40531-2023")</f>
        <v/>
      </c>
      <c r="Z28">
        <f>HYPERLINK("https://klasma.github.io/Logging_1380/fåglar/A 40531-2023 prioriterade fågelarter.docx", "A 40531-2023")</f>
        <v/>
      </c>
    </row>
    <row r="29" ht="15" customHeight="1">
      <c r="A29" t="inlineStr">
        <is>
          <t>A 58671-2025</t>
        </is>
      </c>
      <c r="B29" s="1" t="n">
        <v>45986</v>
      </c>
      <c r="C29" s="1" t="n">
        <v>46021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HYPERLINK("https://klasma.github.io/Logging_1380/artfynd/A 58671-2025 artfynd.xlsx", "A 58671-2025")</f>
        <v/>
      </c>
      <c r="T29">
        <f>HYPERLINK("https://klasma.github.io/Logging_1380/kartor/A 58671-2025 karta.png", "A 58671-2025")</f>
        <v/>
      </c>
      <c r="V29">
        <f>HYPERLINK("https://klasma.github.io/Logging_1380/klagomål/A 58671-2025 FSC-klagomål.docx", "A 58671-2025")</f>
        <v/>
      </c>
      <c r="W29">
        <f>HYPERLINK("https://klasma.github.io/Logging_1380/klagomålsmail/A 58671-2025 FSC-klagomål mail.docx", "A 58671-2025")</f>
        <v/>
      </c>
      <c r="X29">
        <f>HYPERLINK("https://klasma.github.io/Logging_1380/tillsyn/A 58671-2025 tillsynsbegäran.docx", "A 58671-2025")</f>
        <v/>
      </c>
      <c r="Y29">
        <f>HYPERLINK("https://klasma.github.io/Logging_1380/tillsynsmail/A 58671-2025 tillsynsbegäran mail.docx", "A 58671-2025")</f>
        <v/>
      </c>
    </row>
    <row r="30" ht="15" customHeight="1">
      <c r="A30" t="inlineStr">
        <is>
          <t>A 59255-2025</t>
        </is>
      </c>
      <c r="B30" s="1" t="n">
        <v>45988.65354166667</v>
      </c>
      <c r="C30" s="1" t="n">
        <v>46021</v>
      </c>
      <c r="D30" t="inlineStr">
        <is>
          <t>HALLANDS LÄN</t>
        </is>
      </c>
      <c r="E30" t="inlineStr">
        <is>
          <t>HALMSTAD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59255-2025 artfynd.xlsx", "A 59255-2025")</f>
        <v/>
      </c>
      <c r="T30">
        <f>HYPERLINK("https://klasma.github.io/Logging_1380/kartor/A 59255-2025 karta.png", "A 59255-2025")</f>
        <v/>
      </c>
      <c r="V30">
        <f>HYPERLINK("https://klasma.github.io/Logging_1380/klagomål/A 59255-2025 FSC-klagomål.docx", "A 59255-2025")</f>
        <v/>
      </c>
      <c r="W30">
        <f>HYPERLINK("https://klasma.github.io/Logging_1380/klagomålsmail/A 59255-2025 FSC-klagomål mail.docx", "A 59255-2025")</f>
        <v/>
      </c>
      <c r="X30">
        <f>HYPERLINK("https://klasma.github.io/Logging_1380/tillsyn/A 59255-2025 tillsynsbegäran.docx", "A 59255-2025")</f>
        <v/>
      </c>
      <c r="Y30">
        <f>HYPERLINK("https://klasma.github.io/Logging_1380/tillsynsmail/A 59255-2025 tillsynsbegäran mail.docx", "A 59255-2025")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46021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32822-2025</t>
        </is>
      </c>
      <c r="B32" s="1" t="n">
        <v>45839</v>
      </c>
      <c r="C32" s="1" t="n">
        <v>46021</v>
      </c>
      <c r="D32" t="inlineStr">
        <is>
          <t>HALLANDS LÄN</t>
        </is>
      </c>
      <c r="E32" t="inlineStr">
        <is>
          <t>HALMSTAD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HYPERLINK("https://klasma.github.io/Logging_1380/artfynd/A 32822-2025 artfynd.xlsx", "A 32822-2025")</f>
        <v/>
      </c>
      <c r="T32">
        <f>HYPERLINK("https://klasma.github.io/Logging_1380/kartor/A 32822-2025 karta.png", "A 32822-2025")</f>
        <v/>
      </c>
      <c r="V32">
        <f>HYPERLINK("https://klasma.github.io/Logging_1380/klagomål/A 32822-2025 FSC-klagomål.docx", "A 32822-2025")</f>
        <v/>
      </c>
      <c r="W32">
        <f>HYPERLINK("https://klasma.github.io/Logging_1380/klagomålsmail/A 32822-2025 FSC-klagomål mail.docx", "A 32822-2025")</f>
        <v/>
      </c>
      <c r="X32">
        <f>HYPERLINK("https://klasma.github.io/Logging_1380/tillsyn/A 32822-2025 tillsynsbegäran.docx", "A 32822-2025")</f>
        <v/>
      </c>
      <c r="Y32">
        <f>HYPERLINK("https://klasma.github.io/Logging_1380/tillsynsmail/A 32822-2025 tillsynsbegäran mail.docx", "A 32822-2025")</f>
        <v/>
      </c>
    </row>
    <row r="33" ht="15" customHeight="1">
      <c r="A33" t="inlineStr">
        <is>
          <t>A 44937-2022</t>
        </is>
      </c>
      <c r="B33" s="1" t="n">
        <v>44840</v>
      </c>
      <c r="C33" s="1" t="n">
        <v>46021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HYPERLINK("https://klasma.github.io/Logging_1380/artfynd/A 44937-2022 artfynd.xlsx", "A 44937-2022")</f>
        <v/>
      </c>
      <c r="T33">
        <f>HYPERLINK("https://klasma.github.io/Logging_1380/kartor/A 44937-2022 karta.png", "A 44937-2022")</f>
        <v/>
      </c>
      <c r="V33">
        <f>HYPERLINK("https://klasma.github.io/Logging_1380/klagomål/A 44937-2022 FSC-klagomål.docx", "A 44937-2022")</f>
        <v/>
      </c>
      <c r="W33">
        <f>HYPERLINK("https://klasma.github.io/Logging_1380/klagomålsmail/A 44937-2022 FSC-klagomål mail.docx", "A 44937-2022")</f>
        <v/>
      </c>
      <c r="X33">
        <f>HYPERLINK("https://klasma.github.io/Logging_1380/tillsyn/A 44937-2022 tillsynsbegäran.docx", "A 44937-2022")</f>
        <v/>
      </c>
      <c r="Y33">
        <f>HYPERLINK("https://klasma.github.io/Logging_1380/tillsynsmail/A 44937-2022 tillsynsbegäran mail.docx", "A 44937-2022")</f>
        <v/>
      </c>
    </row>
    <row r="34" ht="15" customHeight="1">
      <c r="A34" t="inlineStr">
        <is>
          <t>A 37137-2025</t>
        </is>
      </c>
      <c r="B34" s="1" t="n">
        <v>45874</v>
      </c>
      <c r="C34" s="1" t="n">
        <v>46021</v>
      </c>
      <c r="D34" t="inlineStr">
        <is>
          <t>HALLANDS LÄN</t>
        </is>
      </c>
      <c r="E34" t="inlineStr">
        <is>
          <t>HALMSTAD</t>
        </is>
      </c>
      <c r="G34" t="n">
        <v>21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37137-2025 artfynd.xlsx", "A 37137-2025")</f>
        <v/>
      </c>
      <c r="T34">
        <f>HYPERLINK("https://klasma.github.io/Logging_1380/kartor/A 37137-2025 karta.png", "A 37137-2025")</f>
        <v/>
      </c>
      <c r="V34">
        <f>HYPERLINK("https://klasma.github.io/Logging_1380/klagomål/A 37137-2025 FSC-klagomål.docx", "A 37137-2025")</f>
        <v/>
      </c>
      <c r="W34">
        <f>HYPERLINK("https://klasma.github.io/Logging_1380/klagomålsmail/A 37137-2025 FSC-klagomål mail.docx", "A 37137-2025")</f>
        <v/>
      </c>
      <c r="X34">
        <f>HYPERLINK("https://klasma.github.io/Logging_1380/tillsyn/A 37137-2025 tillsynsbegäran.docx", "A 37137-2025")</f>
        <v/>
      </c>
      <c r="Y34">
        <f>HYPERLINK("https://klasma.github.io/Logging_1380/tillsynsmail/A 37137-2025 tillsynsbegäran mail.docx", "A 37137-2025")</f>
        <v/>
      </c>
    </row>
    <row r="35" ht="15" customHeight="1">
      <c r="A35" t="inlineStr">
        <is>
          <t>A 5240-2025</t>
        </is>
      </c>
      <c r="B35" s="1" t="n">
        <v>45692</v>
      </c>
      <c r="C35" s="1" t="n">
        <v>46021</v>
      </c>
      <c r="D35" t="inlineStr">
        <is>
          <t>HALLANDS LÄN</t>
        </is>
      </c>
      <c r="E35" t="inlineStr">
        <is>
          <t>HALMSTAD</t>
        </is>
      </c>
      <c r="G35" t="n">
        <v>8.300000000000001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Mussellav</t>
        </is>
      </c>
      <c r="S35">
        <f>HYPERLINK("https://klasma.github.io/Logging_1380/artfynd/A 5240-2025 artfynd.xlsx", "A 5240-2025")</f>
        <v/>
      </c>
      <c r="T35">
        <f>HYPERLINK("https://klasma.github.io/Logging_1380/kartor/A 5240-2025 karta.png", "A 5240-2025")</f>
        <v/>
      </c>
      <c r="V35">
        <f>HYPERLINK("https://klasma.github.io/Logging_1380/klagomål/A 5240-2025 FSC-klagomål.docx", "A 5240-2025")</f>
        <v/>
      </c>
      <c r="W35">
        <f>HYPERLINK("https://klasma.github.io/Logging_1380/klagomålsmail/A 5240-2025 FSC-klagomål mail.docx", "A 5240-2025")</f>
        <v/>
      </c>
      <c r="X35">
        <f>HYPERLINK("https://klasma.github.io/Logging_1380/tillsyn/A 5240-2025 tillsynsbegäran.docx", "A 5240-2025")</f>
        <v/>
      </c>
      <c r="Y35">
        <f>HYPERLINK("https://klasma.github.io/Logging_1380/tillsynsmail/A 5240-2025 tillsynsbegäran mail.docx", "A 5240-2025")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46021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46505-2025</t>
        </is>
      </c>
      <c r="B37" s="1" t="n">
        <v>45925</v>
      </c>
      <c r="C37" s="1" t="n">
        <v>46021</v>
      </c>
      <c r="D37" t="inlineStr">
        <is>
          <t>HALLANDS LÄN</t>
        </is>
      </c>
      <c r="E37" t="inlineStr">
        <is>
          <t>HALMSTAD</t>
        </is>
      </c>
      <c r="G37" t="n">
        <v>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46505-2025 artfynd.xlsx", "A 46505-2025")</f>
        <v/>
      </c>
      <c r="T37">
        <f>HYPERLINK("https://klasma.github.io/Logging_1380/kartor/A 46505-2025 karta.png", "A 46505-2025")</f>
        <v/>
      </c>
      <c r="V37">
        <f>HYPERLINK("https://klasma.github.io/Logging_1380/klagomål/A 46505-2025 FSC-klagomål.docx", "A 46505-2025")</f>
        <v/>
      </c>
      <c r="W37">
        <f>HYPERLINK("https://klasma.github.io/Logging_1380/klagomålsmail/A 46505-2025 FSC-klagomål mail.docx", "A 46505-2025")</f>
        <v/>
      </c>
      <c r="X37">
        <f>HYPERLINK("https://klasma.github.io/Logging_1380/tillsyn/A 46505-2025 tillsynsbegäran.docx", "A 46505-2025")</f>
        <v/>
      </c>
      <c r="Y37">
        <f>HYPERLINK("https://klasma.github.io/Logging_1380/tillsynsmail/A 46505-2025 tillsynsbegäran mail.docx", "A 46505-2025")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46021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46021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46021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46021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46021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46021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46021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46021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46021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46021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46021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46021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46021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46021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46021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46021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46021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46021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46021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46021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46021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46021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46021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46021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65528-2021</t>
        </is>
      </c>
      <c r="B62" s="1" t="n">
        <v>44516</v>
      </c>
      <c r="C62" s="1" t="n">
        <v>46021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46021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46021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46021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46021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46021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46021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46021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46021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46021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46021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46021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46021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46021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46021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46021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46021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46021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46021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46021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46021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30383-2022</t>
        </is>
      </c>
      <c r="B83" s="1" t="n">
        <v>44760.71983796296</v>
      </c>
      <c r="C83" s="1" t="n">
        <v>46021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54111-2021</t>
        </is>
      </c>
      <c r="B84" s="1" t="n">
        <v>44470.49953703704</v>
      </c>
      <c r="C84" s="1" t="n">
        <v>46021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49792-2021</t>
        </is>
      </c>
      <c r="B85" s="1" t="n">
        <v>44455</v>
      </c>
      <c r="C85" s="1" t="n">
        <v>46021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17069-2022</t>
        </is>
      </c>
      <c r="B86" s="1" t="n">
        <v>44677</v>
      </c>
      <c r="C86" s="1" t="n">
        <v>46021</v>
      </c>
      <c r="D86" t="inlineStr">
        <is>
          <t>HALLANDS LÄN</t>
        </is>
      </c>
      <c r="E86" t="inlineStr">
        <is>
          <t>HALMSTAD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46021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46021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70897-2021</t>
        </is>
      </c>
      <c r="B89" s="1" t="n">
        <v>44538</v>
      </c>
      <c r="C89" s="1" t="n">
        <v>46021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12263-2021</t>
        </is>
      </c>
      <c r="B90" s="1" t="n">
        <v>44266.85804398148</v>
      </c>
      <c r="C90" s="1" t="n">
        <v>46021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70724-2021</t>
        </is>
      </c>
      <c r="B91" s="1" t="n">
        <v>44537</v>
      </c>
      <c r="C91" s="1" t="n">
        <v>46021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46021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46021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46021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31381-2021</t>
        </is>
      </c>
      <c r="B95" s="1" t="n">
        <v>44369</v>
      </c>
      <c r="C95" s="1" t="n">
        <v>46021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46021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46021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46021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4208-2021</t>
        </is>
      </c>
      <c r="B99" s="1" t="n">
        <v>44223</v>
      </c>
      <c r="C99" s="1" t="n">
        <v>46021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5065-2021</t>
        </is>
      </c>
      <c r="B100" s="1" t="n">
        <v>44228.52969907408</v>
      </c>
      <c r="C100" s="1" t="n">
        <v>46021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46021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46021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46021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2977-2021</t>
        </is>
      </c>
      <c r="B104" s="1" t="n">
        <v>44214</v>
      </c>
      <c r="C104" s="1" t="n">
        <v>46021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38467-2025</t>
        </is>
      </c>
      <c r="B105" s="1" t="n">
        <v>45883.91351851852</v>
      </c>
      <c r="C105" s="1" t="n">
        <v>46021</v>
      </c>
      <c r="D105" t="inlineStr">
        <is>
          <t>HALLANDS LÄN</t>
        </is>
      </c>
      <c r="E105" t="inlineStr">
        <is>
          <t>HALMSTAD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19320-2025</t>
        </is>
      </c>
      <c r="B106" s="1" t="n">
        <v>45769.57918981482</v>
      </c>
      <c r="C106" s="1" t="n">
        <v>46021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59913-2023</t>
        </is>
      </c>
      <c r="B107" s="1" t="n">
        <v>45257</v>
      </c>
      <c r="C107" s="1" t="n">
        <v>46021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14958-2021</t>
        </is>
      </c>
      <c r="B108" s="1" t="n">
        <v>44281</v>
      </c>
      <c r="C108" s="1" t="n">
        <v>46021</v>
      </c>
      <c r="D108" t="inlineStr">
        <is>
          <t>HALLANDS LÄN</t>
        </is>
      </c>
      <c r="E108" t="inlineStr">
        <is>
          <t>HALMSTAD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40606-2023</t>
        </is>
      </c>
      <c r="B109" s="1" t="n">
        <v>45168</v>
      </c>
      <c r="C109" s="1" t="n">
        <v>46021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27405-2025</t>
        </is>
      </c>
      <c r="B110" s="1" t="n">
        <v>45812.7384375</v>
      </c>
      <c r="C110" s="1" t="n">
        <v>46021</v>
      </c>
      <c r="D110" t="inlineStr">
        <is>
          <t>HALLANDS LÄN</t>
        </is>
      </c>
      <c r="E110" t="inlineStr">
        <is>
          <t>HALMSTAD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14779-2022</t>
        </is>
      </c>
      <c r="B111" s="1" t="n">
        <v>44656</v>
      </c>
      <c r="C111" s="1" t="n">
        <v>46021</v>
      </c>
      <c r="D111" t="inlineStr">
        <is>
          <t>HALLANDS LÄN</t>
        </is>
      </c>
      <c r="E111" t="inlineStr">
        <is>
          <t>HALMSTAD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72139-2021</t>
        </is>
      </c>
      <c r="B112" s="1" t="n">
        <v>44544.60033564815</v>
      </c>
      <c r="C112" s="1" t="n">
        <v>46021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3161-2021</t>
        </is>
      </c>
      <c r="B113" s="1" t="n">
        <v>44214</v>
      </c>
      <c r="C113" s="1" t="n">
        <v>46021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62187-2023</t>
        </is>
      </c>
      <c r="B114" s="1" t="n">
        <v>45267</v>
      </c>
      <c r="C114" s="1" t="n">
        <v>46021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25349-2025</t>
        </is>
      </c>
      <c r="B115" s="1" t="n">
        <v>45800.61434027777</v>
      </c>
      <c r="C115" s="1" t="n">
        <v>46021</v>
      </c>
      <c r="D115" t="inlineStr">
        <is>
          <t>HALLANDS LÄN</t>
        </is>
      </c>
      <c r="E115" t="inlineStr">
        <is>
          <t>HALMSTAD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16195-2025</t>
        </is>
      </c>
      <c r="B116" s="1" t="n">
        <v>45750.60021990741</v>
      </c>
      <c r="C116" s="1" t="n">
        <v>46021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25106-2025</t>
        </is>
      </c>
      <c r="B117" s="1" t="n">
        <v>45800</v>
      </c>
      <c r="C117" s="1" t="n">
        <v>46021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11798-2021</t>
        </is>
      </c>
      <c r="B118" s="1" t="n">
        <v>44265.51692129629</v>
      </c>
      <c r="C118" s="1" t="n">
        <v>46021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38318-2025</t>
        </is>
      </c>
      <c r="B119" s="1" t="n">
        <v>45883</v>
      </c>
      <c r="C119" s="1" t="n">
        <v>46021</v>
      </c>
      <c r="D119" t="inlineStr">
        <is>
          <t>HALLANDS LÄN</t>
        </is>
      </c>
      <c r="E119" t="inlineStr">
        <is>
          <t>HALMSTAD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60394-2023</t>
        </is>
      </c>
      <c r="B120" s="1" t="n">
        <v>45259.43715277778</v>
      </c>
      <c r="C120" s="1" t="n">
        <v>46021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31547-2022</t>
        </is>
      </c>
      <c r="B121" s="1" t="n">
        <v>44775</v>
      </c>
      <c r="C121" s="1" t="n">
        <v>46021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41951-2022</t>
        </is>
      </c>
      <c r="B122" s="1" t="n">
        <v>44830.38820601852</v>
      </c>
      <c r="C122" s="1" t="n">
        <v>46021</v>
      </c>
      <c r="D122" t="inlineStr">
        <is>
          <t>HALLANDS LÄN</t>
        </is>
      </c>
      <c r="E122" t="inlineStr">
        <is>
          <t>HALMSTAD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13212-2025</t>
        </is>
      </c>
      <c r="B123" s="1" t="n">
        <v>45735</v>
      </c>
      <c r="C123" s="1" t="n">
        <v>46021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50791-2023</t>
        </is>
      </c>
      <c r="B124" s="1" t="n">
        <v>45217</v>
      </c>
      <c r="C124" s="1" t="n">
        <v>46021</v>
      </c>
      <c r="D124" t="inlineStr">
        <is>
          <t>HALLANDS LÄN</t>
        </is>
      </c>
      <c r="E124" t="inlineStr">
        <is>
          <t>HALMSTAD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64136-2023</t>
        </is>
      </c>
      <c r="B125" s="1" t="n">
        <v>45279</v>
      </c>
      <c r="C125" s="1" t="n">
        <v>46021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19305-2025</t>
        </is>
      </c>
      <c r="B126" s="1" t="n">
        <v>45769.56699074074</v>
      </c>
      <c r="C126" s="1" t="n">
        <v>46021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46021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9228-2025</t>
        </is>
      </c>
      <c r="B128" s="1" t="n">
        <v>45714.53895833333</v>
      </c>
      <c r="C128" s="1" t="n">
        <v>46021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40542-2023</t>
        </is>
      </c>
      <c r="B129" s="1" t="n">
        <v>45168</v>
      </c>
      <c r="C129" s="1" t="n">
        <v>46021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3144-2021</t>
        </is>
      </c>
      <c r="B130" s="1" t="n">
        <v>44217</v>
      </c>
      <c r="C130" s="1" t="n">
        <v>46021</v>
      </c>
      <c r="D130" t="inlineStr">
        <is>
          <t>HALLANDS LÄN</t>
        </is>
      </c>
      <c r="E130" t="inlineStr">
        <is>
          <t>HALMSTAD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62189-2022</t>
        </is>
      </c>
      <c r="B131" s="1" t="n">
        <v>44922</v>
      </c>
      <c r="C131" s="1" t="n">
        <v>46021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51190-2022</t>
        </is>
      </c>
      <c r="B132" s="1" t="n">
        <v>44868.59210648148</v>
      </c>
      <c r="C132" s="1" t="n">
        <v>46021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55798-2023</t>
        </is>
      </c>
      <c r="B133" s="1" t="n">
        <v>45239.56006944444</v>
      </c>
      <c r="C133" s="1" t="n">
        <v>46021</v>
      </c>
      <c r="D133" t="inlineStr">
        <is>
          <t>HALLANDS LÄN</t>
        </is>
      </c>
      <c r="E133" t="inlineStr">
        <is>
          <t>HALMSTAD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55800-2023</t>
        </is>
      </c>
      <c r="B134" s="1" t="n">
        <v>45239.56157407408</v>
      </c>
      <c r="C134" s="1" t="n">
        <v>46021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53642-2023</t>
        </is>
      </c>
      <c r="B135" s="1" t="n">
        <v>45230.59971064814</v>
      </c>
      <c r="C135" s="1" t="n">
        <v>46021</v>
      </c>
      <c r="D135" t="inlineStr">
        <is>
          <t>HALLANDS LÄN</t>
        </is>
      </c>
      <c r="E135" t="inlineStr">
        <is>
          <t>HALMSTAD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13331-2024</t>
        </is>
      </c>
      <c r="B136" s="1" t="n">
        <v>45386</v>
      </c>
      <c r="C136" s="1" t="n">
        <v>46021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23147-2024</t>
        </is>
      </c>
      <c r="B137" s="1" t="n">
        <v>45450.64008101852</v>
      </c>
      <c r="C137" s="1" t="n">
        <v>46021</v>
      </c>
      <c r="D137" t="inlineStr">
        <is>
          <t>HALLANDS LÄN</t>
        </is>
      </c>
      <c r="E137" t="inlineStr">
        <is>
          <t>HALMSTAD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62131-2023</t>
        </is>
      </c>
      <c r="B138" s="1" t="n">
        <v>45267</v>
      </c>
      <c r="C138" s="1" t="n">
        <v>46021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4903-2024</t>
        </is>
      </c>
      <c r="B139" s="1" t="n">
        <v>45329</v>
      </c>
      <c r="C139" s="1" t="n">
        <v>46021</v>
      </c>
      <c r="D139" t="inlineStr">
        <is>
          <t>HALLANDS LÄN</t>
        </is>
      </c>
      <c r="E139" t="inlineStr">
        <is>
          <t>HALMSTAD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40047-2025</t>
        </is>
      </c>
      <c r="B140" s="1" t="n">
        <v>45894.40454861111</v>
      </c>
      <c r="C140" s="1" t="n">
        <v>46021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57037-2021</t>
        </is>
      </c>
      <c r="B141" s="1" t="n">
        <v>44482.51581018518</v>
      </c>
      <c r="C141" s="1" t="n">
        <v>46021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54114-2021</t>
        </is>
      </c>
      <c r="B142" s="1" t="n">
        <v>44470</v>
      </c>
      <c r="C142" s="1" t="n">
        <v>46021</v>
      </c>
      <c r="D142" t="inlineStr">
        <is>
          <t>HALLANDS LÄN</t>
        </is>
      </c>
      <c r="E142" t="inlineStr">
        <is>
          <t>HALMSTAD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16269-2025</t>
        </is>
      </c>
      <c r="B143" s="1" t="n">
        <v>45750.90273148148</v>
      </c>
      <c r="C143" s="1" t="n">
        <v>46021</v>
      </c>
      <c r="D143" t="inlineStr">
        <is>
          <t>HALLANDS LÄN</t>
        </is>
      </c>
      <c r="E143" t="inlineStr">
        <is>
          <t>HALMSTAD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60396-2023</t>
        </is>
      </c>
      <c r="B144" s="1" t="n">
        <v>45259</v>
      </c>
      <c r="C144" s="1" t="n">
        <v>46021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20481-2024</t>
        </is>
      </c>
      <c r="B145" s="1" t="n">
        <v>45435</v>
      </c>
      <c r="C145" s="1" t="n">
        <v>46021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20588-2021</t>
        </is>
      </c>
      <c r="B146" s="1" t="n">
        <v>44316.34237268518</v>
      </c>
      <c r="C146" s="1" t="n">
        <v>46021</v>
      </c>
      <c r="D146" t="inlineStr">
        <is>
          <t>HALLANDS LÄN</t>
        </is>
      </c>
      <c r="E146" t="inlineStr">
        <is>
          <t>HALMSTAD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19468-2024</t>
        </is>
      </c>
      <c r="B147" s="1" t="n">
        <v>45429.52054398148</v>
      </c>
      <c r="C147" s="1" t="n">
        <v>46021</v>
      </c>
      <c r="D147" t="inlineStr">
        <is>
          <t>HALLANDS LÄN</t>
        </is>
      </c>
      <c r="E147" t="inlineStr">
        <is>
          <t>HALMSTAD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3758-2024</t>
        </is>
      </c>
      <c r="B148" s="1" t="n">
        <v>45321</v>
      </c>
      <c r="C148" s="1" t="n">
        <v>46021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28127-2025</t>
        </is>
      </c>
      <c r="B149" s="1" t="n">
        <v>45818.32003472222</v>
      </c>
      <c r="C149" s="1" t="n">
        <v>46021</v>
      </c>
      <c r="D149" t="inlineStr">
        <is>
          <t>HALLANDS LÄN</t>
        </is>
      </c>
      <c r="E149" t="inlineStr">
        <is>
          <t>HALMSTAD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62766-2023</t>
        </is>
      </c>
      <c r="B150" s="1" t="n">
        <v>45268</v>
      </c>
      <c r="C150" s="1" t="n">
        <v>46021</v>
      </c>
      <c r="D150" t="inlineStr">
        <is>
          <t>HALLANDS LÄN</t>
        </is>
      </c>
      <c r="E150" t="inlineStr">
        <is>
          <t>HALMSTAD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53763-2022</t>
        </is>
      </c>
      <c r="B151" s="1" t="n">
        <v>44875</v>
      </c>
      <c r="C151" s="1" t="n">
        <v>46021</v>
      </c>
      <c r="D151" t="inlineStr">
        <is>
          <t>HALLANDS LÄN</t>
        </is>
      </c>
      <c r="E151" t="inlineStr">
        <is>
          <t>HALMSTAD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5522-2022</t>
        </is>
      </c>
      <c r="B152" s="1" t="n">
        <v>44595.5705787037</v>
      </c>
      <c r="C152" s="1" t="n">
        <v>46021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15678-2024</t>
        </is>
      </c>
      <c r="B153" s="1" t="n">
        <v>45404.41497685185</v>
      </c>
      <c r="C153" s="1" t="n">
        <v>46021</v>
      </c>
      <c r="D153" t="inlineStr">
        <is>
          <t>HALLANDS LÄN</t>
        </is>
      </c>
      <c r="E153" t="inlineStr">
        <is>
          <t>HALMSTAD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64231-2023</t>
        </is>
      </c>
      <c r="B154" s="1" t="n">
        <v>45279</v>
      </c>
      <c r="C154" s="1" t="n">
        <v>46021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41612-2022</t>
        </is>
      </c>
      <c r="B155" s="1" t="n">
        <v>44827</v>
      </c>
      <c r="C155" s="1" t="n">
        <v>46021</v>
      </c>
      <c r="D155" t="inlineStr">
        <is>
          <t>HALLANDS LÄN</t>
        </is>
      </c>
      <c r="E155" t="inlineStr">
        <is>
          <t>HALMSTAD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4815-2023</t>
        </is>
      </c>
      <c r="B156" s="1" t="n">
        <v>44952</v>
      </c>
      <c r="C156" s="1" t="n">
        <v>46021</v>
      </c>
      <c r="D156" t="inlineStr">
        <is>
          <t>HALLANDS LÄN</t>
        </is>
      </c>
      <c r="E156" t="inlineStr">
        <is>
          <t>HALMSTAD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40972-2025</t>
        </is>
      </c>
      <c r="B157" s="1" t="n">
        <v>45897.89027777778</v>
      </c>
      <c r="C157" s="1" t="n">
        <v>46021</v>
      </c>
      <c r="D157" t="inlineStr">
        <is>
          <t>HALLANDS LÄN</t>
        </is>
      </c>
      <c r="E157" t="inlineStr">
        <is>
          <t>HALMSTAD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61853-2023</t>
        </is>
      </c>
      <c r="B158" s="1" t="n">
        <v>45265</v>
      </c>
      <c r="C158" s="1" t="n">
        <v>46021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59762-2023</t>
        </is>
      </c>
      <c r="B159" s="1" t="n">
        <v>45257.41971064815</v>
      </c>
      <c r="C159" s="1" t="n">
        <v>46021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11790-2025</t>
        </is>
      </c>
      <c r="B160" s="1" t="n">
        <v>45727.72804398148</v>
      </c>
      <c r="C160" s="1" t="n">
        <v>46021</v>
      </c>
      <c r="D160" t="inlineStr">
        <is>
          <t>HALLANDS LÄN</t>
        </is>
      </c>
      <c r="E160" t="inlineStr">
        <is>
          <t>HALMSTAD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37161-2022</t>
        </is>
      </c>
      <c r="B161" s="1" t="n">
        <v>44806.59726851852</v>
      </c>
      <c r="C161" s="1" t="n">
        <v>46021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19087-2022</t>
        </is>
      </c>
      <c r="B162" s="1" t="n">
        <v>44691.50175925926</v>
      </c>
      <c r="C162" s="1" t="n">
        <v>46021</v>
      </c>
      <c r="D162" t="inlineStr">
        <is>
          <t>HALLANDS LÄN</t>
        </is>
      </c>
      <c r="E162" t="inlineStr">
        <is>
          <t>HALMSTAD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40974-2025</t>
        </is>
      </c>
      <c r="B163" s="1" t="n">
        <v>45897.90020833333</v>
      </c>
      <c r="C163" s="1" t="n">
        <v>46021</v>
      </c>
      <c r="D163" t="inlineStr">
        <is>
          <t>HALLANDS LÄN</t>
        </is>
      </c>
      <c r="E163" t="inlineStr">
        <is>
          <t>HALMSTAD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38174-2022</t>
        </is>
      </c>
      <c r="B164" s="1" t="n">
        <v>44802</v>
      </c>
      <c r="C164" s="1" t="n">
        <v>46021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8062-2023</t>
        </is>
      </c>
      <c r="B165" s="1" t="n">
        <v>44974</v>
      </c>
      <c r="C165" s="1" t="n">
        <v>46021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35384-2024</t>
        </is>
      </c>
      <c r="B166" s="1" t="n">
        <v>45531.38819444444</v>
      </c>
      <c r="C166" s="1" t="n">
        <v>46021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22710-2023</t>
        </is>
      </c>
      <c r="B167" s="1" t="n">
        <v>45071.73902777778</v>
      </c>
      <c r="C167" s="1" t="n">
        <v>46021</v>
      </c>
      <c r="D167" t="inlineStr">
        <is>
          <t>HALLANDS LÄN</t>
        </is>
      </c>
      <c r="E167" t="inlineStr">
        <is>
          <t>HALMSTAD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57025-2021</t>
        </is>
      </c>
      <c r="B168" s="1" t="n">
        <v>44482</v>
      </c>
      <c r="C168" s="1" t="n">
        <v>46021</v>
      </c>
      <c r="D168" t="inlineStr">
        <is>
          <t>HALLANDS LÄN</t>
        </is>
      </c>
      <c r="E168" t="inlineStr">
        <is>
          <t>HALMSTAD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38661-2021</t>
        </is>
      </c>
      <c r="B169" s="1" t="n">
        <v>44410</v>
      </c>
      <c r="C169" s="1" t="n">
        <v>46021</v>
      </c>
      <c r="D169" t="inlineStr">
        <is>
          <t>HALLANDS LÄN</t>
        </is>
      </c>
      <c r="E169" t="inlineStr">
        <is>
          <t>HALMSTAD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1646-2024</t>
        </is>
      </c>
      <c r="B170" s="1" t="n">
        <v>45306</v>
      </c>
      <c r="C170" s="1" t="n">
        <v>46021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57013-2021</t>
        </is>
      </c>
      <c r="B171" s="1" t="n">
        <v>44482.48983796296</v>
      </c>
      <c r="C171" s="1" t="n">
        <v>46021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57021-2021</t>
        </is>
      </c>
      <c r="B172" s="1" t="n">
        <v>44482</v>
      </c>
      <c r="C172" s="1" t="n">
        <v>46021</v>
      </c>
      <c r="D172" t="inlineStr">
        <is>
          <t>HALLANDS LÄN</t>
        </is>
      </c>
      <c r="E172" t="inlineStr">
        <is>
          <t>HALMSTAD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52469-2021</t>
        </is>
      </c>
      <c r="B173" s="1" t="n">
        <v>44466</v>
      </c>
      <c r="C173" s="1" t="n">
        <v>46021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6947-2023</t>
        </is>
      </c>
      <c r="B174" s="1" t="n">
        <v>44964</v>
      </c>
      <c r="C174" s="1" t="n">
        <v>46021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6951-2023</t>
        </is>
      </c>
      <c r="B175" s="1" t="n">
        <v>44964</v>
      </c>
      <c r="C175" s="1" t="n">
        <v>46021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27271-2023</t>
        </is>
      </c>
      <c r="B176" s="1" t="n">
        <v>45096.6325</v>
      </c>
      <c r="C176" s="1" t="n">
        <v>46021</v>
      </c>
      <c r="D176" t="inlineStr">
        <is>
          <t>HALLANDS LÄN</t>
        </is>
      </c>
      <c r="E176" t="inlineStr">
        <is>
          <t>HALMSTAD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36714-2024</t>
        </is>
      </c>
      <c r="B177" s="1" t="n">
        <v>45537.81940972222</v>
      </c>
      <c r="C177" s="1" t="n">
        <v>46021</v>
      </c>
      <c r="D177" t="inlineStr">
        <is>
          <t>HALLANDS LÄN</t>
        </is>
      </c>
      <c r="E177" t="inlineStr">
        <is>
          <t>HALMSTAD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16646-2024</t>
        </is>
      </c>
      <c r="B178" s="1" t="n">
        <v>45408.62030092593</v>
      </c>
      <c r="C178" s="1" t="n">
        <v>46021</v>
      </c>
      <c r="D178" t="inlineStr">
        <is>
          <t>HALLANDS LÄN</t>
        </is>
      </c>
      <c r="E178" t="inlineStr">
        <is>
          <t>HALMSTAD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50387-2023</t>
        </is>
      </c>
      <c r="B179" s="1" t="n">
        <v>45216.62940972222</v>
      </c>
      <c r="C179" s="1" t="n">
        <v>46021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3845-2025</t>
        </is>
      </c>
      <c r="B180" s="1" t="n">
        <v>45683.70596064815</v>
      </c>
      <c r="C180" s="1" t="n">
        <v>46021</v>
      </c>
      <c r="D180" t="inlineStr">
        <is>
          <t>HALLANDS LÄN</t>
        </is>
      </c>
      <c r="E180" t="inlineStr">
        <is>
          <t>HALMSTAD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55006-2022</t>
        </is>
      </c>
      <c r="B181" s="1" t="n">
        <v>44886.51590277778</v>
      </c>
      <c r="C181" s="1" t="n">
        <v>46021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40601-2023</t>
        </is>
      </c>
      <c r="B182" s="1" t="n">
        <v>45168</v>
      </c>
      <c r="C182" s="1" t="n">
        <v>46021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22419-2022</t>
        </is>
      </c>
      <c r="B183" s="1" t="n">
        <v>44713</v>
      </c>
      <c r="C183" s="1" t="n">
        <v>46021</v>
      </c>
      <c r="D183" t="inlineStr">
        <is>
          <t>HALLANDS LÄN</t>
        </is>
      </c>
      <c r="E183" t="inlineStr">
        <is>
          <t>HALMSTAD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40639-2023</t>
        </is>
      </c>
      <c r="B184" s="1" t="n">
        <v>45168</v>
      </c>
      <c r="C184" s="1" t="n">
        <v>46021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40702-2023</t>
        </is>
      </c>
      <c r="B185" s="1" t="n">
        <v>45168</v>
      </c>
      <c r="C185" s="1" t="n">
        <v>46021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14001-2025</t>
        </is>
      </c>
      <c r="B186" s="1" t="n">
        <v>45740.28686342593</v>
      </c>
      <c r="C186" s="1" t="n">
        <v>46021</v>
      </c>
      <c r="D186" t="inlineStr">
        <is>
          <t>HALLANDS LÄN</t>
        </is>
      </c>
      <c r="E186" t="inlineStr">
        <is>
          <t>HALMSTAD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28029-2024</t>
        </is>
      </c>
      <c r="B187" s="1" t="n">
        <v>45476.48814814815</v>
      </c>
      <c r="C187" s="1" t="n">
        <v>46021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28031-2024</t>
        </is>
      </c>
      <c r="B188" s="1" t="n">
        <v>45476.49149305555</v>
      </c>
      <c r="C188" s="1" t="n">
        <v>46021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10263-2022</t>
        </is>
      </c>
      <c r="B189" s="1" t="n">
        <v>44622</v>
      </c>
      <c r="C189" s="1" t="n">
        <v>46021</v>
      </c>
      <c r="D189" t="inlineStr">
        <is>
          <t>HALLANDS LÄN</t>
        </is>
      </c>
      <c r="E189" t="inlineStr">
        <is>
          <t>HALMSTAD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42070-2025</t>
        </is>
      </c>
      <c r="B190" s="1" t="n">
        <v>45903.66137731481</v>
      </c>
      <c r="C190" s="1" t="n">
        <v>46021</v>
      </c>
      <c r="D190" t="inlineStr">
        <is>
          <t>HALLANDS LÄN</t>
        </is>
      </c>
      <c r="E190" t="inlineStr">
        <is>
          <t>HALMSTAD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29818-2024</t>
        </is>
      </c>
      <c r="B191" s="1" t="n">
        <v>45485.55289351852</v>
      </c>
      <c r="C191" s="1" t="n">
        <v>46021</v>
      </c>
      <c r="D191" t="inlineStr">
        <is>
          <t>HALLANDS LÄN</t>
        </is>
      </c>
      <c r="E191" t="inlineStr">
        <is>
          <t>HALMSTAD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29996-2024</t>
        </is>
      </c>
      <c r="B192" s="1" t="n">
        <v>45488</v>
      </c>
      <c r="C192" s="1" t="n">
        <v>46021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70720-2021</t>
        </is>
      </c>
      <c r="B193" s="1" t="n">
        <v>44537</v>
      </c>
      <c r="C193" s="1" t="n">
        <v>46021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54008-2023</t>
        </is>
      </c>
      <c r="B194" s="1" t="n">
        <v>45231</v>
      </c>
      <c r="C194" s="1" t="n">
        <v>46021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62170-2023</t>
        </is>
      </c>
      <c r="B195" s="1" t="n">
        <v>45267.42196759259</v>
      </c>
      <c r="C195" s="1" t="n">
        <v>46021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47198-2022</t>
        </is>
      </c>
      <c r="B196" s="1" t="n">
        <v>44852.64613425926</v>
      </c>
      <c r="C196" s="1" t="n">
        <v>46021</v>
      </c>
      <c r="D196" t="inlineStr">
        <is>
          <t>HALLANDS LÄN</t>
        </is>
      </c>
      <c r="E196" t="inlineStr">
        <is>
          <t>HALMSTAD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54869-2022</t>
        </is>
      </c>
      <c r="B197" s="1" t="n">
        <v>44885.78092592592</v>
      </c>
      <c r="C197" s="1" t="n">
        <v>46021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41186-2024</t>
        </is>
      </c>
      <c r="B198" s="1" t="n">
        <v>45559</v>
      </c>
      <c r="C198" s="1" t="n">
        <v>46021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8230-2023</t>
        </is>
      </c>
      <c r="B199" s="1" t="n">
        <v>44974</v>
      </c>
      <c r="C199" s="1" t="n">
        <v>46021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4005-2024</t>
        </is>
      </c>
      <c r="B200" s="1" t="n">
        <v>45323.32376157407</v>
      </c>
      <c r="C200" s="1" t="n">
        <v>46021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58080-2024</t>
        </is>
      </c>
      <c r="B201" s="1" t="n">
        <v>45632.31962962963</v>
      </c>
      <c r="C201" s="1" t="n">
        <v>46021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22146-2022</t>
        </is>
      </c>
      <c r="B202" s="1" t="n">
        <v>44712</v>
      </c>
      <c r="C202" s="1" t="n">
        <v>46021</v>
      </c>
      <c r="D202" t="inlineStr">
        <is>
          <t>HALLANDS LÄN</t>
        </is>
      </c>
      <c r="E202" t="inlineStr">
        <is>
          <t>HALMSTAD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41777-2024</t>
        </is>
      </c>
      <c r="B203" s="1" t="n">
        <v>45561.34752314815</v>
      </c>
      <c r="C203" s="1" t="n">
        <v>46021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19572-2023</t>
        </is>
      </c>
      <c r="B204" s="1" t="n">
        <v>45050</v>
      </c>
      <c r="C204" s="1" t="n">
        <v>46021</v>
      </c>
      <c r="D204" t="inlineStr">
        <is>
          <t>HALLANDS LÄN</t>
        </is>
      </c>
      <c r="E204" t="inlineStr">
        <is>
          <t>HALMSTAD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30093-2023</t>
        </is>
      </c>
      <c r="B205" s="1" t="n">
        <v>45099</v>
      </c>
      <c r="C205" s="1" t="n">
        <v>46021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59980-2024</t>
        </is>
      </c>
      <c r="B206" s="1" t="n">
        <v>45642.38042824074</v>
      </c>
      <c r="C206" s="1" t="n">
        <v>46021</v>
      </c>
      <c r="D206" t="inlineStr">
        <is>
          <t>HALLANDS LÄN</t>
        </is>
      </c>
      <c r="E206" t="inlineStr">
        <is>
          <t>HALMSTAD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45586-2023</t>
        </is>
      </c>
      <c r="B207" s="1" t="n">
        <v>45194</v>
      </c>
      <c r="C207" s="1" t="n">
        <v>46021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6397-2025</t>
        </is>
      </c>
      <c r="B208" s="1" t="n">
        <v>45699</v>
      </c>
      <c r="C208" s="1" t="n">
        <v>46021</v>
      </c>
      <c r="D208" t="inlineStr">
        <is>
          <t>HALLANDS LÄN</t>
        </is>
      </c>
      <c r="E208" t="inlineStr">
        <is>
          <t>HALMSTAD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893-2022</t>
        </is>
      </c>
      <c r="B209" s="1" t="n">
        <v>44571.46902777778</v>
      </c>
      <c r="C209" s="1" t="n">
        <v>46021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6942-2023</t>
        </is>
      </c>
      <c r="B210" s="1" t="n">
        <v>44964</v>
      </c>
      <c r="C210" s="1" t="n">
        <v>46021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61757-2022</t>
        </is>
      </c>
      <c r="B211" s="1" t="n">
        <v>44917</v>
      </c>
      <c r="C211" s="1" t="n">
        <v>46021</v>
      </c>
      <c r="D211" t="inlineStr">
        <is>
          <t>HALLANDS LÄN</t>
        </is>
      </c>
      <c r="E211" t="inlineStr">
        <is>
          <t>HALMSTAD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8284-2022</t>
        </is>
      </c>
      <c r="B212" s="1" t="n">
        <v>44610.42103009259</v>
      </c>
      <c r="C212" s="1" t="n">
        <v>46021</v>
      </c>
      <c r="D212" t="inlineStr">
        <is>
          <t>HALLANDS LÄN</t>
        </is>
      </c>
      <c r="E212" t="inlineStr">
        <is>
          <t>HALMSTAD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59260-2022</t>
        </is>
      </c>
      <c r="B213" s="1" t="n">
        <v>44897</v>
      </c>
      <c r="C213" s="1" t="n">
        <v>46021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40561-2023</t>
        </is>
      </c>
      <c r="B214" s="1" t="n">
        <v>45168</v>
      </c>
      <c r="C214" s="1" t="n">
        <v>46021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40595-2023</t>
        </is>
      </c>
      <c r="B215" s="1" t="n">
        <v>45168</v>
      </c>
      <c r="C215" s="1" t="n">
        <v>46021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1610-2024</t>
        </is>
      </c>
      <c r="B216" s="1" t="n">
        <v>45306.62268518518</v>
      </c>
      <c r="C216" s="1" t="n">
        <v>46021</v>
      </c>
      <c r="D216" t="inlineStr">
        <is>
          <t>HALLANDS LÄN</t>
        </is>
      </c>
      <c r="E216" t="inlineStr">
        <is>
          <t>HALMSTAD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35402-2023</t>
        </is>
      </c>
      <c r="B217" s="1" t="n">
        <v>45146.5987037037</v>
      </c>
      <c r="C217" s="1" t="n">
        <v>46021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1755-2023</t>
        </is>
      </c>
      <c r="B218" s="1" t="n">
        <v>44938</v>
      </c>
      <c r="C218" s="1" t="n">
        <v>46021</v>
      </c>
      <c r="D218" t="inlineStr">
        <is>
          <t>HALLANDS LÄN</t>
        </is>
      </c>
      <c r="E218" t="inlineStr">
        <is>
          <t>HALMSTAD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40359-2023</t>
        </is>
      </c>
      <c r="B219" s="1" t="n">
        <v>45169.64943287037</v>
      </c>
      <c r="C219" s="1" t="n">
        <v>46021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56028-2023</t>
        </is>
      </c>
      <c r="B220" s="1" t="n">
        <v>45240</v>
      </c>
      <c r="C220" s="1" t="n">
        <v>46021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40669-2023</t>
        </is>
      </c>
      <c r="B221" s="1" t="n">
        <v>45168</v>
      </c>
      <c r="C221" s="1" t="n">
        <v>46021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64230-2023</t>
        </is>
      </c>
      <c r="B222" s="1" t="n">
        <v>45279</v>
      </c>
      <c r="C222" s="1" t="n">
        <v>46021</v>
      </c>
      <c r="D222" t="inlineStr">
        <is>
          <t>HALLANDS LÄN</t>
        </is>
      </c>
      <c r="E222" t="inlineStr">
        <is>
          <t>HALMSTAD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22070-2022</t>
        </is>
      </c>
      <c r="B223" s="1" t="n">
        <v>44711</v>
      </c>
      <c r="C223" s="1" t="n">
        <v>46021</v>
      </c>
      <c r="D223" t="inlineStr">
        <is>
          <t>HALLANDS LÄN</t>
        </is>
      </c>
      <c r="E223" t="inlineStr">
        <is>
          <t>HALMSTAD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32988-2025</t>
        </is>
      </c>
      <c r="B224" s="1" t="n">
        <v>45840.21125</v>
      </c>
      <c r="C224" s="1" t="n">
        <v>46021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58978-2024</t>
        </is>
      </c>
      <c r="B225" s="1" t="n">
        <v>45636.61350694444</v>
      </c>
      <c r="C225" s="1" t="n">
        <v>46021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58737-2023</t>
        </is>
      </c>
      <c r="B226" s="1" t="n">
        <v>45251.91923611111</v>
      </c>
      <c r="C226" s="1" t="n">
        <v>46021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56011-2023</t>
        </is>
      </c>
      <c r="B227" s="1" t="n">
        <v>45240.41471064815</v>
      </c>
      <c r="C227" s="1" t="n">
        <v>46021</v>
      </c>
      <c r="D227" t="inlineStr">
        <is>
          <t>HALLANDS LÄN</t>
        </is>
      </c>
      <c r="E227" t="inlineStr">
        <is>
          <t>HALMSTAD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18598-2022</t>
        </is>
      </c>
      <c r="B228" s="1" t="n">
        <v>44687.38103009259</v>
      </c>
      <c r="C228" s="1" t="n">
        <v>46021</v>
      </c>
      <c r="D228" t="inlineStr">
        <is>
          <t>HALLANDS LÄN</t>
        </is>
      </c>
      <c r="E228" t="inlineStr">
        <is>
          <t>HALMSTAD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46104-2023</t>
        </is>
      </c>
      <c r="B229" s="1" t="n">
        <v>45196.53935185185</v>
      </c>
      <c r="C229" s="1" t="n">
        <v>46021</v>
      </c>
      <c r="D229" t="inlineStr">
        <is>
          <t>HALLANDS LÄN</t>
        </is>
      </c>
      <c r="E229" t="inlineStr">
        <is>
          <t>HALMSTAD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51192-2021</t>
        </is>
      </c>
      <c r="B230" s="1" t="n">
        <v>44461</v>
      </c>
      <c r="C230" s="1" t="n">
        <v>46021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5886-2024</t>
        </is>
      </c>
      <c r="B231" s="1" t="n">
        <v>45335</v>
      </c>
      <c r="C231" s="1" t="n">
        <v>46021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50113-2023</t>
        </is>
      </c>
      <c r="B232" s="1" t="n">
        <v>45215</v>
      </c>
      <c r="C232" s="1" t="n">
        <v>46021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44467-2025</t>
        </is>
      </c>
      <c r="B233" s="1" t="n">
        <v>45916.63679398148</v>
      </c>
      <c r="C233" s="1" t="n">
        <v>46021</v>
      </c>
      <c r="D233" t="inlineStr">
        <is>
          <t>HALLANDS LÄN</t>
        </is>
      </c>
      <c r="E233" t="inlineStr">
        <is>
          <t>HALMSTAD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3147-2024</t>
        </is>
      </c>
      <c r="B234" s="1" t="n">
        <v>45316</v>
      </c>
      <c r="C234" s="1" t="n">
        <v>46021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42201-2024</t>
        </is>
      </c>
      <c r="B235" s="1" t="n">
        <v>45562.51806712963</v>
      </c>
      <c r="C235" s="1" t="n">
        <v>46021</v>
      </c>
      <c r="D235" t="inlineStr">
        <is>
          <t>HALLANDS LÄN</t>
        </is>
      </c>
      <c r="E235" t="inlineStr">
        <is>
          <t>HALMSTAD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42204-2024</t>
        </is>
      </c>
      <c r="B236" s="1" t="n">
        <v>45562.52197916667</v>
      </c>
      <c r="C236" s="1" t="n">
        <v>46021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48022-2024</t>
        </is>
      </c>
      <c r="B237" s="1" t="n">
        <v>45589</v>
      </c>
      <c r="C237" s="1" t="n">
        <v>46021</v>
      </c>
      <c r="D237" t="inlineStr">
        <is>
          <t>HALLANDS LÄN</t>
        </is>
      </c>
      <c r="E237" t="inlineStr">
        <is>
          <t>HALMSTAD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19296-2021</t>
        </is>
      </c>
      <c r="B238" s="1" t="n">
        <v>44309</v>
      </c>
      <c r="C238" s="1" t="n">
        <v>46021</v>
      </c>
      <c r="D238" t="inlineStr">
        <is>
          <t>HALLANDS LÄN</t>
        </is>
      </c>
      <c r="E238" t="inlineStr">
        <is>
          <t>HALMSTAD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42812-2025</t>
        </is>
      </c>
      <c r="B239" s="1" t="n">
        <v>45908.55969907407</v>
      </c>
      <c r="C239" s="1" t="n">
        <v>46021</v>
      </c>
      <c r="D239" t="inlineStr">
        <is>
          <t>HALLANDS LÄN</t>
        </is>
      </c>
      <c r="E239" t="inlineStr">
        <is>
          <t>HALMSTAD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21723-2023</t>
        </is>
      </c>
      <c r="B240" s="1" t="n">
        <v>45065</v>
      </c>
      <c r="C240" s="1" t="n">
        <v>46021</v>
      </c>
      <c r="D240" t="inlineStr">
        <is>
          <t>HALLANDS LÄN</t>
        </is>
      </c>
      <c r="E240" t="inlineStr">
        <is>
          <t>HALMSTAD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8114-2023</t>
        </is>
      </c>
      <c r="B241" s="1" t="n">
        <v>44974.41206018518</v>
      </c>
      <c r="C241" s="1" t="n">
        <v>46021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44891-2025</t>
        </is>
      </c>
      <c r="B242" s="1" t="n">
        <v>45918.49800925926</v>
      </c>
      <c r="C242" s="1" t="n">
        <v>46021</v>
      </c>
      <c r="D242" t="inlineStr">
        <is>
          <t>HALLANDS LÄN</t>
        </is>
      </c>
      <c r="E242" t="inlineStr">
        <is>
          <t>HALMSTAD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44939-2025</t>
        </is>
      </c>
      <c r="B243" s="1" t="n">
        <v>45918.583125</v>
      </c>
      <c r="C243" s="1" t="n">
        <v>46021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44541-2025</t>
        </is>
      </c>
      <c r="B244" s="1" t="n">
        <v>45917.29790509259</v>
      </c>
      <c r="C244" s="1" t="n">
        <v>46021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44543-2025</t>
        </is>
      </c>
      <c r="B245" s="1" t="n">
        <v>45917.30282407408</v>
      </c>
      <c r="C245" s="1" t="n">
        <v>46021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48015-2024</t>
        </is>
      </c>
      <c r="B246" s="1" t="n">
        <v>45589</v>
      </c>
      <c r="C246" s="1" t="n">
        <v>46021</v>
      </c>
      <c r="D246" t="inlineStr">
        <is>
          <t>HALLANDS LÄN</t>
        </is>
      </c>
      <c r="E246" t="inlineStr">
        <is>
          <t>HALMSTAD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56706-2024</t>
        </is>
      </c>
      <c r="B247" s="1" t="n">
        <v>45627.83663194445</v>
      </c>
      <c r="C247" s="1" t="n">
        <v>46021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9813-2025</t>
        </is>
      </c>
      <c r="B248" s="1" t="n">
        <v>45715</v>
      </c>
      <c r="C248" s="1" t="n">
        <v>46021</v>
      </c>
      <c r="D248" t="inlineStr">
        <is>
          <t>HALLANDS LÄN</t>
        </is>
      </c>
      <c r="E248" t="inlineStr">
        <is>
          <t>HALMSTAD</t>
        </is>
      </c>
      <c r="F248" t="inlineStr">
        <is>
          <t>Övriga statliga verk och myndigheter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12890-2022</t>
        </is>
      </c>
      <c r="B249" s="1" t="n">
        <v>44642</v>
      </c>
      <c r="C249" s="1" t="n">
        <v>46021</v>
      </c>
      <c r="D249" t="inlineStr">
        <is>
          <t>HALLANDS LÄN</t>
        </is>
      </c>
      <c r="E249" t="inlineStr">
        <is>
          <t>HALMSTAD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8142-2023</t>
        </is>
      </c>
      <c r="B250" s="1" t="n">
        <v>44974.45418981482</v>
      </c>
      <c r="C250" s="1" t="n">
        <v>46021</v>
      </c>
      <c r="D250" t="inlineStr">
        <is>
          <t>HALLANDS LÄN</t>
        </is>
      </c>
      <c r="E250" t="inlineStr">
        <is>
          <t>HALMSTAD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45299-2025</t>
        </is>
      </c>
      <c r="B251" s="1" t="n">
        <v>45920.92194444445</v>
      </c>
      <c r="C251" s="1" t="n">
        <v>46021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21457-2021</t>
        </is>
      </c>
      <c r="B252" s="1" t="n">
        <v>44321</v>
      </c>
      <c r="C252" s="1" t="n">
        <v>46021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24103-2023</t>
        </is>
      </c>
      <c r="B253" s="1" t="n">
        <v>45079</v>
      </c>
      <c r="C253" s="1" t="n">
        <v>46021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21488-2024</t>
        </is>
      </c>
      <c r="B254" s="1" t="n">
        <v>45441.54493055555</v>
      </c>
      <c r="C254" s="1" t="n">
        <v>46021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21483-2024</t>
        </is>
      </c>
      <c r="B255" s="1" t="n">
        <v>45441.5399537037</v>
      </c>
      <c r="C255" s="1" t="n">
        <v>46021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40629-2023</t>
        </is>
      </c>
      <c r="B256" s="1" t="n">
        <v>45168</v>
      </c>
      <c r="C256" s="1" t="n">
        <v>46021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14694-2025</t>
        </is>
      </c>
      <c r="B257" s="1" t="n">
        <v>45742.5906712963</v>
      </c>
      <c r="C257" s="1" t="n">
        <v>46021</v>
      </c>
      <c r="D257" t="inlineStr">
        <is>
          <t>HALLANDS LÄN</t>
        </is>
      </c>
      <c r="E257" t="inlineStr">
        <is>
          <t>HALMSTAD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8679-2025</t>
        </is>
      </c>
      <c r="B258" s="1" t="n">
        <v>45712.43388888889</v>
      </c>
      <c r="C258" s="1" t="n">
        <v>46021</v>
      </c>
      <c r="D258" t="inlineStr">
        <is>
          <t>HALLANDS LÄN</t>
        </is>
      </c>
      <c r="E258" t="inlineStr">
        <is>
          <t>HALMSTAD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25698-2023</t>
        </is>
      </c>
      <c r="B259" s="1" t="n">
        <v>45090.27539351852</v>
      </c>
      <c r="C259" s="1" t="n">
        <v>46021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40741-2023</t>
        </is>
      </c>
      <c r="B260" s="1" t="n">
        <v>45170.72892361111</v>
      </c>
      <c r="C260" s="1" t="n">
        <v>46021</v>
      </c>
      <c r="D260" t="inlineStr">
        <is>
          <t>HALLANDS LÄN</t>
        </is>
      </c>
      <c r="E260" t="inlineStr">
        <is>
          <t>HALMSTAD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45988-2025</t>
        </is>
      </c>
      <c r="B261" s="1" t="n">
        <v>45924.38400462963</v>
      </c>
      <c r="C261" s="1" t="n">
        <v>46021</v>
      </c>
      <c r="D261" t="inlineStr">
        <is>
          <t>HALLANDS LÄN</t>
        </is>
      </c>
      <c r="E261" t="inlineStr">
        <is>
          <t>HALMSTAD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7639-2022</t>
        </is>
      </c>
      <c r="B262" s="1" t="n">
        <v>44607.72329861111</v>
      </c>
      <c r="C262" s="1" t="n">
        <v>46021</v>
      </c>
      <c r="D262" t="inlineStr">
        <is>
          <t>HALLANDS LÄN</t>
        </is>
      </c>
      <c r="E262" t="inlineStr">
        <is>
          <t>HALMSTAD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60032-2023</t>
        </is>
      </c>
      <c r="B263" s="1" t="n">
        <v>45258.32262731482</v>
      </c>
      <c r="C263" s="1" t="n">
        <v>46021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66730-2021</t>
        </is>
      </c>
      <c r="B264" s="1" t="n">
        <v>44520.28814814815</v>
      </c>
      <c r="C264" s="1" t="n">
        <v>46021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13594-2023</t>
        </is>
      </c>
      <c r="B265" s="1" t="n">
        <v>45006</v>
      </c>
      <c r="C265" s="1" t="n">
        <v>46021</v>
      </c>
      <c r="D265" t="inlineStr">
        <is>
          <t>HALLANDS LÄN</t>
        </is>
      </c>
      <c r="E265" t="inlineStr">
        <is>
          <t>HALMSTAD</t>
        </is>
      </c>
      <c r="F265" t="inlineStr">
        <is>
          <t>Bergvik skog väst AB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3412-2025</t>
        </is>
      </c>
      <c r="B266" s="1" t="n">
        <v>45680.39600694444</v>
      </c>
      <c r="C266" s="1" t="n">
        <v>46021</v>
      </c>
      <c r="D266" t="inlineStr">
        <is>
          <t>HALLANDS LÄN</t>
        </is>
      </c>
      <c r="E266" t="inlineStr">
        <is>
          <t>HALMSTAD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27365-2022</t>
        </is>
      </c>
      <c r="B267" s="1" t="n">
        <v>44742.4496875</v>
      </c>
      <c r="C267" s="1" t="n">
        <v>46021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19212-2025</t>
        </is>
      </c>
      <c r="B268" s="1" t="n">
        <v>45769</v>
      </c>
      <c r="C268" s="1" t="n">
        <v>46021</v>
      </c>
      <c r="D268" t="inlineStr">
        <is>
          <t>HALLANDS LÄN</t>
        </is>
      </c>
      <c r="E268" t="inlineStr">
        <is>
          <t>HALMSTAD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45857-2025</t>
        </is>
      </c>
      <c r="B269" s="1" t="n">
        <v>45923</v>
      </c>
      <c r="C269" s="1" t="n">
        <v>46021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45863-2025</t>
        </is>
      </c>
      <c r="B270" s="1" t="n">
        <v>45923</v>
      </c>
      <c r="C270" s="1" t="n">
        <v>46021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58739-2023</t>
        </is>
      </c>
      <c r="B271" s="1" t="n">
        <v>45251</v>
      </c>
      <c r="C271" s="1" t="n">
        <v>46021</v>
      </c>
      <c r="D271" t="inlineStr">
        <is>
          <t>HALLANDS LÄN</t>
        </is>
      </c>
      <c r="E271" t="inlineStr">
        <is>
          <t>HALMSTAD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7930-2025</t>
        </is>
      </c>
      <c r="B272" s="1" t="n">
        <v>45707</v>
      </c>
      <c r="C272" s="1" t="n">
        <v>46021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40623-2023</t>
        </is>
      </c>
      <c r="B273" s="1" t="n">
        <v>45168</v>
      </c>
      <c r="C273" s="1" t="n">
        <v>46021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40652-2023</t>
        </is>
      </c>
      <c r="B274" s="1" t="n">
        <v>45168</v>
      </c>
      <c r="C274" s="1" t="n">
        <v>46021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40659-2023</t>
        </is>
      </c>
      <c r="B275" s="1" t="n">
        <v>45168</v>
      </c>
      <c r="C275" s="1" t="n">
        <v>46021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42205-2024</t>
        </is>
      </c>
      <c r="B276" s="1" t="n">
        <v>45562.52357638889</v>
      </c>
      <c r="C276" s="1" t="n">
        <v>46021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50319-2024</t>
        </is>
      </c>
      <c r="B277" s="1" t="n">
        <v>45600</v>
      </c>
      <c r="C277" s="1" t="n">
        <v>46021</v>
      </c>
      <c r="D277" t="inlineStr">
        <is>
          <t>HALLANDS LÄN</t>
        </is>
      </c>
      <c r="E277" t="inlineStr">
        <is>
          <t>HALMSTAD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47904-2024</t>
        </is>
      </c>
      <c r="B278" s="1" t="n">
        <v>45589.27788194444</v>
      </c>
      <c r="C278" s="1" t="n">
        <v>46021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4869-2024</t>
        </is>
      </c>
      <c r="B279" s="1" t="n">
        <v>45329</v>
      </c>
      <c r="C279" s="1" t="n">
        <v>46021</v>
      </c>
      <c r="D279" t="inlineStr">
        <is>
          <t>HALLANDS LÄN</t>
        </is>
      </c>
      <c r="E279" t="inlineStr">
        <is>
          <t>HALMSTAD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8676-2025</t>
        </is>
      </c>
      <c r="B280" s="1" t="n">
        <v>45712.4275462963</v>
      </c>
      <c r="C280" s="1" t="n">
        <v>46021</v>
      </c>
      <c r="D280" t="inlineStr">
        <is>
          <t>HALLANDS LÄN</t>
        </is>
      </c>
      <c r="E280" t="inlineStr">
        <is>
          <t>HALMSTAD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46462-2025</t>
        </is>
      </c>
      <c r="B281" s="1" t="n">
        <v>45925.66769675926</v>
      </c>
      <c r="C281" s="1" t="n">
        <v>46021</v>
      </c>
      <c r="D281" t="inlineStr">
        <is>
          <t>HALLANDS LÄN</t>
        </is>
      </c>
      <c r="E281" t="inlineStr">
        <is>
          <t>HALMSTAD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12960-2025</t>
        </is>
      </c>
      <c r="B282" s="1" t="n">
        <v>45734.41832175926</v>
      </c>
      <c r="C282" s="1" t="n">
        <v>46021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46594-2025</t>
        </is>
      </c>
      <c r="B283" s="1" t="n">
        <v>45926.39710648148</v>
      </c>
      <c r="C283" s="1" t="n">
        <v>46021</v>
      </c>
      <c r="D283" t="inlineStr">
        <is>
          <t>HALLANDS LÄN</t>
        </is>
      </c>
      <c r="E283" t="inlineStr">
        <is>
          <t>HALMSTAD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63608-2023</t>
        </is>
      </c>
      <c r="B284" s="1" t="n">
        <v>45275.52637731482</v>
      </c>
      <c r="C284" s="1" t="n">
        <v>46021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9149-2024</t>
        </is>
      </c>
      <c r="B285" s="1" t="n">
        <v>45358.37987268518</v>
      </c>
      <c r="C285" s="1" t="n">
        <v>46021</v>
      </c>
      <c r="D285" t="inlineStr">
        <is>
          <t>HALLANDS LÄN</t>
        </is>
      </c>
      <c r="E285" t="inlineStr">
        <is>
          <t>HALMSTAD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46506-2025</t>
        </is>
      </c>
      <c r="B286" s="1" t="n">
        <v>45925.8935300926</v>
      </c>
      <c r="C286" s="1" t="n">
        <v>46021</v>
      </c>
      <c r="D286" t="inlineStr">
        <is>
          <t>HALLANDS LÄN</t>
        </is>
      </c>
      <c r="E286" t="inlineStr">
        <is>
          <t>HALMSTAD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60831-2023</t>
        </is>
      </c>
      <c r="B287" s="1" t="n">
        <v>45260</v>
      </c>
      <c r="C287" s="1" t="n">
        <v>46021</v>
      </c>
      <c r="D287" t="inlineStr">
        <is>
          <t>HALLANDS LÄN</t>
        </is>
      </c>
      <c r="E287" t="inlineStr">
        <is>
          <t>HALMSTAD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46432-2025</t>
        </is>
      </c>
      <c r="B288" s="1" t="n">
        <v>45925.62614583333</v>
      </c>
      <c r="C288" s="1" t="n">
        <v>46021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46468-2025</t>
        </is>
      </c>
      <c r="B289" s="1" t="n">
        <v>45925.68002314815</v>
      </c>
      <c r="C289" s="1" t="n">
        <v>46021</v>
      </c>
      <c r="D289" t="inlineStr">
        <is>
          <t>HALLANDS LÄN</t>
        </is>
      </c>
      <c r="E289" t="inlineStr">
        <is>
          <t>HALMSTAD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46507-2025</t>
        </is>
      </c>
      <c r="B290" s="1" t="n">
        <v>45925.8955787037</v>
      </c>
      <c r="C290" s="1" t="n">
        <v>46021</v>
      </c>
      <c r="D290" t="inlineStr">
        <is>
          <t>HALLANDS LÄN</t>
        </is>
      </c>
      <c r="E290" t="inlineStr">
        <is>
          <t>HALMSTAD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17476-2024</t>
        </is>
      </c>
      <c r="B291" s="1" t="n">
        <v>45415.46893518518</v>
      </c>
      <c r="C291" s="1" t="n">
        <v>46021</v>
      </c>
      <c r="D291" t="inlineStr">
        <is>
          <t>HALLANDS LÄN</t>
        </is>
      </c>
      <c r="E291" t="inlineStr">
        <is>
          <t>HALMSTAD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51901-2024</t>
        </is>
      </c>
      <c r="B292" s="1" t="n">
        <v>45607.58951388889</v>
      </c>
      <c r="C292" s="1" t="n">
        <v>46021</v>
      </c>
      <c r="D292" t="inlineStr">
        <is>
          <t>HALLANDS LÄN</t>
        </is>
      </c>
      <c r="E292" t="inlineStr">
        <is>
          <t>HALMSTAD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5210-2023</t>
        </is>
      </c>
      <c r="B293" s="1" t="n">
        <v>44959</v>
      </c>
      <c r="C293" s="1" t="n">
        <v>46021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60035-2024</t>
        </is>
      </c>
      <c r="B294" s="1" t="n">
        <v>45642.46412037037</v>
      </c>
      <c r="C294" s="1" t="n">
        <v>46021</v>
      </c>
      <c r="D294" t="inlineStr">
        <is>
          <t>HALLANDS LÄN</t>
        </is>
      </c>
      <c r="E294" t="inlineStr">
        <is>
          <t>HALMSTAD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51302-2021</t>
        </is>
      </c>
      <c r="B295" s="1" t="n">
        <v>44461</v>
      </c>
      <c r="C295" s="1" t="n">
        <v>46021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19832-2025</t>
        </is>
      </c>
      <c r="B296" s="1" t="n">
        <v>45771.46960648148</v>
      </c>
      <c r="C296" s="1" t="n">
        <v>46021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20591-2021</t>
        </is>
      </c>
      <c r="B297" s="1" t="n">
        <v>44316</v>
      </c>
      <c r="C297" s="1" t="n">
        <v>46021</v>
      </c>
      <c r="D297" t="inlineStr">
        <is>
          <t>HALLANDS LÄN</t>
        </is>
      </c>
      <c r="E297" t="inlineStr">
        <is>
          <t>HALMSTAD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59984-2024</t>
        </is>
      </c>
      <c r="B298" s="1" t="n">
        <v>45642.38490740741</v>
      </c>
      <c r="C298" s="1" t="n">
        <v>46021</v>
      </c>
      <c r="D298" t="inlineStr">
        <is>
          <t>HALLANDS LÄN</t>
        </is>
      </c>
      <c r="E298" t="inlineStr">
        <is>
          <t>HALMSTAD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12632-2023</t>
        </is>
      </c>
      <c r="B299" s="1" t="n">
        <v>45000</v>
      </c>
      <c r="C299" s="1" t="n">
        <v>46021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8705-2024</t>
        </is>
      </c>
      <c r="B300" s="1" t="n">
        <v>45356.38505787037</v>
      </c>
      <c r="C300" s="1" t="n">
        <v>46021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6087-2023</t>
        </is>
      </c>
      <c r="B301" s="1" t="n">
        <v>44964.55631944445</v>
      </c>
      <c r="C301" s="1" t="n">
        <v>46021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14987-2023</t>
        </is>
      </c>
      <c r="B302" s="1" t="n">
        <v>45015</v>
      </c>
      <c r="C302" s="1" t="n">
        <v>46021</v>
      </c>
      <c r="D302" t="inlineStr">
        <is>
          <t>HALLANDS LÄN</t>
        </is>
      </c>
      <c r="E302" t="inlineStr">
        <is>
          <t>HALMSTAD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52820-2024</t>
        </is>
      </c>
      <c r="B303" s="1" t="n">
        <v>45610.58774305556</v>
      </c>
      <c r="C303" s="1" t="n">
        <v>46021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21946-2024</t>
        </is>
      </c>
      <c r="B304" s="1" t="n">
        <v>45443</v>
      </c>
      <c r="C304" s="1" t="n">
        <v>46021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12264-2021</t>
        </is>
      </c>
      <c r="B305" s="1" t="n">
        <v>44266.8628125</v>
      </c>
      <c r="C305" s="1" t="n">
        <v>46021</v>
      </c>
      <c r="D305" t="inlineStr">
        <is>
          <t>HALLANDS LÄN</t>
        </is>
      </c>
      <c r="E305" t="inlineStr">
        <is>
          <t>HALMSTAD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37571-2023</t>
        </is>
      </c>
      <c r="B306" s="1" t="n">
        <v>45159.37650462963</v>
      </c>
      <c r="C306" s="1" t="n">
        <v>46021</v>
      </c>
      <c r="D306" t="inlineStr">
        <is>
          <t>HALLANDS LÄN</t>
        </is>
      </c>
      <c r="E306" t="inlineStr">
        <is>
          <t>HALMSTAD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21865-2025</t>
        </is>
      </c>
      <c r="B307" s="1" t="n">
        <v>45784.36950231482</v>
      </c>
      <c r="C307" s="1" t="n">
        <v>46021</v>
      </c>
      <c r="D307" t="inlineStr">
        <is>
          <t>HALLANDS LÄN</t>
        </is>
      </c>
      <c r="E307" t="inlineStr">
        <is>
          <t>HALMSTAD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47555-2025</t>
        </is>
      </c>
      <c r="B308" s="1" t="n">
        <v>45931.37539351852</v>
      </c>
      <c r="C308" s="1" t="n">
        <v>46021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47556-2025</t>
        </is>
      </c>
      <c r="B309" s="1" t="n">
        <v>45931.37692129629</v>
      </c>
      <c r="C309" s="1" t="n">
        <v>46021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53873-2022</t>
        </is>
      </c>
      <c r="B310" s="1" t="n">
        <v>44880.65715277778</v>
      </c>
      <c r="C310" s="1" t="n">
        <v>46021</v>
      </c>
      <c r="D310" t="inlineStr">
        <is>
          <t>HALLANDS LÄN</t>
        </is>
      </c>
      <c r="E310" t="inlineStr">
        <is>
          <t>HALMSTAD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59254-2022</t>
        </is>
      </c>
      <c r="B311" s="1" t="n">
        <v>44897</v>
      </c>
      <c r="C311" s="1" t="n">
        <v>46021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40418-2024</t>
        </is>
      </c>
      <c r="B312" s="1" t="n">
        <v>45555.45988425926</v>
      </c>
      <c r="C312" s="1" t="n">
        <v>46021</v>
      </c>
      <c r="D312" t="inlineStr">
        <is>
          <t>HALLANDS LÄN</t>
        </is>
      </c>
      <c r="E312" t="inlineStr">
        <is>
          <t>HALMSTAD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53797-2024</t>
        </is>
      </c>
      <c r="B313" s="1" t="n">
        <v>45615</v>
      </c>
      <c r="C313" s="1" t="n">
        <v>46021</v>
      </c>
      <c r="D313" t="inlineStr">
        <is>
          <t>HALLANDS LÄN</t>
        </is>
      </c>
      <c r="E313" t="inlineStr">
        <is>
          <t>HALMSTAD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47561-2025</t>
        </is>
      </c>
      <c r="B314" s="1" t="n">
        <v>45931.3865162037</v>
      </c>
      <c r="C314" s="1" t="n">
        <v>46021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47552-2025</t>
        </is>
      </c>
      <c r="B315" s="1" t="n">
        <v>45931.37336805555</v>
      </c>
      <c r="C315" s="1" t="n">
        <v>46021</v>
      </c>
      <c r="D315" t="inlineStr">
        <is>
          <t>HALLANDS LÄN</t>
        </is>
      </c>
      <c r="E315" t="inlineStr">
        <is>
          <t>HALMSTAD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46754-2024</t>
        </is>
      </c>
      <c r="B316" s="1" t="n">
        <v>45583.48961805556</v>
      </c>
      <c r="C316" s="1" t="n">
        <v>46021</v>
      </c>
      <c r="D316" t="inlineStr">
        <is>
          <t>HALLANDS LÄN</t>
        </is>
      </c>
      <c r="E316" t="inlineStr">
        <is>
          <t>HALMSTAD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29471-2022</t>
        </is>
      </c>
      <c r="B317" s="1" t="n">
        <v>44753.56546296296</v>
      </c>
      <c r="C317" s="1" t="n">
        <v>46021</v>
      </c>
      <c r="D317" t="inlineStr">
        <is>
          <t>HALLANDS LÄN</t>
        </is>
      </c>
      <c r="E317" t="inlineStr">
        <is>
          <t>HALMSTAD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53435-2024</t>
        </is>
      </c>
      <c r="B318" s="1" t="n">
        <v>45614.53155092592</v>
      </c>
      <c r="C318" s="1" t="n">
        <v>46021</v>
      </c>
      <c r="D318" t="inlineStr">
        <is>
          <t>HALLANDS LÄN</t>
        </is>
      </c>
      <c r="E318" t="inlineStr">
        <is>
          <t>HALMSTAD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31656-2023</t>
        </is>
      </c>
      <c r="B319" s="1" t="n">
        <v>45117.61945601852</v>
      </c>
      <c r="C319" s="1" t="n">
        <v>46021</v>
      </c>
      <c r="D319" t="inlineStr">
        <is>
          <t>HALLANDS LÄN</t>
        </is>
      </c>
      <c r="E319" t="inlineStr">
        <is>
          <t>HALMSTAD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40582-2023</t>
        </is>
      </c>
      <c r="B320" s="1" t="n">
        <v>45168</v>
      </c>
      <c r="C320" s="1" t="n">
        <v>46021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40658-2023</t>
        </is>
      </c>
      <c r="B321" s="1" t="n">
        <v>45168</v>
      </c>
      <c r="C321" s="1" t="n">
        <v>46021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31543-2022</t>
        </is>
      </c>
      <c r="B322" s="1" t="n">
        <v>44775.39306712963</v>
      </c>
      <c r="C322" s="1" t="n">
        <v>46021</v>
      </c>
      <c r="D322" t="inlineStr">
        <is>
          <t>HALLANDS LÄN</t>
        </is>
      </c>
      <c r="E322" t="inlineStr">
        <is>
          <t>HALMSTAD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48090-2025</t>
        </is>
      </c>
      <c r="B323" s="1" t="n">
        <v>45933.26612268519</v>
      </c>
      <c r="C323" s="1" t="n">
        <v>46021</v>
      </c>
      <c r="D323" t="inlineStr">
        <is>
          <t>HALLANDS LÄN</t>
        </is>
      </c>
      <c r="E323" t="inlineStr">
        <is>
          <t>HALMSTAD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23609-2025</t>
        </is>
      </c>
      <c r="B324" s="1" t="n">
        <v>45792.65913194444</v>
      </c>
      <c r="C324" s="1" t="n">
        <v>46021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18967-2021</t>
        </is>
      </c>
      <c r="B325" s="1" t="n">
        <v>44308.44898148148</v>
      </c>
      <c r="C325" s="1" t="n">
        <v>46021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15383-2025</t>
        </is>
      </c>
      <c r="B326" s="1" t="n">
        <v>45747.41398148148</v>
      </c>
      <c r="C326" s="1" t="n">
        <v>46021</v>
      </c>
      <c r="D326" t="inlineStr">
        <is>
          <t>HALLANDS LÄN</t>
        </is>
      </c>
      <c r="E326" t="inlineStr">
        <is>
          <t>HALMSTAD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40398-2022</t>
        </is>
      </c>
      <c r="B327" s="1" t="n">
        <v>44823</v>
      </c>
      <c r="C327" s="1" t="n">
        <v>46021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39331-2025</t>
        </is>
      </c>
      <c r="B328" s="1" t="n">
        <v>45889</v>
      </c>
      <c r="C328" s="1" t="n">
        <v>46021</v>
      </c>
      <c r="D328" t="inlineStr">
        <is>
          <t>HALLANDS LÄN</t>
        </is>
      </c>
      <c r="E328" t="inlineStr">
        <is>
          <t>HALMSTAD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58256-2024</t>
        </is>
      </c>
      <c r="B329" s="1" t="n">
        <v>45632.56091435185</v>
      </c>
      <c r="C329" s="1" t="n">
        <v>46021</v>
      </c>
      <c r="D329" t="inlineStr">
        <is>
          <t>HALLANDS LÄN</t>
        </is>
      </c>
      <c r="E329" t="inlineStr">
        <is>
          <t>HALMSTAD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15396-2021</t>
        </is>
      </c>
      <c r="B330" s="1" t="n">
        <v>44285</v>
      </c>
      <c r="C330" s="1" t="n">
        <v>46021</v>
      </c>
      <c r="D330" t="inlineStr">
        <is>
          <t>HALLANDS LÄN</t>
        </is>
      </c>
      <c r="E330" t="inlineStr">
        <is>
          <t>HALMSTAD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5796-2025</t>
        </is>
      </c>
      <c r="B331" s="1" t="n">
        <v>45694.65775462963</v>
      </c>
      <c r="C331" s="1" t="n">
        <v>46021</v>
      </c>
      <c r="D331" t="inlineStr">
        <is>
          <t>HALLANDS LÄN</t>
        </is>
      </c>
      <c r="E331" t="inlineStr">
        <is>
          <t>HALMSTAD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56683-2024</t>
        </is>
      </c>
      <c r="B332" s="1" t="n">
        <v>45627.58118055556</v>
      </c>
      <c r="C332" s="1" t="n">
        <v>46021</v>
      </c>
      <c r="D332" t="inlineStr">
        <is>
          <t>HALLANDS LÄN</t>
        </is>
      </c>
      <c r="E332" t="inlineStr">
        <is>
          <t>HALMSTAD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49403-2025</t>
        </is>
      </c>
      <c r="B333" s="1" t="n">
        <v>45938.67177083333</v>
      </c>
      <c r="C333" s="1" t="n">
        <v>46021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42190-2024</t>
        </is>
      </c>
      <c r="B334" s="1" t="n">
        <v>45562.48688657407</v>
      </c>
      <c r="C334" s="1" t="n">
        <v>46021</v>
      </c>
      <c r="D334" t="inlineStr">
        <is>
          <t>HALLANDS LÄN</t>
        </is>
      </c>
      <c r="E334" t="inlineStr">
        <is>
          <t>HALMSTAD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57556-2025</t>
        </is>
      </c>
      <c r="B335" s="1" t="n">
        <v>45980.68539351852</v>
      </c>
      <c r="C335" s="1" t="n">
        <v>46021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29993-2024</t>
        </is>
      </c>
      <c r="B336" s="1" t="n">
        <v>45488</v>
      </c>
      <c r="C336" s="1" t="n">
        <v>46021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17156-2022</t>
        </is>
      </c>
      <c r="B337" s="1" t="n">
        <v>44677.58336805556</v>
      </c>
      <c r="C337" s="1" t="n">
        <v>46021</v>
      </c>
      <c r="D337" t="inlineStr">
        <is>
          <t>HALLANDS LÄN</t>
        </is>
      </c>
      <c r="E337" t="inlineStr">
        <is>
          <t>HALMSTAD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12637-2025</t>
        </is>
      </c>
      <c r="B338" s="1" t="n">
        <v>45733.38145833334</v>
      </c>
      <c r="C338" s="1" t="n">
        <v>46021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40708-2023</t>
        </is>
      </c>
      <c r="B339" s="1" t="n">
        <v>45168</v>
      </c>
      <c r="C339" s="1" t="n">
        <v>46021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3032-2024</t>
        </is>
      </c>
      <c r="B340" s="1" t="n">
        <v>45316</v>
      </c>
      <c r="C340" s="1" t="n">
        <v>46021</v>
      </c>
      <c r="D340" t="inlineStr">
        <is>
          <t>HALLANDS LÄN</t>
        </is>
      </c>
      <c r="E340" t="inlineStr">
        <is>
          <t>HALMSTAD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40716-2023</t>
        </is>
      </c>
      <c r="B341" s="1" t="n">
        <v>45168</v>
      </c>
      <c r="C341" s="1" t="n">
        <v>46021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9759-2025</t>
        </is>
      </c>
      <c r="B342" s="1" t="n">
        <v>45716.47539351852</v>
      </c>
      <c r="C342" s="1" t="n">
        <v>46021</v>
      </c>
      <c r="D342" t="inlineStr">
        <is>
          <t>HALLANDS LÄN</t>
        </is>
      </c>
      <c r="E342" t="inlineStr">
        <is>
          <t>HALMSTAD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52913-2023</t>
        </is>
      </c>
      <c r="B343" s="1" t="n">
        <v>45226.51993055556</v>
      </c>
      <c r="C343" s="1" t="n">
        <v>46021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26049-2023</t>
        </is>
      </c>
      <c r="B344" s="1" t="n">
        <v>45091.3471412037</v>
      </c>
      <c r="C344" s="1" t="n">
        <v>46021</v>
      </c>
      <c r="D344" t="inlineStr">
        <is>
          <t>HALLANDS LÄN</t>
        </is>
      </c>
      <c r="E344" t="inlineStr">
        <is>
          <t>HALMSTAD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57031-2021</t>
        </is>
      </c>
      <c r="B345" s="1" t="n">
        <v>44482</v>
      </c>
      <c r="C345" s="1" t="n">
        <v>46021</v>
      </c>
      <c r="D345" t="inlineStr">
        <is>
          <t>HALLANDS LÄN</t>
        </is>
      </c>
      <c r="E345" t="inlineStr">
        <is>
          <t>HALMSTAD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4309-2025</t>
        </is>
      </c>
      <c r="B346" s="1" t="n">
        <v>45685.69002314815</v>
      </c>
      <c r="C346" s="1" t="n">
        <v>46021</v>
      </c>
      <c r="D346" t="inlineStr">
        <is>
          <t>HALLANDS LÄN</t>
        </is>
      </c>
      <c r="E346" t="inlineStr">
        <is>
          <t>HALMSTAD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24265-2025</t>
        </is>
      </c>
      <c r="B347" s="1" t="n">
        <v>45797</v>
      </c>
      <c r="C347" s="1" t="n">
        <v>46021</v>
      </c>
      <c r="D347" t="inlineStr">
        <is>
          <t>HALLANDS LÄN</t>
        </is>
      </c>
      <c r="E347" t="inlineStr">
        <is>
          <t>HALMSTAD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41626-2022</t>
        </is>
      </c>
      <c r="B348" s="1" t="n">
        <v>44827</v>
      </c>
      <c r="C348" s="1" t="n">
        <v>46021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53211-2023</t>
        </is>
      </c>
      <c r="B349" s="1" t="n">
        <v>45229.46193287037</v>
      </c>
      <c r="C349" s="1" t="n">
        <v>46021</v>
      </c>
      <c r="D349" t="inlineStr">
        <is>
          <t>HALLANDS LÄN</t>
        </is>
      </c>
      <c r="E349" t="inlineStr">
        <is>
          <t>HALMSTAD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328-2025</t>
        </is>
      </c>
      <c r="B350" s="1" t="n">
        <v>45660.65819444445</v>
      </c>
      <c r="C350" s="1" t="n">
        <v>46021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331-2025</t>
        </is>
      </c>
      <c r="B351" s="1" t="n">
        <v>45660.6609375</v>
      </c>
      <c r="C351" s="1" t="n">
        <v>46021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57922-2025</t>
        </is>
      </c>
      <c r="B352" s="1" t="n">
        <v>45981.81606481481</v>
      </c>
      <c r="C352" s="1" t="n">
        <v>46021</v>
      </c>
      <c r="D352" t="inlineStr">
        <is>
          <t>HALLANDS LÄN</t>
        </is>
      </c>
      <c r="E352" t="inlineStr">
        <is>
          <t>HALMSTAD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5191-2024</t>
        </is>
      </c>
      <c r="B353" s="1" t="n">
        <v>45330</v>
      </c>
      <c r="C353" s="1" t="n">
        <v>46021</v>
      </c>
      <c r="D353" t="inlineStr">
        <is>
          <t>HALLANDS LÄN</t>
        </is>
      </c>
      <c r="E353" t="inlineStr">
        <is>
          <t>HALMSTAD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54870-2022</t>
        </is>
      </c>
      <c r="B354" s="1" t="n">
        <v>44885.79155092593</v>
      </c>
      <c r="C354" s="1" t="n">
        <v>46021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13224-2025</t>
        </is>
      </c>
      <c r="B355" s="1" t="n">
        <v>45735</v>
      </c>
      <c r="C355" s="1" t="n">
        <v>46021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58668-2025</t>
        </is>
      </c>
      <c r="B356" s="1" t="n">
        <v>45986</v>
      </c>
      <c r="C356" s="1" t="n">
        <v>46021</v>
      </c>
      <c r="D356" t="inlineStr">
        <is>
          <t>HALLANDS LÄN</t>
        </is>
      </c>
      <c r="E356" t="inlineStr">
        <is>
          <t>HALMSTAD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58669-2025</t>
        </is>
      </c>
      <c r="B357" s="1" t="n">
        <v>45986</v>
      </c>
      <c r="C357" s="1" t="n">
        <v>46021</v>
      </c>
      <c r="D357" t="inlineStr">
        <is>
          <t>HALLANDS LÄN</t>
        </is>
      </c>
      <c r="E357" t="inlineStr">
        <is>
          <t>HALMSTAD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9546-2024</t>
        </is>
      </c>
      <c r="B358" s="1" t="n">
        <v>45359.7271412037</v>
      </c>
      <c r="C358" s="1" t="n">
        <v>46021</v>
      </c>
      <c r="D358" t="inlineStr">
        <is>
          <t>HALLANDS LÄN</t>
        </is>
      </c>
      <c r="E358" t="inlineStr">
        <is>
          <t>HALMSTAD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61663-2023</t>
        </is>
      </c>
      <c r="B359" s="1" t="n">
        <v>45264</v>
      </c>
      <c r="C359" s="1" t="n">
        <v>46021</v>
      </c>
      <c r="D359" t="inlineStr">
        <is>
          <t>HALLANDS LÄN</t>
        </is>
      </c>
      <c r="E359" t="inlineStr">
        <is>
          <t>HALMSTAD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36805-2023</t>
        </is>
      </c>
      <c r="B360" s="1" t="n">
        <v>45154</v>
      </c>
      <c r="C360" s="1" t="n">
        <v>46021</v>
      </c>
      <c r="D360" t="inlineStr">
        <is>
          <t>HALLANDS LÄN</t>
        </is>
      </c>
      <c r="E360" t="inlineStr">
        <is>
          <t>HALMSTAD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29141-2024</t>
        </is>
      </c>
      <c r="B361" s="1" t="n">
        <v>45482.41182870371</v>
      </c>
      <c r="C361" s="1" t="n">
        <v>46021</v>
      </c>
      <c r="D361" t="inlineStr">
        <is>
          <t>HALLANDS LÄN</t>
        </is>
      </c>
      <c r="E361" t="inlineStr">
        <is>
          <t>HALMSTAD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2996-2021</t>
        </is>
      </c>
      <c r="B362" s="1" t="n">
        <v>44216</v>
      </c>
      <c r="C362" s="1" t="n">
        <v>46021</v>
      </c>
      <c r="D362" t="inlineStr">
        <is>
          <t>HALLANDS LÄN</t>
        </is>
      </c>
      <c r="E362" t="inlineStr">
        <is>
          <t>HALMSTAD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27386-2025</t>
        </is>
      </c>
      <c r="B363" s="1" t="n">
        <v>45812.67229166667</v>
      </c>
      <c r="C363" s="1" t="n">
        <v>46021</v>
      </c>
      <c r="D363" t="inlineStr">
        <is>
          <t>HALLANDS LÄN</t>
        </is>
      </c>
      <c r="E363" t="inlineStr">
        <is>
          <t>HALMSTAD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20436-2025</t>
        </is>
      </c>
      <c r="B364" s="1" t="n">
        <v>45775.48255787037</v>
      </c>
      <c r="C364" s="1" t="n">
        <v>46021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19304-2023</t>
        </is>
      </c>
      <c r="B365" s="1" t="n">
        <v>45049</v>
      </c>
      <c r="C365" s="1" t="n">
        <v>46021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17237-2021</t>
        </is>
      </c>
      <c r="B366" s="1" t="n">
        <v>44298</v>
      </c>
      <c r="C366" s="1" t="n">
        <v>46021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45585-2022</t>
        </is>
      </c>
      <c r="B367" s="1" t="n">
        <v>44845</v>
      </c>
      <c r="C367" s="1" t="n">
        <v>46021</v>
      </c>
      <c r="D367" t="inlineStr">
        <is>
          <t>HALLANDS LÄN</t>
        </is>
      </c>
      <c r="E367" t="inlineStr">
        <is>
          <t>HALMSTAD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27848-2025</t>
        </is>
      </c>
      <c r="B368" s="1" t="n">
        <v>45817.39215277778</v>
      </c>
      <c r="C368" s="1" t="n">
        <v>46021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28243-2025</t>
        </is>
      </c>
      <c r="B369" s="1" t="n">
        <v>45818</v>
      </c>
      <c r="C369" s="1" t="n">
        <v>46021</v>
      </c>
      <c r="D369" t="inlineStr">
        <is>
          <t>HALLANDS LÄN</t>
        </is>
      </c>
      <c r="E369" t="inlineStr">
        <is>
          <t>HALMSTAD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60234-2024</t>
        </is>
      </c>
      <c r="B370" s="1" t="n">
        <v>45642</v>
      </c>
      <c r="C370" s="1" t="n">
        <v>46021</v>
      </c>
      <c r="D370" t="inlineStr">
        <is>
          <t>HALLANDS LÄN</t>
        </is>
      </c>
      <c r="E370" t="inlineStr">
        <is>
          <t>HALMSTAD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28459-2025</t>
        </is>
      </c>
      <c r="B371" s="1" t="n">
        <v>45819.41424768518</v>
      </c>
      <c r="C371" s="1" t="n">
        <v>46021</v>
      </c>
      <c r="D371" t="inlineStr">
        <is>
          <t>HALLANDS LÄN</t>
        </is>
      </c>
      <c r="E371" t="inlineStr">
        <is>
          <t>HALMSTAD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39746-2023</t>
        </is>
      </c>
      <c r="B372" s="1" t="n">
        <v>45167.67372685186</v>
      </c>
      <c r="C372" s="1" t="n">
        <v>46021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59061-2025</t>
        </is>
      </c>
      <c r="B373" s="1" t="n">
        <v>45988.40692129629</v>
      </c>
      <c r="C373" s="1" t="n">
        <v>46021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59070-2025</t>
        </is>
      </c>
      <c r="B374" s="1" t="n">
        <v>45988.42230324074</v>
      </c>
      <c r="C374" s="1" t="n">
        <v>46021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2821-2025</t>
        </is>
      </c>
      <c r="B375" s="1" t="n">
        <v>45677</v>
      </c>
      <c r="C375" s="1" t="n">
        <v>46021</v>
      </c>
      <c r="D375" t="inlineStr">
        <is>
          <t>HALLANDS LÄN</t>
        </is>
      </c>
      <c r="E375" t="inlineStr">
        <is>
          <t>HALMSTAD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47668-2023</t>
        </is>
      </c>
      <c r="B376" s="1" t="n">
        <v>45203.58145833333</v>
      </c>
      <c r="C376" s="1" t="n">
        <v>46021</v>
      </c>
      <c r="D376" t="inlineStr">
        <is>
          <t>HALLANDS LÄN</t>
        </is>
      </c>
      <c r="E376" t="inlineStr">
        <is>
          <t>HALMSTAD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29302-2025</t>
        </is>
      </c>
      <c r="B377" s="1" t="n">
        <v>45824</v>
      </c>
      <c r="C377" s="1" t="n">
        <v>46021</v>
      </c>
      <c r="D377" t="inlineStr">
        <is>
          <t>HALLANDS LÄN</t>
        </is>
      </c>
      <c r="E377" t="inlineStr">
        <is>
          <t>HALMSTAD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29316-2025</t>
        </is>
      </c>
      <c r="B378" s="1" t="n">
        <v>45824</v>
      </c>
      <c r="C378" s="1" t="n">
        <v>46021</v>
      </c>
      <c r="D378" t="inlineStr">
        <is>
          <t>HALLANDS LÄN</t>
        </is>
      </c>
      <c r="E378" t="inlineStr">
        <is>
          <t>HALMSTAD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30107-2025</t>
        </is>
      </c>
      <c r="B379" s="1" t="n">
        <v>45826.6940625</v>
      </c>
      <c r="C379" s="1" t="n">
        <v>46021</v>
      </c>
      <c r="D379" t="inlineStr">
        <is>
          <t>HALLANDS LÄN</t>
        </is>
      </c>
      <c r="E379" t="inlineStr">
        <is>
          <t>HALMSTAD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30698-2025</t>
        </is>
      </c>
      <c r="B380" s="1" t="n">
        <v>45831.54357638889</v>
      </c>
      <c r="C380" s="1" t="n">
        <v>46021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30740-2025</t>
        </is>
      </c>
      <c r="B381" s="1" t="n">
        <v>45831.57732638889</v>
      </c>
      <c r="C381" s="1" t="n">
        <v>46021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31103-2025</t>
        </is>
      </c>
      <c r="B382" s="1" t="n">
        <v>45831</v>
      </c>
      <c r="C382" s="1" t="n">
        <v>46021</v>
      </c>
      <c r="D382" t="inlineStr">
        <is>
          <t>HALLANDS LÄN</t>
        </is>
      </c>
      <c r="E382" t="inlineStr">
        <is>
          <t>HALMSTAD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31109-2025</t>
        </is>
      </c>
      <c r="B383" s="1" t="n">
        <v>45831</v>
      </c>
      <c r="C383" s="1" t="n">
        <v>46021</v>
      </c>
      <c r="D383" t="inlineStr">
        <is>
          <t>HALLANDS LÄN</t>
        </is>
      </c>
      <c r="E383" t="inlineStr">
        <is>
          <t>HALMSTAD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31151-2025</t>
        </is>
      </c>
      <c r="B384" s="1" t="n">
        <v>45831</v>
      </c>
      <c r="C384" s="1" t="n">
        <v>46021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50952-2025</t>
        </is>
      </c>
      <c r="B385" s="1" t="n">
        <v>45946.77001157407</v>
      </c>
      <c r="C385" s="1" t="n">
        <v>46021</v>
      </c>
      <c r="D385" t="inlineStr">
        <is>
          <t>HALLANDS LÄN</t>
        </is>
      </c>
      <c r="E385" t="inlineStr">
        <is>
          <t>HALMSTAD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31112-2025</t>
        </is>
      </c>
      <c r="B386" s="1" t="n">
        <v>45831</v>
      </c>
      <c r="C386" s="1" t="n">
        <v>46021</v>
      </c>
      <c r="D386" t="inlineStr">
        <is>
          <t>HALLANDS LÄN</t>
        </is>
      </c>
      <c r="E386" t="inlineStr">
        <is>
          <t>HALMSTAD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30694-2025</t>
        </is>
      </c>
      <c r="B387" s="1" t="n">
        <v>45831.54210648148</v>
      </c>
      <c r="C387" s="1" t="n">
        <v>46021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63609-2023</t>
        </is>
      </c>
      <c r="B388" s="1" t="n">
        <v>45275</v>
      </c>
      <c r="C388" s="1" t="n">
        <v>46021</v>
      </c>
      <c r="D388" t="inlineStr">
        <is>
          <t>HALLANDS LÄN</t>
        </is>
      </c>
      <c r="E388" t="inlineStr">
        <is>
          <t>HALMSTAD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30692-2025</t>
        </is>
      </c>
      <c r="B389" s="1" t="n">
        <v>45831.54060185186</v>
      </c>
      <c r="C389" s="1" t="n">
        <v>46021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41786-2024</t>
        </is>
      </c>
      <c r="B390" s="1" t="n">
        <v>45561.34983796296</v>
      </c>
      <c r="C390" s="1" t="n">
        <v>46021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41778-2024</t>
        </is>
      </c>
      <c r="B391" s="1" t="n">
        <v>45561.34861111111</v>
      </c>
      <c r="C391" s="1" t="n">
        <v>46021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15028-2023</t>
        </is>
      </c>
      <c r="B392" s="1" t="n">
        <v>45015</v>
      </c>
      <c r="C392" s="1" t="n">
        <v>46021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15029-2023</t>
        </is>
      </c>
      <c r="B393" s="1" t="n">
        <v>45015.63540509259</v>
      </c>
      <c r="C393" s="1" t="n">
        <v>46021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66311-2021</t>
        </is>
      </c>
      <c r="B394" s="1" t="n">
        <v>44518.49196759259</v>
      </c>
      <c r="C394" s="1" t="n">
        <v>46021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51469-2025</t>
        </is>
      </c>
      <c r="B395" s="1" t="n">
        <v>45950.61408564815</v>
      </c>
      <c r="C395" s="1" t="n">
        <v>46021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51478-2025</t>
        </is>
      </c>
      <c r="B396" s="1" t="n">
        <v>45950.61924768519</v>
      </c>
      <c r="C396" s="1" t="n">
        <v>46021</v>
      </c>
      <c r="D396" t="inlineStr">
        <is>
          <t>HALLANDS LÄN</t>
        </is>
      </c>
      <c r="E396" t="inlineStr">
        <is>
          <t>HALMSTAD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17637-2025</t>
        </is>
      </c>
      <c r="B397" s="1" t="n">
        <v>45758.31204861111</v>
      </c>
      <c r="C397" s="1" t="n">
        <v>46021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31635-2025</t>
        </is>
      </c>
      <c r="B398" s="1" t="n">
        <v>45834.33922453703</v>
      </c>
      <c r="C398" s="1" t="n">
        <v>46021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59766-2023</t>
        </is>
      </c>
      <c r="B399" s="1" t="n">
        <v>45257.42439814815</v>
      </c>
      <c r="C399" s="1" t="n">
        <v>46021</v>
      </c>
      <c r="D399" t="inlineStr">
        <is>
          <t>HALLANDS LÄN</t>
        </is>
      </c>
      <c r="E399" t="inlineStr">
        <is>
          <t>HALMSTAD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8709-2024</t>
        </is>
      </c>
      <c r="B400" s="1" t="n">
        <v>45356.38741898148</v>
      </c>
      <c r="C400" s="1" t="n">
        <v>46021</v>
      </c>
      <c r="D400" t="inlineStr">
        <is>
          <t>HALLANDS LÄN</t>
        </is>
      </c>
      <c r="E400" t="inlineStr">
        <is>
          <t>HALMSTAD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17266-2023</t>
        </is>
      </c>
      <c r="B401" s="1" t="n">
        <v>45035</v>
      </c>
      <c r="C401" s="1" t="n">
        <v>46021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51756-2025</t>
        </is>
      </c>
      <c r="B402" s="1" t="n">
        <v>45951.62796296296</v>
      </c>
      <c r="C402" s="1" t="n">
        <v>46021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52209-2025</t>
        </is>
      </c>
      <c r="B403" s="1" t="n">
        <v>45952</v>
      </c>
      <c r="C403" s="1" t="n">
        <v>46021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32827-2025</t>
        </is>
      </c>
      <c r="B404" s="1" t="n">
        <v>45839</v>
      </c>
      <c r="C404" s="1" t="n">
        <v>46021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32819-2025</t>
        </is>
      </c>
      <c r="B405" s="1" t="n">
        <v>45839</v>
      </c>
      <c r="C405" s="1" t="n">
        <v>46021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52209-2025</t>
        </is>
      </c>
      <c r="B406" s="1" t="n">
        <v>45952</v>
      </c>
      <c r="C406" s="1" t="n">
        <v>46021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52022-2025</t>
        </is>
      </c>
      <c r="B407" s="1" t="n">
        <v>45952.60084490741</v>
      </c>
      <c r="C407" s="1" t="n">
        <v>46021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33688-2025</t>
        </is>
      </c>
      <c r="B408" s="1" t="n">
        <v>45841.69149305556</v>
      </c>
      <c r="C408" s="1" t="n">
        <v>46021</v>
      </c>
      <c r="D408" t="inlineStr">
        <is>
          <t>HALLANDS LÄN</t>
        </is>
      </c>
      <c r="E408" t="inlineStr">
        <is>
          <t>HALMSTAD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9839-2024</t>
        </is>
      </c>
      <c r="B409" s="1" t="n">
        <v>45363.30917824074</v>
      </c>
      <c r="C409" s="1" t="n">
        <v>46021</v>
      </c>
      <c r="D409" t="inlineStr">
        <is>
          <t>HALLANDS LÄN</t>
        </is>
      </c>
      <c r="E409" t="inlineStr">
        <is>
          <t>HALMSTAD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41836-2024</t>
        </is>
      </c>
      <c r="B410" s="1" t="n">
        <v>45561.41157407407</v>
      </c>
      <c r="C410" s="1" t="n">
        <v>46021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33789-2025</t>
        </is>
      </c>
      <c r="B411" s="1" t="n">
        <v>45842.41909722222</v>
      </c>
      <c r="C411" s="1" t="n">
        <v>46021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33686-2025</t>
        </is>
      </c>
      <c r="B412" s="1" t="n">
        <v>45841.69039351852</v>
      </c>
      <c r="C412" s="1" t="n">
        <v>46021</v>
      </c>
      <c r="D412" t="inlineStr">
        <is>
          <t>HALLANDS LÄN</t>
        </is>
      </c>
      <c r="E412" t="inlineStr">
        <is>
          <t>HALMSTAD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60391-2023</t>
        </is>
      </c>
      <c r="B413" s="1" t="n">
        <v>45259.43509259259</v>
      </c>
      <c r="C413" s="1" t="n">
        <v>46021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60200-2025</t>
        </is>
      </c>
      <c r="B414" s="1" t="n">
        <v>45994.48966435185</v>
      </c>
      <c r="C414" s="1" t="n">
        <v>46021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34364-2025</t>
        </is>
      </c>
      <c r="B415" s="1" t="n">
        <v>45846.49229166667</v>
      </c>
      <c r="C415" s="1" t="n">
        <v>46021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60136-2025</t>
        </is>
      </c>
      <c r="B416" s="1" t="n">
        <v>45994.35421296296</v>
      </c>
      <c r="C416" s="1" t="n">
        <v>46021</v>
      </c>
      <c r="D416" t="inlineStr">
        <is>
          <t>HALLANDS LÄN</t>
        </is>
      </c>
      <c r="E416" t="inlineStr">
        <is>
          <t>HALMSTAD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52013-2025</t>
        </is>
      </c>
      <c r="B417" s="1" t="n">
        <v>45952.59629629629</v>
      </c>
      <c r="C417" s="1" t="n">
        <v>46021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58665-2025</t>
        </is>
      </c>
      <c r="B418" s="1" t="n">
        <v>45986</v>
      </c>
      <c r="C418" s="1" t="n">
        <v>46021</v>
      </c>
      <c r="D418" t="inlineStr">
        <is>
          <t>HALLANDS LÄN</t>
        </is>
      </c>
      <c r="E418" t="inlineStr">
        <is>
          <t>HALMSTAD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23785-2025</t>
        </is>
      </c>
      <c r="B419" s="1" t="n">
        <v>45793.52732638889</v>
      </c>
      <c r="C419" s="1" t="n">
        <v>46021</v>
      </c>
      <c r="D419" t="inlineStr">
        <is>
          <t>HALLANDS LÄN</t>
        </is>
      </c>
      <c r="E419" t="inlineStr">
        <is>
          <t>HALMSTAD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8211-2025</t>
        </is>
      </c>
      <c r="B420" s="1" t="n">
        <v>45708.44487268518</v>
      </c>
      <c r="C420" s="1" t="n">
        <v>46021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51996-2025</t>
        </is>
      </c>
      <c r="B421" s="1" t="n">
        <v>45952.58759259259</v>
      </c>
      <c r="C421" s="1" t="n">
        <v>46021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74038-2021</t>
        </is>
      </c>
      <c r="B422" s="1" t="n">
        <v>44557.47532407408</v>
      </c>
      <c r="C422" s="1" t="n">
        <v>46021</v>
      </c>
      <c r="D422" t="inlineStr">
        <is>
          <t>HALLANDS LÄN</t>
        </is>
      </c>
      <c r="E422" t="inlineStr">
        <is>
          <t>HALMSTAD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37160-2024</t>
        </is>
      </c>
      <c r="B423" s="1" t="n">
        <v>45539</v>
      </c>
      <c r="C423" s="1" t="n">
        <v>46021</v>
      </c>
      <c r="D423" t="inlineStr">
        <is>
          <t>HALLANDS LÄN</t>
        </is>
      </c>
      <c r="E423" t="inlineStr">
        <is>
          <t>HALMSTAD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3764-2025</t>
        </is>
      </c>
      <c r="B424" s="1" t="n">
        <v>45681</v>
      </c>
      <c r="C424" s="1" t="n">
        <v>46021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35362-2025</t>
        </is>
      </c>
      <c r="B425" s="1" t="n">
        <v>45854.67393518519</v>
      </c>
      <c r="C425" s="1" t="n">
        <v>46021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35515-2025</t>
        </is>
      </c>
      <c r="B426" s="1" t="n">
        <v>45856.40416666667</v>
      </c>
      <c r="C426" s="1" t="n">
        <v>46021</v>
      </c>
      <c r="D426" t="inlineStr">
        <is>
          <t>HALLANDS LÄN</t>
        </is>
      </c>
      <c r="E426" t="inlineStr">
        <is>
          <t>HALMSTAD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35439-2025</t>
        </is>
      </c>
      <c r="B427" s="1" t="n">
        <v>45855.48496527778</v>
      </c>
      <c r="C427" s="1" t="n">
        <v>46021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16198-2025</t>
        </is>
      </c>
      <c r="B428" s="1" t="n">
        <v>45750.6049537037</v>
      </c>
      <c r="C428" s="1" t="n">
        <v>46021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14521-2025</t>
        </is>
      </c>
      <c r="B429" s="1" t="n">
        <v>45741.64314814815</v>
      </c>
      <c r="C429" s="1" t="n">
        <v>46021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55078-2025</t>
        </is>
      </c>
      <c r="B430" s="1" t="n">
        <v>45967</v>
      </c>
      <c r="C430" s="1" t="n">
        <v>46021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5281-2025</t>
        </is>
      </c>
      <c r="B431" s="1" t="n">
        <v>45692.43351851852</v>
      </c>
      <c r="C431" s="1" t="n">
        <v>46021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30599-2024</t>
        </is>
      </c>
      <c r="B432" s="1" t="n">
        <v>45493.47959490741</v>
      </c>
      <c r="C432" s="1" t="n">
        <v>46021</v>
      </c>
      <c r="D432" t="inlineStr">
        <is>
          <t>HALLANDS LÄN</t>
        </is>
      </c>
      <c r="E432" t="inlineStr">
        <is>
          <t>HALMSTAD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1146-2024</t>
        </is>
      </c>
      <c r="B433" s="1" t="n">
        <v>45302</v>
      </c>
      <c r="C433" s="1" t="n">
        <v>46021</v>
      </c>
      <c r="D433" t="inlineStr">
        <is>
          <t>HALLANDS LÄN</t>
        </is>
      </c>
      <c r="E433" t="inlineStr">
        <is>
          <t>HALMSTAD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8098-2025</t>
        </is>
      </c>
      <c r="B434" s="1" t="n">
        <v>45707</v>
      </c>
      <c r="C434" s="1" t="n">
        <v>46021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37301-2023</t>
        </is>
      </c>
      <c r="B435" s="1" t="n">
        <v>45156.3503587963</v>
      </c>
      <c r="C435" s="1" t="n">
        <v>46021</v>
      </c>
      <c r="D435" t="inlineStr">
        <is>
          <t>HALLANDS LÄN</t>
        </is>
      </c>
      <c r="E435" t="inlineStr">
        <is>
          <t>HALMSTAD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61775-2022</t>
        </is>
      </c>
      <c r="B436" s="1" t="n">
        <v>44917.52165509259</v>
      </c>
      <c r="C436" s="1" t="n">
        <v>46021</v>
      </c>
      <c r="D436" t="inlineStr">
        <is>
          <t>HALLANDS LÄN</t>
        </is>
      </c>
      <c r="E436" t="inlineStr">
        <is>
          <t>HALMSTAD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61783-2022</t>
        </is>
      </c>
      <c r="B437" s="1" t="n">
        <v>44917.52959490741</v>
      </c>
      <c r="C437" s="1" t="n">
        <v>46021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28069-2023</t>
        </is>
      </c>
      <c r="B438" s="1" t="n">
        <v>45099</v>
      </c>
      <c r="C438" s="1" t="n">
        <v>46021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12762-2023</t>
        </is>
      </c>
      <c r="B439" s="1" t="n">
        <v>45001.32571759259</v>
      </c>
      <c r="C439" s="1" t="n">
        <v>46021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46021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24383-2023</t>
        </is>
      </c>
      <c r="B441" s="1" t="n">
        <v>45082</v>
      </c>
      <c r="C441" s="1" t="n">
        <v>46021</v>
      </c>
      <c r="D441" t="inlineStr">
        <is>
          <t>HALLANDS LÄN</t>
        </is>
      </c>
      <c r="E441" t="inlineStr">
        <is>
          <t>HALMSTAD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24266-2025</t>
        </is>
      </c>
      <c r="B442" s="1" t="n">
        <v>45797</v>
      </c>
      <c r="C442" s="1" t="n">
        <v>46021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16387-2023</t>
        </is>
      </c>
      <c r="B443" s="1" t="n">
        <v>45029.34693287037</v>
      </c>
      <c r="C443" s="1" t="n">
        <v>46021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57699-2024</t>
        </is>
      </c>
      <c r="B444" s="1" t="n">
        <v>45630.66725694444</v>
      </c>
      <c r="C444" s="1" t="n">
        <v>46021</v>
      </c>
      <c r="D444" t="inlineStr">
        <is>
          <t>HALLANDS LÄN</t>
        </is>
      </c>
      <c r="E444" t="inlineStr">
        <is>
          <t>HALMSTAD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40697-2023</t>
        </is>
      </c>
      <c r="B445" s="1" t="n">
        <v>45168</v>
      </c>
      <c r="C445" s="1" t="n">
        <v>46021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40730-2023</t>
        </is>
      </c>
      <c r="B446" s="1" t="n">
        <v>45170</v>
      </c>
      <c r="C446" s="1" t="n">
        <v>46021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39274-2022</t>
        </is>
      </c>
      <c r="B447" s="1" t="n">
        <v>44817</v>
      </c>
      <c r="C447" s="1" t="n">
        <v>46021</v>
      </c>
      <c r="D447" t="inlineStr">
        <is>
          <t>HALLANDS LÄN</t>
        </is>
      </c>
      <c r="E447" t="inlineStr">
        <is>
          <t>HALMSTAD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53109-2024</t>
        </is>
      </c>
      <c r="B448" s="1" t="n">
        <v>45611.55888888889</v>
      </c>
      <c r="C448" s="1" t="n">
        <v>46021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32753-2023</t>
        </is>
      </c>
      <c r="B449" s="1" t="n">
        <v>45122</v>
      </c>
      <c r="C449" s="1" t="n">
        <v>46021</v>
      </c>
      <c r="D449" t="inlineStr">
        <is>
          <t>HALLANDS LÄN</t>
        </is>
      </c>
      <c r="E449" t="inlineStr">
        <is>
          <t>HALMSTAD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13538-2025</t>
        </is>
      </c>
      <c r="B450" s="1" t="n">
        <v>45736</v>
      </c>
      <c r="C450" s="1" t="n">
        <v>46021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10063-2022</t>
        </is>
      </c>
      <c r="B451" s="1" t="n">
        <v>44621</v>
      </c>
      <c r="C451" s="1" t="n">
        <v>46021</v>
      </c>
      <c r="D451" t="inlineStr">
        <is>
          <t>HALLANDS LÄN</t>
        </is>
      </c>
      <c r="E451" t="inlineStr">
        <is>
          <t>HALMSTAD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5239-2025</t>
        </is>
      </c>
      <c r="B452" s="1" t="n">
        <v>45692</v>
      </c>
      <c r="C452" s="1" t="n">
        <v>46021</v>
      </c>
      <c r="D452" t="inlineStr">
        <is>
          <t>HALLANDS LÄN</t>
        </is>
      </c>
      <c r="E452" t="inlineStr">
        <is>
          <t>HALMSTAD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53539-2022</t>
        </is>
      </c>
      <c r="B453" s="1" t="n">
        <v>44879.6184375</v>
      </c>
      <c r="C453" s="1" t="n">
        <v>46021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53550-2022</t>
        </is>
      </c>
      <c r="B454" s="1" t="n">
        <v>44879</v>
      </c>
      <c r="C454" s="1" t="n">
        <v>46021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61778-2022</t>
        </is>
      </c>
      <c r="B455" s="1" t="n">
        <v>44917.52429398148</v>
      </c>
      <c r="C455" s="1" t="n">
        <v>46021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46021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37748-2023</t>
        </is>
      </c>
      <c r="B457" s="1" t="n">
        <v>45159</v>
      </c>
      <c r="C457" s="1" t="n">
        <v>46021</v>
      </c>
      <c r="D457" t="inlineStr">
        <is>
          <t>HALLANDS LÄN</t>
        </is>
      </c>
      <c r="E457" t="inlineStr">
        <is>
          <t>HALMSTAD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20414-2022</t>
        </is>
      </c>
      <c r="B458" s="1" t="n">
        <v>44699</v>
      </c>
      <c r="C458" s="1" t="n">
        <v>46021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40513-2024</t>
        </is>
      </c>
      <c r="B459" s="1" t="n">
        <v>45555</v>
      </c>
      <c r="C459" s="1" t="n">
        <v>46021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2647-2022</t>
        </is>
      </c>
      <c r="B460" s="1" t="n">
        <v>44580</v>
      </c>
      <c r="C460" s="1" t="n">
        <v>46021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60442-2024</t>
        </is>
      </c>
      <c r="B461" s="1" t="n">
        <v>45642</v>
      </c>
      <c r="C461" s="1" t="n">
        <v>46021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588-2024</t>
        </is>
      </c>
      <c r="B462" s="1" t="n">
        <v>45299.62641203704</v>
      </c>
      <c r="C462" s="1" t="n">
        <v>46021</v>
      </c>
      <c r="D462" t="inlineStr">
        <is>
          <t>HALLANDS LÄN</t>
        </is>
      </c>
      <c r="E462" t="inlineStr">
        <is>
          <t>HALMSTAD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2438-2024</t>
        </is>
      </c>
      <c r="B463" s="1" t="n">
        <v>45311</v>
      </c>
      <c r="C463" s="1" t="n">
        <v>46021</v>
      </c>
      <c r="D463" t="inlineStr">
        <is>
          <t>HALLANDS LÄN</t>
        </is>
      </c>
      <c r="E463" t="inlineStr">
        <is>
          <t>HALMSTAD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10061-2022</t>
        </is>
      </c>
      <c r="B464" s="1" t="n">
        <v>44621.60381944444</v>
      </c>
      <c r="C464" s="1" t="n">
        <v>46021</v>
      </c>
      <c r="D464" t="inlineStr">
        <is>
          <t>HALLANDS LÄN</t>
        </is>
      </c>
      <c r="E464" t="inlineStr">
        <is>
          <t>HALMSTAD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10067-2022</t>
        </is>
      </c>
      <c r="B465" s="1" t="n">
        <v>44621</v>
      </c>
      <c r="C465" s="1" t="n">
        <v>46021</v>
      </c>
      <c r="D465" t="inlineStr">
        <is>
          <t>HALLANDS LÄN</t>
        </is>
      </c>
      <c r="E465" t="inlineStr">
        <is>
          <t>HALMSTAD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12717-2023</t>
        </is>
      </c>
      <c r="B466" s="1" t="n">
        <v>45000.74719907407</v>
      </c>
      <c r="C466" s="1" t="n">
        <v>46021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13532-2023</t>
        </is>
      </c>
      <c r="B467" s="1" t="n">
        <v>45006</v>
      </c>
      <c r="C467" s="1" t="n">
        <v>46021</v>
      </c>
      <c r="D467" t="inlineStr">
        <is>
          <t>HALLANDS LÄN</t>
        </is>
      </c>
      <c r="E467" t="inlineStr">
        <is>
          <t>HALMSTAD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53126-2023</t>
        </is>
      </c>
      <c r="B468" s="1" t="n">
        <v>45229</v>
      </c>
      <c r="C468" s="1" t="n">
        <v>46021</v>
      </c>
      <c r="D468" t="inlineStr">
        <is>
          <t>HALLANDS LÄN</t>
        </is>
      </c>
      <c r="E468" t="inlineStr">
        <is>
          <t>HALMSTAD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61835-2023</t>
        </is>
      </c>
      <c r="B469" s="1" t="n">
        <v>45266.35800925926</v>
      </c>
      <c r="C469" s="1" t="n">
        <v>46021</v>
      </c>
      <c r="D469" t="inlineStr">
        <is>
          <t>HALLANDS LÄN</t>
        </is>
      </c>
      <c r="E469" t="inlineStr">
        <is>
          <t>HALMSTAD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63823-2023</t>
        </is>
      </c>
      <c r="B470" s="1" t="n">
        <v>45278</v>
      </c>
      <c r="C470" s="1" t="n">
        <v>46021</v>
      </c>
      <c r="D470" t="inlineStr">
        <is>
          <t>HALLANDS LÄN</t>
        </is>
      </c>
      <c r="E470" t="inlineStr">
        <is>
          <t>HALMSTAD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29865-2025</t>
        </is>
      </c>
      <c r="B471" s="1" t="n">
        <v>45826.35177083333</v>
      </c>
      <c r="C471" s="1" t="n">
        <v>46021</v>
      </c>
      <c r="D471" t="inlineStr">
        <is>
          <t>HALLANDS LÄN</t>
        </is>
      </c>
      <c r="E471" t="inlineStr">
        <is>
          <t>HALMSTAD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47813-2024</t>
        </is>
      </c>
      <c r="B472" s="1" t="n">
        <v>45588.61980324074</v>
      </c>
      <c r="C472" s="1" t="n">
        <v>46021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9092-2024</t>
        </is>
      </c>
      <c r="B473" s="1" t="n">
        <v>45357.91354166667</v>
      </c>
      <c r="C473" s="1" t="n">
        <v>46021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46295-2024</t>
        </is>
      </c>
      <c r="B474" s="1" t="n">
        <v>45581.66946759259</v>
      </c>
      <c r="C474" s="1" t="n">
        <v>46021</v>
      </c>
      <c r="D474" t="inlineStr">
        <is>
          <t>HALLANDS LÄN</t>
        </is>
      </c>
      <c r="E474" t="inlineStr">
        <is>
          <t>HALMSTAD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20419-2022</t>
        </is>
      </c>
      <c r="B475" s="1" t="n">
        <v>44699</v>
      </c>
      <c r="C475" s="1" t="n">
        <v>46021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45836-2024</t>
        </is>
      </c>
      <c r="B476" s="1" t="n">
        <v>45579.99072916667</v>
      </c>
      <c r="C476" s="1" t="n">
        <v>46021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24087-2023</t>
        </is>
      </c>
      <c r="B477" s="1" t="n">
        <v>45079</v>
      </c>
      <c r="C477" s="1" t="n">
        <v>46021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16268-2025</t>
        </is>
      </c>
      <c r="B478" s="1" t="n">
        <v>45750.89005787037</v>
      </c>
      <c r="C478" s="1" t="n">
        <v>46021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17458-2025</t>
        </is>
      </c>
      <c r="B479" s="1" t="n">
        <v>45757.45137731481</v>
      </c>
      <c r="C479" s="1" t="n">
        <v>46021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36980-2025</t>
        </is>
      </c>
      <c r="B480" s="1" t="n">
        <v>45874.64545138889</v>
      </c>
      <c r="C480" s="1" t="n">
        <v>46021</v>
      </c>
      <c r="D480" t="inlineStr">
        <is>
          <t>HALLANDS LÄN</t>
        </is>
      </c>
      <c r="E480" t="inlineStr">
        <is>
          <t>HALMSTAD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37139-2025</t>
        </is>
      </c>
      <c r="B481" s="1" t="n">
        <v>45874</v>
      </c>
      <c r="C481" s="1" t="n">
        <v>46021</v>
      </c>
      <c r="D481" t="inlineStr">
        <is>
          <t>HALLANDS LÄN</t>
        </is>
      </c>
      <c r="E481" t="inlineStr">
        <is>
          <t>HALMSTAD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46316-2024</t>
        </is>
      </c>
      <c r="B482" s="1" t="n">
        <v>45581.7397337963</v>
      </c>
      <c r="C482" s="1" t="n">
        <v>46021</v>
      </c>
      <c r="D482" t="inlineStr">
        <is>
          <t>HALLANDS LÄN</t>
        </is>
      </c>
      <c r="E482" t="inlineStr">
        <is>
          <t>HALMSTAD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37136-2025</t>
        </is>
      </c>
      <c r="B483" s="1" t="n">
        <v>45874</v>
      </c>
      <c r="C483" s="1" t="n">
        <v>46021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37138-2025</t>
        </is>
      </c>
      <c r="B484" s="1" t="n">
        <v>45874</v>
      </c>
      <c r="C484" s="1" t="n">
        <v>46021</v>
      </c>
      <c r="D484" t="inlineStr">
        <is>
          <t>HALLANDS LÄN</t>
        </is>
      </c>
      <c r="E484" t="inlineStr">
        <is>
          <t>HALMSTAD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61779-2022</t>
        </is>
      </c>
      <c r="B485" s="1" t="n">
        <v>44917.52596064815</v>
      </c>
      <c r="C485" s="1" t="n">
        <v>46021</v>
      </c>
      <c r="D485" t="inlineStr">
        <is>
          <t>HALLANDS LÄN</t>
        </is>
      </c>
      <c r="E485" t="inlineStr">
        <is>
          <t>HALMSTAD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40846-2023</t>
        </is>
      </c>
      <c r="B486" s="1" t="n">
        <v>45172.95373842592</v>
      </c>
      <c r="C486" s="1" t="n">
        <v>46021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24375-2023</t>
        </is>
      </c>
      <c r="B487" s="1" t="n">
        <v>45082</v>
      </c>
      <c r="C487" s="1" t="n">
        <v>46021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12263-2025</t>
        </is>
      </c>
      <c r="B488" s="1" t="n">
        <v>45729.62856481481</v>
      </c>
      <c r="C488" s="1" t="n">
        <v>46021</v>
      </c>
      <c r="D488" t="inlineStr">
        <is>
          <t>HALLANDS LÄN</t>
        </is>
      </c>
      <c r="E488" t="inlineStr">
        <is>
          <t>HALMSTAD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7633-2024</t>
        </is>
      </c>
      <c r="B489" s="1" t="n">
        <v>45348.61578703704</v>
      </c>
      <c r="C489" s="1" t="n">
        <v>46021</v>
      </c>
      <c r="D489" t="inlineStr">
        <is>
          <t>HALLANDS LÄN</t>
        </is>
      </c>
      <c r="E489" t="inlineStr">
        <is>
          <t>HALMSTAD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40735-2023</t>
        </is>
      </c>
      <c r="B490" s="1" t="n">
        <v>45170.71023148148</v>
      </c>
      <c r="C490" s="1" t="n">
        <v>46021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37270-2025</t>
        </is>
      </c>
      <c r="B491" s="1" t="n">
        <v>45876.47466435185</v>
      </c>
      <c r="C491" s="1" t="n">
        <v>46021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7905-2025</t>
        </is>
      </c>
      <c r="B492" s="1" t="n">
        <v>45707.33138888889</v>
      </c>
      <c r="C492" s="1" t="n">
        <v>46021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37745-2025</t>
        </is>
      </c>
      <c r="B493" s="1" t="n">
        <v>45880.66543981482</v>
      </c>
      <c r="C493" s="1" t="n">
        <v>46021</v>
      </c>
      <c r="D493" t="inlineStr">
        <is>
          <t>HALLANDS LÄN</t>
        </is>
      </c>
      <c r="E493" t="inlineStr">
        <is>
          <t>HALMSTAD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29138-2024</t>
        </is>
      </c>
      <c r="B494" s="1" t="n">
        <v>45482.40924768519</v>
      </c>
      <c r="C494" s="1" t="n">
        <v>46021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5330-2022</t>
        </is>
      </c>
      <c r="B495" s="1" t="n">
        <v>44594.69905092593</v>
      </c>
      <c r="C495" s="1" t="n">
        <v>46021</v>
      </c>
      <c r="D495" t="inlineStr">
        <is>
          <t>HALLANDS LÄN</t>
        </is>
      </c>
      <c r="E495" t="inlineStr">
        <is>
          <t>HALMSTAD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11091-2022</t>
        </is>
      </c>
      <c r="B496" s="1" t="n">
        <v>44628.69831018519</v>
      </c>
      <c r="C496" s="1" t="n">
        <v>46021</v>
      </c>
      <c r="D496" t="inlineStr">
        <is>
          <t>HALLANDS LÄN</t>
        </is>
      </c>
      <c r="E496" t="inlineStr">
        <is>
          <t>HALMSTAD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58193-2024</t>
        </is>
      </c>
      <c r="B497" s="1" t="n">
        <v>45632.47847222222</v>
      </c>
      <c r="C497" s="1" t="n">
        <v>46021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14895-2021</t>
        </is>
      </c>
      <c r="B498" s="1" t="n">
        <v>44281.34355324074</v>
      </c>
      <c r="C498" s="1" t="n">
        <v>46021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53390-2025</t>
        </is>
      </c>
      <c r="B499" s="1" t="n">
        <v>45959.54981481482</v>
      </c>
      <c r="C499" s="1" t="n">
        <v>46021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40644-2023</t>
        </is>
      </c>
      <c r="B500" s="1" t="n">
        <v>45168</v>
      </c>
      <c r="C500" s="1" t="n">
        <v>46021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53384-2025</t>
        </is>
      </c>
      <c r="B501" s="1" t="n">
        <v>45959.54146990741</v>
      </c>
      <c r="C501" s="1" t="n">
        <v>46021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53441-2025</t>
        </is>
      </c>
      <c r="B502" s="1" t="n">
        <v>45959.64181712963</v>
      </c>
      <c r="C502" s="1" t="n">
        <v>46021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61738-2025</t>
        </is>
      </c>
      <c r="B503" s="1" t="n">
        <v>46002.59631944444</v>
      </c>
      <c r="C503" s="1" t="n">
        <v>46021</v>
      </c>
      <c r="D503" t="inlineStr">
        <is>
          <t>HALLANDS LÄN</t>
        </is>
      </c>
      <c r="E503" t="inlineStr">
        <is>
          <t>HALMSTAD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53442-2025</t>
        </is>
      </c>
      <c r="B504" s="1" t="n">
        <v>45959.64355324074</v>
      </c>
      <c r="C504" s="1" t="n">
        <v>46021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53392-2025</t>
        </is>
      </c>
      <c r="B505" s="1" t="n">
        <v>45959.5528125</v>
      </c>
      <c r="C505" s="1" t="n">
        <v>46021</v>
      </c>
      <c r="D505" t="inlineStr">
        <is>
          <t>HALLANDS LÄN</t>
        </is>
      </c>
      <c r="E505" t="inlineStr">
        <is>
          <t>HALMSTAD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53387-2025</t>
        </is>
      </c>
      <c r="B506" s="1" t="n">
        <v>45959.54585648148</v>
      </c>
      <c r="C506" s="1" t="n">
        <v>46021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4073-2024</t>
        </is>
      </c>
      <c r="B507" s="1" t="n">
        <v>45323</v>
      </c>
      <c r="C507" s="1" t="n">
        <v>46021</v>
      </c>
      <c r="D507" t="inlineStr">
        <is>
          <t>HALLANDS LÄN</t>
        </is>
      </c>
      <c r="E507" t="inlineStr">
        <is>
          <t>HALMSTAD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332-2025</t>
        </is>
      </c>
      <c r="B508" s="1" t="n">
        <v>45660</v>
      </c>
      <c r="C508" s="1" t="n">
        <v>46021</v>
      </c>
      <c r="D508" t="inlineStr">
        <is>
          <t>HALLANDS LÄN</t>
        </is>
      </c>
      <c r="E508" t="inlineStr">
        <is>
          <t>HALMSTAD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3167-2024</t>
        </is>
      </c>
      <c r="B509" s="1" t="n">
        <v>45316</v>
      </c>
      <c r="C509" s="1" t="n">
        <v>46021</v>
      </c>
      <c r="D509" t="inlineStr">
        <is>
          <t>HALLANDS LÄN</t>
        </is>
      </c>
      <c r="E509" t="inlineStr">
        <is>
          <t>HALMSTAD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46021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3595-2025</t>
        </is>
      </c>
      <c r="B511" s="1" t="n">
        <v>45681.31789351852</v>
      </c>
      <c r="C511" s="1" t="n">
        <v>46021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3596-2025</t>
        </is>
      </c>
      <c r="B512" s="1" t="n">
        <v>45681.31962962963</v>
      </c>
      <c r="C512" s="1" t="n">
        <v>46021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62583-2025</t>
        </is>
      </c>
      <c r="B513" s="1" t="n">
        <v>46007.83387731481</v>
      </c>
      <c r="C513" s="1" t="n">
        <v>46021</v>
      </c>
      <c r="D513" t="inlineStr">
        <is>
          <t>HALLANDS LÄN</t>
        </is>
      </c>
      <c r="E513" t="inlineStr">
        <is>
          <t>HALMSTAD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62662-2025</t>
        </is>
      </c>
      <c r="B514" s="1" t="n">
        <v>46008.4332175926</v>
      </c>
      <c r="C514" s="1" t="n">
        <v>46021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26024-2023</t>
        </is>
      </c>
      <c r="B515" s="1" t="n">
        <v>45091.2996875</v>
      </c>
      <c r="C515" s="1" t="n">
        <v>46021</v>
      </c>
      <c r="D515" t="inlineStr">
        <is>
          <t>HALLANDS LÄN</t>
        </is>
      </c>
      <c r="E515" t="inlineStr">
        <is>
          <t>HALMSTAD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20400-2021</t>
        </is>
      </c>
      <c r="B516" s="1" t="n">
        <v>44315.53799768518</v>
      </c>
      <c r="C516" s="1" t="n">
        <v>46021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50593-2023</t>
        </is>
      </c>
      <c r="B517" s="1" t="n">
        <v>45217.41502314815</v>
      </c>
      <c r="C517" s="1" t="n">
        <v>46021</v>
      </c>
      <c r="D517" t="inlineStr">
        <is>
          <t>HALLANDS LÄN</t>
        </is>
      </c>
      <c r="E517" t="inlineStr">
        <is>
          <t>HALMSTAD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50603-2023</t>
        </is>
      </c>
      <c r="B518" s="1" t="n">
        <v>45217</v>
      </c>
      <c r="C518" s="1" t="n">
        <v>46021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62268-2025</t>
        </is>
      </c>
      <c r="B519" s="1" t="n">
        <v>46006.61938657407</v>
      </c>
      <c r="C519" s="1" t="n">
        <v>46021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23483-2022</t>
        </is>
      </c>
      <c r="B520" s="1" t="n">
        <v>44721.34331018518</v>
      </c>
      <c r="C520" s="1" t="n">
        <v>46021</v>
      </c>
      <c r="D520" t="inlineStr">
        <is>
          <t>HALLANDS LÄN</t>
        </is>
      </c>
      <c r="E520" t="inlineStr">
        <is>
          <t>HALMSTAD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58980-2024</t>
        </is>
      </c>
      <c r="B521" s="1" t="n">
        <v>45636.61754629629</v>
      </c>
      <c r="C521" s="1" t="n">
        <v>46021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58983-2024</t>
        </is>
      </c>
      <c r="B522" s="1" t="n">
        <v>45636.6203587963</v>
      </c>
      <c r="C522" s="1" t="n">
        <v>46021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55050-2025</t>
        </is>
      </c>
      <c r="B523" s="1" t="n">
        <v>45967.66916666667</v>
      </c>
      <c r="C523" s="1" t="n">
        <v>46021</v>
      </c>
      <c r="D523" t="inlineStr">
        <is>
          <t>HALLANDS LÄN</t>
        </is>
      </c>
      <c r="E523" t="inlineStr">
        <is>
          <t>HALMSTAD</t>
        </is>
      </c>
      <c r="F523" t="inlineStr">
        <is>
          <t>Kyrkan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15545-2022</t>
        </is>
      </c>
      <c r="B524" s="1" t="n">
        <v>44662</v>
      </c>
      <c r="C524" s="1" t="n">
        <v>46021</v>
      </c>
      <c r="D524" t="inlineStr">
        <is>
          <t>HALLANDS LÄN</t>
        </is>
      </c>
      <c r="E524" t="inlineStr">
        <is>
          <t>HALMSTAD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15550-2024</t>
        </is>
      </c>
      <c r="B525" s="1" t="n">
        <v>45401</v>
      </c>
      <c r="C525" s="1" t="n">
        <v>46021</v>
      </c>
      <c r="D525" t="inlineStr">
        <is>
          <t>HALLANDS LÄN</t>
        </is>
      </c>
      <c r="E525" t="inlineStr">
        <is>
          <t>HALMSTAD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28098-2023</t>
        </is>
      </c>
      <c r="B526" s="1" t="n">
        <v>45099</v>
      </c>
      <c r="C526" s="1" t="n">
        <v>46021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23772-2022</t>
        </is>
      </c>
      <c r="B527" s="1" t="n">
        <v>44722.39731481481</v>
      </c>
      <c r="C527" s="1" t="n">
        <v>46021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62812-2025</t>
        </is>
      </c>
      <c r="B528" s="1" t="n">
        <v>46008.64953703704</v>
      </c>
      <c r="C528" s="1" t="n">
        <v>46021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55963-2025</t>
        </is>
      </c>
      <c r="B529" s="1" t="n">
        <v>45973</v>
      </c>
      <c r="C529" s="1" t="n">
        <v>46021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55966-2025</t>
        </is>
      </c>
      <c r="B530" s="1" t="n">
        <v>45973</v>
      </c>
      <c r="C530" s="1" t="n">
        <v>46021</v>
      </c>
      <c r="D530" t="inlineStr">
        <is>
          <t>HALLANDS LÄN</t>
        </is>
      </c>
      <c r="E530" t="inlineStr">
        <is>
          <t>HALMSTAD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36808-2023</t>
        </is>
      </c>
      <c r="B531" s="1" t="n">
        <v>45154</v>
      </c>
      <c r="C531" s="1" t="n">
        <v>46021</v>
      </c>
      <c r="D531" t="inlineStr">
        <is>
          <t>HALLANDS LÄN</t>
        </is>
      </c>
      <c r="E531" t="inlineStr">
        <is>
          <t>HALMSTAD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48859-2023</t>
        </is>
      </c>
      <c r="B532" s="1" t="n">
        <v>45209.44792824074</v>
      </c>
      <c r="C532" s="1" t="n">
        <v>46021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12634-2025</t>
        </is>
      </c>
      <c r="B533" s="1" t="n">
        <v>45733.37868055556</v>
      </c>
      <c r="C533" s="1" t="n">
        <v>46021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43264-2023</t>
        </is>
      </c>
      <c r="B534" s="1" t="n">
        <v>45183</v>
      </c>
      <c r="C534" s="1" t="n">
        <v>46021</v>
      </c>
      <c r="D534" t="inlineStr">
        <is>
          <t>HALLANDS LÄN</t>
        </is>
      </c>
      <c r="E534" t="inlineStr">
        <is>
          <t>HALMSTAD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40385-2025</t>
        </is>
      </c>
      <c r="B535" s="1" t="n">
        <v>45895</v>
      </c>
      <c r="C535" s="1" t="n">
        <v>46021</v>
      </c>
      <c r="D535" t="inlineStr">
        <is>
          <t>HALLANDS LÄN</t>
        </is>
      </c>
      <c r="E535" t="inlineStr">
        <is>
          <t>HALMSTAD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55961-2025</t>
        </is>
      </c>
      <c r="B536" s="1" t="n">
        <v>45973</v>
      </c>
      <c r="C536" s="1" t="n">
        <v>46021</v>
      </c>
      <c r="D536" t="inlineStr">
        <is>
          <t>HALLANDS LÄN</t>
        </is>
      </c>
      <c r="E536" t="inlineStr">
        <is>
          <t>HALMSTAD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63524-2025</t>
        </is>
      </c>
      <c r="B537" s="1" t="n">
        <v>46013.54628472222</v>
      </c>
      <c r="C537" s="1" t="n">
        <v>46021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35376-2024</t>
        </is>
      </c>
      <c r="B538" s="1" t="n">
        <v>45531</v>
      </c>
      <c r="C538" s="1" t="n">
        <v>46021</v>
      </c>
      <c r="D538" t="inlineStr">
        <is>
          <t>HALLANDS LÄN</t>
        </is>
      </c>
      <c r="E538" t="inlineStr">
        <is>
          <t>HALMSTAD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27505-2022</t>
        </is>
      </c>
      <c r="B539" s="1" t="n">
        <v>44742</v>
      </c>
      <c r="C539" s="1" t="n">
        <v>46021</v>
      </c>
      <c r="D539" t="inlineStr">
        <is>
          <t>HALLANDS LÄN</t>
        </is>
      </c>
      <c r="E539" t="inlineStr">
        <is>
          <t>HALMSTAD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7326-2021</t>
        </is>
      </c>
      <c r="B540" s="1" t="n">
        <v>44239</v>
      </c>
      <c r="C540" s="1" t="n">
        <v>46021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43269-2023</t>
        </is>
      </c>
      <c r="B541" s="1" t="n">
        <v>45183.52023148148</v>
      </c>
      <c r="C541" s="1" t="n">
        <v>46021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55596-2023</t>
        </is>
      </c>
      <c r="B542" s="1" t="n">
        <v>45238.68503472222</v>
      </c>
      <c r="C542" s="1" t="n">
        <v>46021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55956-2025</t>
        </is>
      </c>
      <c r="B543" s="1" t="n">
        <v>45973.47600694445</v>
      </c>
      <c r="C543" s="1" t="n">
        <v>46021</v>
      </c>
      <c r="D543" t="inlineStr">
        <is>
          <t>HALLANDS LÄN</t>
        </is>
      </c>
      <c r="E543" t="inlineStr">
        <is>
          <t>HALMSTAD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55770-2023</t>
        </is>
      </c>
      <c r="B544" s="1" t="n">
        <v>45239</v>
      </c>
      <c r="C544" s="1" t="n">
        <v>46021</v>
      </c>
      <c r="D544" t="inlineStr">
        <is>
          <t>HALLANDS LÄN</t>
        </is>
      </c>
      <c r="E544" t="inlineStr">
        <is>
          <t>HALMSTAD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56401-2025</t>
        </is>
      </c>
      <c r="B545" s="1" t="n">
        <v>45974.88986111111</v>
      </c>
      <c r="C545" s="1" t="n">
        <v>46021</v>
      </c>
      <c r="D545" t="inlineStr">
        <is>
          <t>HALLANDS LÄN</t>
        </is>
      </c>
      <c r="E545" t="inlineStr">
        <is>
          <t>HALMSTAD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13408-2021</t>
        </is>
      </c>
      <c r="B546" s="1" t="n">
        <v>44273</v>
      </c>
      <c r="C546" s="1" t="n">
        <v>46021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40345-2023</t>
        </is>
      </c>
      <c r="B547" s="1" t="n">
        <v>45169.63234953704</v>
      </c>
      <c r="C547" s="1" t="n">
        <v>46021</v>
      </c>
      <c r="D547" t="inlineStr">
        <is>
          <t>HALLANDS LÄN</t>
        </is>
      </c>
      <c r="E547" t="inlineStr">
        <is>
          <t>HALMSTAD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60323-2022</t>
        </is>
      </c>
      <c r="B548" s="1" t="n">
        <v>44910.59059027778</v>
      </c>
      <c r="C548" s="1" t="n">
        <v>46021</v>
      </c>
      <c r="D548" t="inlineStr">
        <is>
          <t>HALLANDS LÄN</t>
        </is>
      </c>
      <c r="E548" t="inlineStr">
        <is>
          <t>HALMSTAD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60139-2023</t>
        </is>
      </c>
      <c r="B549" s="1" t="n">
        <v>45258</v>
      </c>
      <c r="C549" s="1" t="n">
        <v>46021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34114-2023</t>
        </is>
      </c>
      <c r="B550" s="1" t="n">
        <v>45126</v>
      </c>
      <c r="C550" s="1" t="n">
        <v>46021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22149-2022</t>
        </is>
      </c>
      <c r="B551" s="1" t="n">
        <v>44712</v>
      </c>
      <c r="C551" s="1" t="n">
        <v>46021</v>
      </c>
      <c r="D551" t="inlineStr">
        <is>
          <t>HALLANDS LÄN</t>
        </is>
      </c>
      <c r="E551" t="inlineStr">
        <is>
          <t>HALMSTAD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61670-2023</t>
        </is>
      </c>
      <c r="B552" s="1" t="n">
        <v>45264</v>
      </c>
      <c r="C552" s="1" t="n">
        <v>46021</v>
      </c>
      <c r="D552" t="inlineStr">
        <is>
          <t>HALLANDS LÄN</t>
        </is>
      </c>
      <c r="E552" t="inlineStr">
        <is>
          <t>HALMSTAD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2025-12-30T09:55:58Z</dcterms:created>
  <dcterms:modified xmlns:dcterms="http://purl.org/dc/terms/" xmlns:xsi="http://www.w3.org/2001/XMLSchema-instance" xsi:type="dcterms:W3CDTF">2025-12-30T09:55:58Z</dcterms:modified>
</cp:coreProperties>
</file>
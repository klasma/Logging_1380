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46301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46301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46301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46301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46301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46301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46301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46301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46301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46301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46301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46301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46301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46301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46301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46301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46301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46301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46301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46301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46301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46301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46301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46301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46301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46301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46301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57025-2021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44482</v>
      </c>
      <c r="E45" s="1" t="n">
        <v>46301</v>
      </c>
      <c r="F45" t="inlineStr">
        <is>
          <t>HALLANDS LÄN</t>
        </is>
      </c>
      <c r="G45" t="inlineStr">
        <is>
          <t>HALMSTAD</t>
        </is>
      </c>
      <c r="I45" t="n">
        <v>5.6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HYPERLINK("https://klasma.github.io/Logging_1380/artfynd/A 57025-2021 artfynd.xlsx", "A 57025-2021")</f>
        <v/>
      </c>
      <c r="X45">
        <f>HYPERLINK("https://klasma.github.io/Logging_1380/kartor/A 57025-2021 karta.png", "A 57025-2021")</f>
        <v/>
      </c>
      <c r="Y45">
        <f>HYPERLINK("https://klasma.github.io/Logging_1380/kartor_geotiff/A 57025-2021 georefererad karta.tif", "A 57025-2021")</f>
        <v/>
      </c>
      <c r="AA45">
        <f>HYPERLINK("https://klasma.github.io/Logging_1380/klagomål/A 57025-2021 FSC-klagomål.docx", "A 57025-2021")</f>
        <v/>
      </c>
      <c r="AB45">
        <f>HYPERLINK("https://klasma.github.io/Logging_1380/klagomålsmail/A 57025-2021 FSC-klagomål mail.docx", "A 57025-2021")</f>
        <v/>
      </c>
      <c r="AC45">
        <f>HYPERLINK("https://klasma.github.io/Logging_1380/tillsyn/A 57025-2021 tillsynsbegäran.docx", "A 57025-2021")</f>
        <v/>
      </c>
      <c r="AD45">
        <f>HYPERLINK("https://klasma.github.io/Logging_1380/tillsynsmail/A 57025-2021 tillsynsbegäran mail.docx", "A 57025-2021")</f>
        <v/>
      </c>
      <c r="AE45">
        <f>HYPERLINK("https://klasma.github.io/Logging_1380/fåglar/A 57025-2021 prioriterade fågelarter.docx", "A 57025-2021")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46301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46301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Dunmossa</t>
        </is>
      </c>
      <c r="W47">
        <f>HYPERLINK("https://klasma.github.io/Logging_1380/artfynd/A 59260-2022 artfynd.xlsx", "A 59260-2022")</f>
        <v/>
      </c>
      <c r="X47">
        <f>HYPERLINK("https://klasma.github.io/Logging_1380/kartor/A 59260-2022 karta.png", "A 59260-2022")</f>
        <v/>
      </c>
      <c r="Y47">
        <f>HYPERLINK("https://klasma.github.io/Logging_1380/kartor_geotiff/A 59260-2022 georefererad karta.tif", "A 59260-2022")</f>
        <v/>
      </c>
      <c r="AA47">
        <f>HYPERLINK("https://klasma.github.io/Logging_1380/klagomål/A 59260-2022 FSC-klagomål.docx", "A 59260-2022")</f>
        <v/>
      </c>
      <c r="AB47">
        <f>HYPERLINK("https://klasma.github.io/Logging_1380/klagomålsmail/A 59260-2022 FSC-klagomål mail.docx", "A 59260-2022")</f>
        <v/>
      </c>
      <c r="AC47">
        <f>HYPERLINK("https://klasma.github.io/Logging_1380/tillsyn/A 59260-2022 tillsynsbegäran.docx", "A 59260-2022")</f>
        <v/>
      </c>
      <c r="AD47">
        <f>HYPERLINK("https://klasma.github.io/Logging_1380/tillsynsmail/A 59260-2022 tillsynsbegäran mail.docx", "A 59260-2022")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46301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46301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46301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19588-2023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46301</v>
      </c>
      <c r="F51" t="inlineStr">
        <is>
          <t>HALLANDS LÄN</t>
        </is>
      </c>
      <c r="G51" t="inlineStr">
        <is>
          <t>HALMSTAD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Ljungögontröst</t>
        </is>
      </c>
      <c r="W51">
        <f>HYPERLINK("https://klasma.github.io/Logging_1380/artfynd/A 19588-2023 artfynd.xlsx", "A 19588-2023")</f>
        <v/>
      </c>
      <c r="X51">
        <f>HYPERLINK("https://klasma.github.io/Logging_1380/kartor/A 19588-2023 karta.png", "A 19588-2023")</f>
        <v/>
      </c>
      <c r="Y51">
        <f>HYPERLINK("https://klasma.github.io/Logging_1380/kartor_geotiff/A 19588-2023 georefererad karta.tif", "A 19588-2023")</f>
        <v/>
      </c>
      <c r="AA51">
        <f>HYPERLINK("https://klasma.github.io/Logging_1380/klagomål/A 19588-2023 FSC-klagomål.docx", "A 19588-2023")</f>
        <v/>
      </c>
      <c r="AB51">
        <f>HYPERLINK("https://klasma.github.io/Logging_1380/klagomålsmail/A 19588-2023 FSC-klagomål mail.docx", "A 19588-2023")</f>
        <v/>
      </c>
      <c r="AC51">
        <f>HYPERLINK("https://klasma.github.io/Logging_1380/tillsyn/A 19588-2023 tillsynsbegäran.docx", "A 19588-2023")</f>
        <v/>
      </c>
      <c r="AD51">
        <f>HYPERLINK("https://klasma.github.io/Logging_1380/tillsynsmail/A 19588-2023 tillsynsbegäran mail.docx", "A 19588-2023")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46301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24383-2023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46301</v>
      </c>
      <c r="F53" t="inlineStr">
        <is>
          <t>HALLANDS LÄN</t>
        </is>
      </c>
      <c r="G53" t="inlineStr">
        <is>
          <t>HALMSTAD</t>
        </is>
      </c>
      <c r="I53" t="n">
        <v>3.2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24383-2023 artfynd.xlsx", "A 24383-2023")</f>
        <v/>
      </c>
      <c r="X53">
        <f>HYPERLINK("https://klasma.github.io/Logging_1380/kartor/A 24383-2023 karta.png", "A 24383-2023")</f>
        <v/>
      </c>
      <c r="Y53">
        <f>HYPERLINK("https://klasma.github.io/Logging_1380/kartor_geotiff/A 24383-2023 georefererad karta.tif", "A 24383-2023")</f>
        <v/>
      </c>
      <c r="AA53">
        <f>HYPERLINK("https://klasma.github.io/Logging_1380/klagomål/A 24383-2023 FSC-klagomål.docx", "A 24383-2023")</f>
        <v/>
      </c>
      <c r="AB53">
        <f>HYPERLINK("https://klasma.github.io/Logging_1380/klagomålsmail/A 24383-2023 FSC-klagomål mail.docx", "A 24383-2023")</f>
        <v/>
      </c>
      <c r="AC53">
        <f>HYPERLINK("https://klasma.github.io/Logging_1380/tillsyn/A 24383-2023 tillsynsbegäran.docx", "A 24383-2023")</f>
        <v/>
      </c>
      <c r="AD53">
        <f>HYPERLINK("https://klasma.github.io/Logging_1380/tillsynsmail/A 24383-2023 tillsynsbegäran mail.docx", "A 24383-2023")</f>
        <v/>
      </c>
    </row>
    <row r="54" ht="15" customHeight="1">
      <c r="A54" t="inlineStr">
        <is>
          <t>A 16387-2023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46301</v>
      </c>
      <c r="F54" t="inlineStr">
        <is>
          <t>HALLANDS LÄN</t>
        </is>
      </c>
      <c r="G54" t="inlineStr">
        <is>
          <t>HALMSTAD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HYPERLINK("https://klasma.github.io/Logging_1380/artfynd/A 16387-2023 artfynd.xlsx", "A 16387-2023")</f>
        <v/>
      </c>
      <c r="X54">
        <f>HYPERLINK("https://klasma.github.io/Logging_1380/kartor/A 16387-2023 karta.png", "A 16387-2023")</f>
        <v/>
      </c>
      <c r="Y54">
        <f>HYPERLINK("https://klasma.github.io/Logging_1380/kartor_geotiff/A 16387-2023 georefererad karta.tif", "A 16387-2023")</f>
        <v/>
      </c>
      <c r="AA54">
        <f>HYPERLINK("https://klasma.github.io/Logging_1380/klagomål/A 16387-2023 FSC-klagomål.docx", "A 16387-2023")</f>
        <v/>
      </c>
      <c r="AB54">
        <f>HYPERLINK("https://klasma.github.io/Logging_1380/klagomålsmail/A 16387-2023 FSC-klagomål mail.docx", "A 16387-2023")</f>
        <v/>
      </c>
      <c r="AC54">
        <f>HYPERLINK("https://klasma.github.io/Logging_1380/tillsyn/A 16387-2023 tillsynsbegäran.docx", "A 16387-2023")</f>
        <v/>
      </c>
      <c r="AD54">
        <f>HYPERLINK("https://klasma.github.io/Logging_1380/tillsynsmail/A 16387-2023 tillsynsbegäran mail.docx", "A 16387-2023")</f>
        <v/>
      </c>
      <c r="AE54">
        <f>HYPERLINK("https://klasma.github.io/Logging_1380/fåglar/A 16387-2023 prioriterade fågelarter.docx", "A 16387-2023")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46301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46301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46301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20419-2022 artfynd.xlsx", "A 20419-2022")</f>
        <v/>
      </c>
      <c r="X58">
        <f>HYPERLINK("https://klasma.github.io/Logging_1380/kartor/A 20419-2022 karta.png", "A 20419-2022")</f>
        <v/>
      </c>
      <c r="Y58">
        <f>HYPERLINK("https://klasma.github.io/Logging_1380/kartor_geotiff/A 20419-2022 georefererad karta.tif", "A 20419-2022")</f>
        <v/>
      </c>
      <c r="AA58">
        <f>HYPERLINK("https://klasma.github.io/Logging_1380/klagomål/A 20419-2022 FSC-klagomål.docx", "A 20419-2022")</f>
        <v/>
      </c>
      <c r="AB58">
        <f>HYPERLINK("https://klasma.github.io/Logging_1380/klagomålsmail/A 20419-2022 FSC-klagomål mail.docx", "A 20419-2022")</f>
        <v/>
      </c>
      <c r="AC58">
        <f>HYPERLINK("https://klasma.github.io/Logging_1380/tillsyn/A 20419-2022 tillsynsbegäran.docx", "A 20419-2022")</f>
        <v/>
      </c>
      <c r="AD58">
        <f>HYPERLINK("https://klasma.github.io/Logging_1380/tillsynsmail/A 20419-2022 tillsynsbegäran mail.docx", "A 20419-2022")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46301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6767-2026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46301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6767-2026 artfynd.xlsx", "A 6767-2026")</f>
        <v/>
      </c>
      <c r="X60">
        <f>HYPERLINK("https://klasma.github.io/Logging_1380/kartor/A 6767-2026 karta.png", "A 6767-2026")</f>
        <v/>
      </c>
      <c r="Y60">
        <f>HYPERLINK("https://klasma.github.io/Logging_1380/kartor_geotiff/A 6767-2026 georefererad karta.tif", "A 6767-2026")</f>
        <v/>
      </c>
      <c r="AA60">
        <f>HYPERLINK("https://klasma.github.io/Logging_1380/klagomål/A 6767-2026 FSC-klagomål.docx", "A 6767-2026")</f>
        <v/>
      </c>
      <c r="AB60">
        <f>HYPERLINK("https://klasma.github.io/Logging_1380/klagomålsmail/A 6767-2026 FSC-klagomål mail.docx", "A 6767-2026")</f>
        <v/>
      </c>
      <c r="AC60">
        <f>HYPERLINK("https://klasma.github.io/Logging_1380/tillsyn/A 6767-2026 tillsynsbegäran.docx", "A 6767-2026")</f>
        <v/>
      </c>
      <c r="AD60">
        <f>HYPERLINK("https://klasma.github.io/Logging_1380/tillsynsmail/A 6767-2026 tillsynsbegäran mail.docx", "A 6767-2026")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46301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2994-2024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46301</v>
      </c>
      <c r="F62" t="inlineStr">
        <is>
          <t>HALLANDS LÄN</t>
        </is>
      </c>
      <c r="G62" t="inlineStr">
        <is>
          <t>HALMSTAD</t>
        </is>
      </c>
      <c r="I62" t="n">
        <v>7.9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2994-2024 artfynd.xlsx", "A 2994-2024")</f>
        <v/>
      </c>
      <c r="X62">
        <f>HYPERLINK("https://klasma.github.io/Logging_1380/kartor/A 2994-2024 karta.png", "A 2994-2024")</f>
        <v/>
      </c>
      <c r="Y62">
        <f>HYPERLINK("https://klasma.github.io/Logging_1380/kartor_geotiff/A 2994-2024 georefererad karta.tif", "A 2994-2024")</f>
        <v/>
      </c>
      <c r="AA62">
        <f>HYPERLINK("https://klasma.github.io/Logging_1380/klagomål/A 2994-2024 FSC-klagomål.docx", "A 2994-2024")</f>
        <v/>
      </c>
      <c r="AB62">
        <f>HYPERLINK("https://klasma.github.io/Logging_1380/klagomålsmail/A 2994-2024 FSC-klagomål mail.docx", "A 2994-2024")</f>
        <v/>
      </c>
      <c r="AC62">
        <f>HYPERLINK("https://klasma.github.io/Logging_1380/tillsyn/A 2994-2024 tillsynsbegäran.docx", "A 2994-2024")</f>
        <v/>
      </c>
      <c r="AD62">
        <f>HYPERLINK("https://klasma.github.io/Logging_1380/tillsynsmail/A 2994-2024 tillsynsbegäran mail.docx", "A 2994-2024")</f>
        <v/>
      </c>
    </row>
    <row r="63" ht="15" customHeight="1">
      <c r="A63" t="inlineStr">
        <is>
          <t>A 53797-2024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46301</v>
      </c>
      <c r="F63" t="inlineStr">
        <is>
          <t>HALLANDS LÄN</t>
        </is>
      </c>
      <c r="G63" t="inlineStr">
        <is>
          <t>HALMSTAD</t>
        </is>
      </c>
      <c r="I63" t="n">
        <v>3.5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Dvärglin</t>
        </is>
      </c>
      <c r="W63">
        <f>HYPERLINK("https://klasma.github.io/Logging_1380/artfynd/A 53797-2024 artfynd.xlsx", "A 53797-2024")</f>
        <v/>
      </c>
      <c r="X63">
        <f>HYPERLINK("https://klasma.github.io/Logging_1380/kartor/A 53797-2024 karta.png", "A 53797-2024")</f>
        <v/>
      </c>
      <c r="Y63">
        <f>HYPERLINK("https://klasma.github.io/Logging_1380/kartor_geotiff/A 53797-2024 georefererad karta.tif", "A 53797-2024")</f>
        <v/>
      </c>
      <c r="AA63">
        <f>HYPERLINK("https://klasma.github.io/Logging_1380/klagomål/A 53797-2024 FSC-klagomål.docx", "A 53797-2024")</f>
        <v/>
      </c>
      <c r="AB63">
        <f>HYPERLINK("https://klasma.github.io/Logging_1380/klagomålsmail/A 53797-2024 FSC-klagomål mail.docx", "A 53797-2024")</f>
        <v/>
      </c>
      <c r="AC63">
        <f>HYPERLINK("https://klasma.github.io/Logging_1380/tillsyn/A 53797-2024 tillsynsbegäran.docx", "A 53797-2024")</f>
        <v/>
      </c>
      <c r="AD63">
        <f>HYPERLINK("https://klasma.github.io/Logging_1380/tillsynsmail/A 53797-2024 tillsynsbegäran mail.docx", "A 53797-2024")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46301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46301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21626-2026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46301</v>
      </c>
      <c r="F66" t="inlineStr">
        <is>
          <t>HALLANDS LÄN</t>
        </is>
      </c>
      <c r="G66" t="inlineStr">
        <is>
          <t>HALMSTAD</t>
        </is>
      </c>
      <c r="I66" t="n">
        <v>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Hårginst</t>
        </is>
      </c>
      <c r="W66">
        <f>HYPERLINK("https://klasma.github.io/Logging_1380/artfynd/A 21626-2026 artfynd.xlsx", "A 21626-2026")</f>
        <v/>
      </c>
      <c r="X66">
        <f>HYPERLINK("https://klasma.github.io/Logging_1380/kartor/A 21626-2026 karta.png", "A 21626-2026")</f>
        <v/>
      </c>
      <c r="Y66">
        <f>HYPERLINK("https://klasma.github.io/Logging_1380/kartor_geotiff/A 21626-2026 georefererad karta.tif", "A 21626-2026")</f>
        <v/>
      </c>
      <c r="AA66">
        <f>HYPERLINK("https://klasma.github.io/Logging_1380/klagomål/A 21626-2026 FSC-klagomål.docx", "A 21626-2026")</f>
        <v/>
      </c>
      <c r="AB66">
        <f>HYPERLINK("https://klasma.github.io/Logging_1380/klagomålsmail/A 21626-2026 FSC-klagomål mail.docx", "A 21626-2026")</f>
        <v/>
      </c>
      <c r="AC66">
        <f>HYPERLINK("https://klasma.github.io/Logging_1380/tillsyn/A 21626-2026 tillsynsbegäran.docx", "A 21626-2026")</f>
        <v/>
      </c>
      <c r="AD66">
        <f>HYPERLINK("https://klasma.github.io/Logging_1380/tillsynsmail/A 21626-2026 tillsynsbegäran mail.docx", "A 21626-2026")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46301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46301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40650-2023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46301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14.7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</t>
        </is>
      </c>
      <c r="W69">
        <f>HYPERLINK("https://klasma.github.io/Logging_1380/artfynd/A 40650-2023 artfynd.xlsx", "A 40650-2023")</f>
        <v/>
      </c>
      <c r="X69">
        <f>HYPERLINK("https://klasma.github.io/Logging_1380/kartor/A 40650-2023 karta.png", "A 40650-2023")</f>
        <v/>
      </c>
      <c r="Y69">
        <f>HYPERLINK("https://klasma.github.io/Logging_1380/kartor_geotiff/A 40650-2023 georefererad karta.tif", "A 40650-2023")</f>
        <v/>
      </c>
      <c r="AA69">
        <f>HYPERLINK("https://klasma.github.io/Logging_1380/klagomål/A 40650-2023 FSC-klagomål.docx", "A 40650-2023")</f>
        <v/>
      </c>
      <c r="AB69">
        <f>HYPERLINK("https://klasma.github.io/Logging_1380/klagomålsmail/A 40650-2023 FSC-klagomål mail.docx", "A 40650-2023")</f>
        <v/>
      </c>
      <c r="AC69">
        <f>HYPERLINK("https://klasma.github.io/Logging_1380/tillsyn/A 40650-2023 tillsynsbegäran.docx", "A 40650-2023")</f>
        <v/>
      </c>
      <c r="AD69">
        <f>HYPERLINK("https://klasma.github.io/Logging_1380/tillsynsmail/A 40650-2023 tillsynsbegäran mail.docx", "A 40650-2023")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46301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46301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46301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46301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46301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46301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1610-2024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46301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Månlåsbräken</t>
        </is>
      </c>
      <c r="W76">
        <f>HYPERLINK("https://klasma.github.io/Logging_1380/artfynd/A 1610-2024 artfynd.xlsx", "A 1610-2024")</f>
        <v/>
      </c>
      <c r="X76">
        <f>HYPERLINK("https://klasma.github.io/Logging_1380/kartor/A 1610-2024 karta.png", "A 1610-2024")</f>
        <v/>
      </c>
      <c r="Y76">
        <f>HYPERLINK("https://klasma.github.io/Logging_1380/kartor_geotiff/A 1610-2024 georefererad karta.tif", "A 1610-2024")</f>
        <v/>
      </c>
      <c r="AA76">
        <f>HYPERLINK("https://klasma.github.io/Logging_1380/klagomål/A 1610-2024 FSC-klagomål.docx", "A 1610-2024")</f>
        <v/>
      </c>
      <c r="AB76">
        <f>HYPERLINK("https://klasma.github.io/Logging_1380/klagomålsmail/A 1610-2024 FSC-klagomål mail.docx", "A 1610-2024")</f>
        <v/>
      </c>
      <c r="AC76">
        <f>HYPERLINK("https://klasma.github.io/Logging_1380/tillsyn/A 1610-2024 tillsynsbegäran.docx", "A 1610-2024")</f>
        <v/>
      </c>
      <c r="AD76">
        <f>HYPERLINK("https://klasma.github.io/Logging_1380/tillsynsmail/A 1610-2024 tillsynsbegäran mail.docx", "A 1610-2024")</f>
        <v/>
      </c>
    </row>
    <row r="77" ht="15" customHeight="1">
      <c r="A77" t="inlineStr">
        <is>
          <t>A 22842-2022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44715</v>
      </c>
      <c r="E77" s="1" t="n">
        <v>46301</v>
      </c>
      <c r="F77" t="inlineStr">
        <is>
          <t>HALLANDS LÄN</t>
        </is>
      </c>
      <c r="G77" t="inlineStr">
        <is>
          <t>HALMSTAD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4</v>
      </c>
      <c r="V77" s="2" t="inlineStr">
        <is>
          <t>Spillkråka</t>
        </is>
      </c>
      <c r="W77">
        <f>HYPERLINK("https://klasma.github.io/Logging_1380/artfynd/A 22842-2022 artfynd.xlsx", "A 22842-2022")</f>
        <v/>
      </c>
      <c r="X77">
        <f>HYPERLINK("https://klasma.github.io/Logging_1380/kartor/A 22842-2022 karta.png", "A 22842-2022")</f>
        <v/>
      </c>
      <c r="Y77">
        <f>HYPERLINK("https://klasma.github.io/Logging_1380/kartor_geotiff/A 22842-2022 georefererad karta.tif", "A 22842-2022")</f>
        <v/>
      </c>
      <c r="AA77">
        <f>HYPERLINK("https://klasma.github.io/Logging_1380/klagomål/A 22842-2022 FSC-klagomål.docx", "A 22842-2022")</f>
        <v/>
      </c>
      <c r="AB77">
        <f>HYPERLINK("https://klasma.github.io/Logging_1380/klagomålsmail/A 22842-2022 FSC-klagomål mail.docx", "A 22842-2022")</f>
        <v/>
      </c>
      <c r="AC77">
        <f>HYPERLINK("https://klasma.github.io/Logging_1380/tillsyn/A 22842-2022 tillsynsbegäran.docx", "A 22842-2022")</f>
        <v/>
      </c>
      <c r="AD77">
        <f>HYPERLINK("https://klasma.github.io/Logging_1380/tillsynsmail/A 22842-2022 tillsynsbegäran mail.docx", "A 22842-2022")</f>
        <v/>
      </c>
      <c r="AE77">
        <f>HYPERLINK("https://klasma.github.io/Logging_1380/fåglar/A 22842-2022 prioriterade fågelarter.docx", "A 22842-2022")</f>
        <v/>
      </c>
    </row>
    <row r="78" ht="15" customHeight="1">
      <c r="A78" t="inlineStr">
        <is>
          <t>A 5530-2025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45692</v>
      </c>
      <c r="E78" s="1" t="n">
        <v>46301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1</v>
      </c>
      <c r="V78" s="2" t="inlineStr">
        <is>
          <t>Igelkott</t>
        </is>
      </c>
      <c r="W78">
        <f>HYPERLINK("https://klasma.github.io/Logging_1380/artfynd/A 5530-2025 artfynd.xlsx", "A 5530-2025")</f>
        <v/>
      </c>
      <c r="X78">
        <f>HYPERLINK("https://klasma.github.io/Logging_1380/kartor/A 5530-2025 karta.png", "A 5530-2025")</f>
        <v/>
      </c>
      <c r="Y78">
        <f>HYPERLINK("https://klasma.github.io/Logging_1380/kartor_geotiff/A 5530-2025 georefererad karta.tif", "A 5530-2025")</f>
        <v/>
      </c>
      <c r="AA78">
        <f>HYPERLINK("https://klasma.github.io/Logging_1380/klagomål/A 5530-2025 FSC-klagomål.docx", "A 5530-2025")</f>
        <v/>
      </c>
      <c r="AB78">
        <f>HYPERLINK("https://klasma.github.io/Logging_1380/klagomålsmail/A 5530-2025 FSC-klagomål mail.docx", "A 5530-2025")</f>
        <v/>
      </c>
      <c r="AC78">
        <f>HYPERLINK("https://klasma.github.io/Logging_1380/tillsyn/A 5530-2025 tillsynsbegäran.docx", "A 5530-2025")</f>
        <v/>
      </c>
      <c r="AD78">
        <f>HYPERLINK("https://klasma.github.io/Logging_1380/tillsynsmail/A 5530-2025 tillsynsbegäran mail.docx", "A 5530-2025")</f>
        <v/>
      </c>
    </row>
    <row r="79" ht="15" customHeight="1">
      <c r="A79" t="inlineStr">
        <is>
          <t>A 21483-2024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46301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21483-2024 artfynd.xlsx", "A 21483-2024")</f>
        <v/>
      </c>
      <c r="X79">
        <f>HYPERLINK("https://klasma.github.io/Logging_1380/kartor/A 21483-2024 karta.png", "A 21483-2024")</f>
        <v/>
      </c>
      <c r="Y79">
        <f>HYPERLINK("https://klasma.github.io/Logging_1380/kartor_geotiff/A 21483-2024 georefererad karta.tif", "A 21483-2024")</f>
        <v/>
      </c>
      <c r="AA79">
        <f>HYPERLINK("https://klasma.github.io/Logging_1380/klagomål/A 21483-2024 FSC-klagomål.docx", "A 21483-2024")</f>
        <v/>
      </c>
      <c r="AB79">
        <f>HYPERLINK("https://klasma.github.io/Logging_1380/klagomålsmail/A 21483-2024 FSC-klagomål mail.docx", "A 21483-2024")</f>
        <v/>
      </c>
      <c r="AC79">
        <f>HYPERLINK("https://klasma.github.io/Logging_1380/tillsyn/A 21483-2024 tillsynsbegäran.docx", "A 21483-2024")</f>
        <v/>
      </c>
      <c r="AD79">
        <f>HYPERLINK("https://klasma.github.io/Logging_1380/tillsynsmail/A 21483-2024 tillsynsbegäran mail.docx", "A 21483-2024")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46301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46301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46301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46301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46301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46301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46301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46301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46301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46301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46301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46301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46301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46301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46301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46301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46301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46301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46301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46301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46301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46301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46301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46301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46301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46301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46301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46301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46301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46301</v>
      </c>
      <c r="F109" t="inlineStr">
        <is>
          <t>HALLANDS LÄN</t>
        </is>
      </c>
      <c r="G109" t="inlineStr">
        <is>
          <t>HALMSTAD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44775</v>
      </c>
      <c r="E110" s="1" t="n">
        <v>46301</v>
      </c>
      <c r="F110" t="inlineStr">
        <is>
          <t>HALLANDS LÄN</t>
        </is>
      </c>
      <c r="G110" t="inlineStr">
        <is>
          <t>HALMSTAD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46301</v>
      </c>
      <c r="F111" t="inlineStr">
        <is>
          <t>HALLANDS LÄN</t>
        </is>
      </c>
      <c r="G111" t="inlineStr">
        <is>
          <t>HALMSTAD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46301</v>
      </c>
      <c r="F112" t="inlineStr">
        <is>
          <t>HALLANDS LÄN</t>
        </is>
      </c>
      <c r="G112" t="inlineStr">
        <is>
          <t>HALMSTAD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46301</v>
      </c>
      <c r="F113" t="inlineStr">
        <is>
          <t>HALLANDS LÄN</t>
        </is>
      </c>
      <c r="G113" t="inlineStr">
        <is>
          <t>HALMSTAD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45259</v>
      </c>
      <c r="E114" s="1" t="n">
        <v>46301</v>
      </c>
      <c r="F114" t="inlineStr">
        <is>
          <t>HALLANDS LÄN</t>
        </is>
      </c>
      <c r="G114" t="inlineStr">
        <is>
          <t>HALMSTAD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46301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61853-2023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45265</v>
      </c>
      <c r="E116" s="1" t="n">
        <v>46301</v>
      </c>
      <c r="F116" t="inlineStr">
        <is>
          <t>HALLANDS LÄN</t>
        </is>
      </c>
      <c r="G116" t="inlineStr">
        <is>
          <t>HALMSTAD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44952</v>
      </c>
      <c r="E117" s="1" t="n">
        <v>46301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44802</v>
      </c>
      <c r="E118" s="1" t="n">
        <v>46301</v>
      </c>
      <c r="F118" t="inlineStr">
        <is>
          <t>HALLANDS LÄN</t>
        </is>
      </c>
      <c r="G118" t="inlineStr">
        <is>
          <t>HALMSTAD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46301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45306</v>
      </c>
      <c r="E120" s="1" t="n">
        <v>46301</v>
      </c>
      <c r="F120" t="inlineStr">
        <is>
          <t>HALLANDS LÄN</t>
        </is>
      </c>
      <c r="G120" t="inlineStr">
        <is>
          <t>HALMSTAD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44886</v>
      </c>
      <c r="E121" s="1" t="n">
        <v>46301</v>
      </c>
      <c r="F121" t="inlineStr">
        <is>
          <t>HALLANDS LÄN</t>
        </is>
      </c>
      <c r="G121" t="inlineStr">
        <is>
          <t>HALMSTAD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46301</v>
      </c>
      <c r="F122" t="inlineStr">
        <is>
          <t>HALLANDS LÄN</t>
        </is>
      </c>
      <c r="G122" t="inlineStr">
        <is>
          <t>HALMSTAD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46301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46301</v>
      </c>
      <c r="F124" t="inlineStr">
        <is>
          <t>HALLANDS LÄN</t>
        </is>
      </c>
      <c r="G124" t="inlineStr">
        <is>
          <t>HALMSTAD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45476</v>
      </c>
      <c r="E125" s="1" t="n">
        <v>46301</v>
      </c>
      <c r="F125" t="inlineStr">
        <is>
          <t>HALLANDS LÄN</t>
        </is>
      </c>
      <c r="G125" t="inlineStr">
        <is>
          <t>HALMSTAD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45488</v>
      </c>
      <c r="E126" s="1" t="n">
        <v>46301</v>
      </c>
      <c r="F126" t="inlineStr">
        <is>
          <t>HALLANDS LÄN</t>
        </is>
      </c>
      <c r="G126" t="inlineStr">
        <is>
          <t>HALMSTAD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46301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46301</v>
      </c>
      <c r="F128" t="inlineStr">
        <is>
          <t>HALLANDS LÄN</t>
        </is>
      </c>
      <c r="G128" t="inlineStr">
        <is>
          <t>HALMSTAD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46301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44885</v>
      </c>
      <c r="E130" s="1" t="n">
        <v>46301</v>
      </c>
      <c r="F130" t="inlineStr">
        <is>
          <t>HALLANDS LÄN</t>
        </is>
      </c>
      <c r="G130" t="inlineStr">
        <is>
          <t>HALMSTAD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46301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46301</v>
      </c>
      <c r="F132" t="inlineStr">
        <is>
          <t>HALLANDS LÄN</t>
        </is>
      </c>
      <c r="G132" t="inlineStr">
        <is>
          <t>HALMSTAD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46301</v>
      </c>
      <c r="F133" t="inlineStr">
        <is>
          <t>HALLANDS LÄN</t>
        </is>
      </c>
      <c r="G133" t="inlineStr">
        <is>
          <t>HALMSTAD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46301</v>
      </c>
      <c r="F134" t="inlineStr">
        <is>
          <t>HALLANDS LÄN</t>
        </is>
      </c>
      <c r="G134" t="inlineStr">
        <is>
          <t>HALMSTAD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46301</v>
      </c>
      <c r="F135" t="inlineStr">
        <is>
          <t>HALLANDS LÄN</t>
        </is>
      </c>
      <c r="G135" t="inlineStr">
        <is>
          <t>HALMSTAD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46301</v>
      </c>
      <c r="F136" t="inlineStr">
        <is>
          <t>HALLANDS LÄN</t>
        </is>
      </c>
      <c r="G136" t="inlineStr">
        <is>
          <t>HALMSTAD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46301</v>
      </c>
      <c r="F137" t="inlineStr">
        <is>
          <t>HALLANDS LÄN</t>
        </is>
      </c>
      <c r="G137" t="inlineStr">
        <is>
          <t>HALMSTAD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46301</v>
      </c>
      <c r="F138" t="inlineStr">
        <is>
          <t>HALLANDS LÄN</t>
        </is>
      </c>
      <c r="G138" t="inlineStr">
        <is>
          <t>HALMSTAD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46301</v>
      </c>
      <c r="F139" t="inlineStr">
        <is>
          <t>HALLANDS LÄN</t>
        </is>
      </c>
      <c r="G139" t="inlineStr">
        <is>
          <t>HALMSTAD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45817</v>
      </c>
      <c r="E140" s="1" t="n">
        <v>46301</v>
      </c>
      <c r="F140" t="inlineStr">
        <is>
          <t>HALLANDS LÄN</t>
        </is>
      </c>
      <c r="G140" t="inlineStr">
        <is>
          <t>HALMSTAD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46301</v>
      </c>
      <c r="F141" t="inlineStr">
        <is>
          <t>HALLANDS LÄN</t>
        </is>
      </c>
      <c r="G141" t="inlineStr">
        <is>
          <t>HALMSTAD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46301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46301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46301</v>
      </c>
      <c r="F144" t="inlineStr">
        <is>
          <t>HALLANDS LÄN</t>
        </is>
      </c>
      <c r="G144" t="inlineStr">
        <is>
          <t>HALMSTAD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46301</v>
      </c>
      <c r="F145" t="inlineStr">
        <is>
          <t>HALLANDS LÄN</t>
        </is>
      </c>
      <c r="G145" t="inlineStr">
        <is>
          <t>HALMSTAD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46301</v>
      </c>
      <c r="F146" t="inlineStr">
        <is>
          <t>HALLANDS LÄN</t>
        </is>
      </c>
      <c r="G146" t="inlineStr">
        <is>
          <t>HALMSTAD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46301</v>
      </c>
      <c r="F147" t="inlineStr">
        <is>
          <t>HALLANDS LÄN</t>
        </is>
      </c>
      <c r="G147" t="inlineStr">
        <is>
          <t>HALMSTAD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46301</v>
      </c>
      <c r="F148" t="inlineStr">
        <is>
          <t>HALLANDS LÄN</t>
        </is>
      </c>
      <c r="G148" t="inlineStr">
        <is>
          <t>HALMSTAD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46301</v>
      </c>
      <c r="F149" t="inlineStr">
        <is>
          <t>HALLANDS LÄN</t>
        </is>
      </c>
      <c r="G149" t="inlineStr">
        <is>
          <t>HALMSTAD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46301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46301</v>
      </c>
      <c r="F151" t="inlineStr">
        <is>
          <t>HALLANDS LÄN</t>
        </is>
      </c>
      <c r="G151" t="inlineStr">
        <is>
          <t>HALMSTAD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46301</v>
      </c>
      <c r="F152" t="inlineStr">
        <is>
          <t>HALLANDS LÄN</t>
        </is>
      </c>
      <c r="G152" t="inlineStr">
        <is>
          <t>HALMSTAD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46301</v>
      </c>
      <c r="F153" t="inlineStr">
        <is>
          <t>HALLANDS LÄN</t>
        </is>
      </c>
      <c r="G153" t="inlineStr">
        <is>
          <t>HALMSTAD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46301</v>
      </c>
      <c r="F154" t="inlineStr">
        <is>
          <t>HALLANDS LÄN</t>
        </is>
      </c>
      <c r="G154" t="inlineStr">
        <is>
          <t>HALMSTAD</t>
        </is>
      </c>
      <c r="H154" t="inlineStr">
        <is>
          <t>Bergvik skog väst AB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46301</v>
      </c>
      <c r="F155" t="inlineStr">
        <is>
          <t>HALLANDS LÄN</t>
        </is>
      </c>
      <c r="G155" t="inlineStr">
        <is>
          <t>HALMSTAD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22070-2022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44711</v>
      </c>
      <c r="E156" s="1" t="n">
        <v>46301</v>
      </c>
      <c r="F156" t="inlineStr">
        <is>
          <t>HALLANDS LÄN</t>
        </is>
      </c>
      <c r="G156" t="inlineStr">
        <is>
          <t>HALMSTAD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46301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46301</v>
      </c>
      <c r="F158" t="inlineStr">
        <is>
          <t>HALLANDS LÄN</t>
        </is>
      </c>
      <c r="G158" t="inlineStr">
        <is>
          <t>HALMSTAD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44687</v>
      </c>
      <c r="E159" s="1" t="n">
        <v>46301</v>
      </c>
      <c r="F159" t="inlineStr">
        <is>
          <t>HALLANDS LÄN</t>
        </is>
      </c>
      <c r="G159" t="inlineStr">
        <is>
          <t>HALMSTAD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46301</v>
      </c>
      <c r="F160" t="inlineStr">
        <is>
          <t>HALLANDS LÄN</t>
        </is>
      </c>
      <c r="G160" t="inlineStr">
        <is>
          <t>HALMSTAD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46301</v>
      </c>
      <c r="F161" t="inlineStr">
        <is>
          <t>HALLANDS LÄN</t>
        </is>
      </c>
      <c r="G161" t="inlineStr">
        <is>
          <t>HALMSTAD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46301</v>
      </c>
      <c r="F162" t="inlineStr">
        <is>
          <t>HALLANDS LÄN</t>
        </is>
      </c>
      <c r="G162" t="inlineStr">
        <is>
          <t>HALMSTAD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46301</v>
      </c>
      <c r="F163" t="inlineStr">
        <is>
          <t>HALLANDS LÄN</t>
        </is>
      </c>
      <c r="G163" t="inlineStr">
        <is>
          <t>HALMSTAD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46301</v>
      </c>
      <c r="F164" t="inlineStr">
        <is>
          <t>HALLANDS LÄN</t>
        </is>
      </c>
      <c r="G164" t="inlineStr">
        <is>
          <t>HALMSTAD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46301</v>
      </c>
      <c r="F165" t="inlineStr">
        <is>
          <t>HALLANDS LÄN</t>
        </is>
      </c>
      <c r="G165" t="inlineStr">
        <is>
          <t>HALMSTAD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46301</v>
      </c>
      <c r="F166" t="inlineStr">
        <is>
          <t>HALLANDS LÄN</t>
        </is>
      </c>
      <c r="G166" t="inlineStr">
        <is>
          <t>HALMSTAD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45627</v>
      </c>
      <c r="E167" s="1" t="n">
        <v>46301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45793</v>
      </c>
      <c r="E168" s="1" t="n">
        <v>46301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45708</v>
      </c>
      <c r="E169" s="1" t="n">
        <v>46301</v>
      </c>
      <c r="F169" t="inlineStr">
        <is>
          <t>HALLANDS LÄN</t>
        </is>
      </c>
      <c r="G169" t="inlineStr">
        <is>
          <t>HALMSTAD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44642</v>
      </c>
      <c r="E170" s="1" t="n">
        <v>46301</v>
      </c>
      <c r="F170" t="inlineStr">
        <is>
          <t>HALLANDS LÄN</t>
        </is>
      </c>
      <c r="G170" t="inlineStr">
        <is>
          <t>HALMSTAD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46301</v>
      </c>
      <c r="F171" t="inlineStr">
        <is>
          <t>HALLANDS LÄN</t>
        </is>
      </c>
      <c r="G171" t="inlineStr">
        <is>
          <t>HALMSTAD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46301</v>
      </c>
      <c r="F172" t="inlineStr">
        <is>
          <t>HALLANDS LÄN</t>
        </is>
      </c>
      <c r="G172" t="inlineStr">
        <is>
          <t>HALMSTAD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45854</v>
      </c>
      <c r="E173" s="1" t="n">
        <v>46301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45856</v>
      </c>
      <c r="E174" s="1" t="n">
        <v>46301</v>
      </c>
      <c r="F174" t="inlineStr">
        <is>
          <t>HALLANDS LÄN</t>
        </is>
      </c>
      <c r="G174" t="inlineStr">
        <is>
          <t>HALMSTAD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45750</v>
      </c>
      <c r="E175" s="1" t="n">
        <v>46301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45741</v>
      </c>
      <c r="E176" s="1" t="n">
        <v>46301</v>
      </c>
      <c r="F176" t="inlineStr">
        <is>
          <t>HALLANDS LÄN</t>
        </is>
      </c>
      <c r="G176" t="inlineStr">
        <is>
          <t>HALMSTAD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46301</v>
      </c>
      <c r="F177" t="inlineStr">
        <is>
          <t>HALLANDS LÄN</t>
        </is>
      </c>
      <c r="G177" t="inlineStr">
        <is>
          <t>HALMSTAD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45493</v>
      </c>
      <c r="E178" s="1" t="n">
        <v>46301</v>
      </c>
      <c r="F178" t="inlineStr">
        <is>
          <t>HALLANDS LÄN</t>
        </is>
      </c>
      <c r="G178" t="inlineStr">
        <is>
          <t>HALMSTAD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46301</v>
      </c>
      <c r="F179" t="inlineStr">
        <is>
          <t>HALLANDS LÄN</t>
        </is>
      </c>
      <c r="G179" t="inlineStr">
        <is>
          <t>HALMSTAD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44607</v>
      </c>
      <c r="E180" s="1" t="n">
        <v>46301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46301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46301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13594-2023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45006</v>
      </c>
      <c r="E183" s="1" t="n">
        <v>46301</v>
      </c>
      <c r="F183" t="inlineStr">
        <is>
          <t>HALLANDS LÄN</t>
        </is>
      </c>
      <c r="G183" t="inlineStr">
        <is>
          <t>HALMSTAD</t>
        </is>
      </c>
      <c r="H183" t="inlineStr">
        <is>
          <t>Bergvik skog väst AB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46301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46301</v>
      </c>
      <c r="F185" t="inlineStr">
        <is>
          <t>HALLANDS LÄN</t>
        </is>
      </c>
      <c r="G185" t="inlineStr">
        <is>
          <t>HALMSTAD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46301</v>
      </c>
      <c r="F186" t="inlineStr">
        <is>
          <t>HALLANDS LÄN</t>
        </is>
      </c>
      <c r="G186" t="inlineStr">
        <is>
          <t>HALMSTAD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46301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44742</v>
      </c>
      <c r="E188" s="1" t="n">
        <v>46301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46301</v>
      </c>
      <c r="F189" t="inlineStr">
        <is>
          <t>HALLANDS LÄN</t>
        </is>
      </c>
      <c r="G189" t="inlineStr">
        <is>
          <t>HALMSTAD</t>
        </is>
      </c>
      <c r="H189" t="inlineStr">
        <is>
          <t>Övriga statliga verk och myndigheter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46301</v>
      </c>
      <c r="F190" t="inlineStr">
        <is>
          <t>HALLANDS LÄN</t>
        </is>
      </c>
      <c r="G190" t="inlineStr">
        <is>
          <t>HALMSTAD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46301</v>
      </c>
      <c r="F191" t="inlineStr">
        <is>
          <t>HALLANDS LÄN</t>
        </is>
      </c>
      <c r="G191" t="inlineStr">
        <is>
          <t>HALMSTAD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45611</v>
      </c>
      <c r="E192" s="1" t="n">
        <v>46301</v>
      </c>
      <c r="F192" t="inlineStr">
        <is>
          <t>HALLANDS LÄN</t>
        </is>
      </c>
      <c r="G192" t="inlineStr">
        <is>
          <t>HALMSTAD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46301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45692</v>
      </c>
      <c r="E194" s="1" t="n">
        <v>46301</v>
      </c>
      <c r="F194" t="inlineStr">
        <is>
          <t>HALLANDS LÄN</t>
        </is>
      </c>
      <c r="G194" t="inlineStr">
        <is>
          <t>HALMSTAD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53539-2022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46301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53550-2022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46301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46301</v>
      </c>
      <c r="F197" t="inlineStr">
        <is>
          <t>HALLANDS LÄN</t>
        </is>
      </c>
      <c r="G197" t="inlineStr">
        <is>
          <t>HALMSTAD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46301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45068</v>
      </c>
      <c r="E199" s="1" t="n">
        <v>46301</v>
      </c>
      <c r="F199" t="inlineStr">
        <is>
          <t>HALLANDS LÄN</t>
        </is>
      </c>
      <c r="G199" t="inlineStr">
        <is>
          <t>HALMSTAD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46301</v>
      </c>
      <c r="F200" t="inlineStr">
        <is>
          <t>HALLANDS LÄN</t>
        </is>
      </c>
      <c r="G200" t="inlineStr">
        <is>
          <t>HALMSTAD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44699</v>
      </c>
      <c r="E201" s="1" t="n">
        <v>46301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46301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46301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46301</v>
      </c>
      <c r="F204" t="inlineStr">
        <is>
          <t>HALLANDS LÄN</t>
        </is>
      </c>
      <c r="G204" t="inlineStr">
        <is>
          <t>HALMSTAD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45311</v>
      </c>
      <c r="E205" s="1" t="n">
        <v>46301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44621</v>
      </c>
      <c r="E206" s="1" t="n">
        <v>46301</v>
      </c>
      <c r="F206" t="inlineStr">
        <is>
          <t>HALLANDS LÄN</t>
        </is>
      </c>
      <c r="G206" t="inlineStr">
        <is>
          <t>HALMSTAD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46301</v>
      </c>
      <c r="F207" t="inlineStr">
        <is>
          <t>HALLANDS LÄN</t>
        </is>
      </c>
      <c r="G207" t="inlineStr">
        <is>
          <t>HALMSTAD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46301</v>
      </c>
      <c r="F208" t="inlineStr">
        <is>
          <t>HALLANDS LÄN</t>
        </is>
      </c>
      <c r="G208" t="inlineStr">
        <is>
          <t>HALMSTAD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46301</v>
      </c>
      <c r="F209" t="inlineStr">
        <is>
          <t>HALLANDS LÄN</t>
        </is>
      </c>
      <c r="G209" t="inlineStr">
        <is>
          <t>HALMSTAD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45266</v>
      </c>
      <c r="E210" s="1" t="n">
        <v>46301</v>
      </c>
      <c r="F210" t="inlineStr">
        <is>
          <t>HALLANDS LÄN</t>
        </is>
      </c>
      <c r="G210" t="inlineStr">
        <is>
          <t>HALMSTAD</t>
        </is>
      </c>
      <c r="I210" t="n">
        <v>12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46301</v>
      </c>
      <c r="F211" t="inlineStr">
        <is>
          <t>HALLANDS LÄN</t>
        </is>
      </c>
      <c r="G211" t="inlineStr">
        <is>
          <t>HALMSTAD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45357</v>
      </c>
      <c r="E212" s="1" t="n">
        <v>46301</v>
      </c>
      <c r="F212" t="inlineStr">
        <is>
          <t>HALLANDS LÄN</t>
        </is>
      </c>
      <c r="G212" t="inlineStr">
        <is>
          <t>HALMSTAD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46301</v>
      </c>
      <c r="F213" t="inlineStr">
        <is>
          <t>HALLANDS LÄN</t>
        </is>
      </c>
      <c r="G213" t="inlineStr">
        <is>
          <t>HALMSTAD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46301</v>
      </c>
      <c r="F214" t="inlineStr">
        <is>
          <t>HALLANDS LÄN</t>
        </is>
      </c>
      <c r="G214" t="inlineStr">
        <is>
          <t>HALMSTAD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46301</v>
      </c>
      <c r="F215" t="inlineStr">
        <is>
          <t>HALLANDS LÄN</t>
        </is>
      </c>
      <c r="G215" t="inlineStr">
        <is>
          <t>HALMSTAD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45079</v>
      </c>
      <c r="E216" s="1" t="n">
        <v>46301</v>
      </c>
      <c r="F216" t="inlineStr">
        <is>
          <t>HALLANDS LÄN</t>
        </is>
      </c>
      <c r="G216" t="inlineStr">
        <is>
          <t>HALMSTAD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46301</v>
      </c>
      <c r="F217" t="inlineStr">
        <is>
          <t>HALLANDS LÄN</t>
        </is>
      </c>
      <c r="G217" t="inlineStr">
        <is>
          <t>HALMSTAD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46301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46301</v>
      </c>
      <c r="F219" t="inlineStr">
        <is>
          <t>HALLANDS LÄN</t>
        </is>
      </c>
      <c r="G219" t="inlineStr">
        <is>
          <t>HALMSTAD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46301</v>
      </c>
      <c r="F220" t="inlineStr">
        <is>
          <t>HALLANDS LÄN</t>
        </is>
      </c>
      <c r="G220" t="inlineStr">
        <is>
          <t>HALMSTAD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46301</v>
      </c>
      <c r="F221" t="inlineStr">
        <is>
          <t>HALLANDS LÄN</t>
        </is>
      </c>
      <c r="G221" t="inlineStr">
        <is>
          <t>HALMSTAD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46301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46301</v>
      </c>
      <c r="F223" t="inlineStr">
        <is>
          <t>HALLANDS LÄN</t>
        </is>
      </c>
      <c r="G223" t="inlineStr">
        <is>
          <t>HALMSTAD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44917</v>
      </c>
      <c r="E224" s="1" t="n">
        <v>46301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45172</v>
      </c>
      <c r="E225" s="1" t="n">
        <v>46301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46301</v>
      </c>
      <c r="F226" t="inlineStr">
        <is>
          <t>HALLANDS LÄN</t>
        </is>
      </c>
      <c r="G226" t="inlineStr">
        <is>
          <t>HALMSTAD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46301</v>
      </c>
      <c r="F227" t="inlineStr">
        <is>
          <t>HALLANDS LÄN</t>
        </is>
      </c>
      <c r="G227" t="inlineStr">
        <is>
          <t>HALMSTAD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46301</v>
      </c>
      <c r="F228" t="inlineStr">
        <is>
          <t>HALLANDS LÄN</t>
        </is>
      </c>
      <c r="G228" t="inlineStr">
        <is>
          <t>HALMSTAD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46301</v>
      </c>
      <c r="F229" t="inlineStr">
        <is>
          <t>HALLANDS LÄN</t>
        </is>
      </c>
      <c r="G229" t="inlineStr">
        <is>
          <t>HALMSTAD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46301</v>
      </c>
      <c r="F230" t="inlineStr">
        <is>
          <t>HALLANDS LÄN</t>
        </is>
      </c>
      <c r="G230" t="inlineStr">
        <is>
          <t>HALMSTAD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46301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46301</v>
      </c>
      <c r="F232" t="inlineStr">
        <is>
          <t>HALLANDS LÄN</t>
        </is>
      </c>
      <c r="G232" t="inlineStr">
        <is>
          <t>HALMSTAD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46301</v>
      </c>
      <c r="F233" t="inlineStr">
        <is>
          <t>HALLANDS LÄN</t>
        </is>
      </c>
      <c r="G233" t="inlineStr">
        <is>
          <t>HALMSTAD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46301</v>
      </c>
      <c r="F234" t="inlineStr">
        <is>
          <t>HALLANDS LÄN</t>
        </is>
      </c>
      <c r="G234" t="inlineStr">
        <is>
          <t>HALMSTAD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46301</v>
      </c>
      <c r="F235" t="inlineStr">
        <is>
          <t>HALLANDS LÄN</t>
        </is>
      </c>
      <c r="G235" t="inlineStr">
        <is>
          <t>HALMSTAD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44959</v>
      </c>
      <c r="E236" s="1" t="n">
        <v>46301</v>
      </c>
      <c r="F236" t="inlineStr">
        <is>
          <t>HALLANDS LÄN</t>
        </is>
      </c>
      <c r="G236" t="inlineStr">
        <is>
          <t>HALMSTAD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46301</v>
      </c>
      <c r="F237" t="inlineStr">
        <is>
          <t>HALLANDS LÄN</t>
        </is>
      </c>
      <c r="G237" t="inlineStr">
        <is>
          <t>HALMSTAD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46301</v>
      </c>
      <c r="F238" t="inlineStr">
        <is>
          <t>HALLANDS LÄN</t>
        </is>
      </c>
      <c r="G238" t="inlineStr">
        <is>
          <t>HALMSTAD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46301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46301</v>
      </c>
      <c r="F240" t="inlineStr">
        <is>
          <t>HALLANDS LÄN</t>
        </is>
      </c>
      <c r="G240" t="inlineStr">
        <is>
          <t>HALMSTAD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46301</v>
      </c>
      <c r="F241" t="inlineStr">
        <is>
          <t>HALLANDS LÄN</t>
        </is>
      </c>
      <c r="G241" t="inlineStr">
        <is>
          <t>HALMSTAD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46301</v>
      </c>
      <c r="F242" t="inlineStr">
        <is>
          <t>HALLANDS LÄN</t>
        </is>
      </c>
      <c r="G242" t="inlineStr">
        <is>
          <t>HALMSTAD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46301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46301</v>
      </c>
      <c r="F244" t="inlineStr">
        <is>
          <t>HALLANDS LÄN</t>
        </is>
      </c>
      <c r="G244" t="inlineStr">
        <is>
          <t>HALMSTAD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12632-2023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45000</v>
      </c>
      <c r="E245" s="1" t="n">
        <v>46301</v>
      </c>
      <c r="F245" t="inlineStr">
        <is>
          <t>HALLANDS LÄN</t>
        </is>
      </c>
      <c r="G245" t="inlineStr">
        <is>
          <t>HALMSTAD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46301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46301</v>
      </c>
      <c r="F247" t="inlineStr">
        <is>
          <t>HALLANDS LÄN</t>
        </is>
      </c>
      <c r="G247" t="inlineStr">
        <is>
          <t>HALMSTAD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46301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45610</v>
      </c>
      <c r="E249" s="1" t="n">
        <v>46301</v>
      </c>
      <c r="F249" t="inlineStr">
        <is>
          <t>HALLANDS LÄN</t>
        </is>
      </c>
      <c r="G249" t="inlineStr">
        <is>
          <t>HALMSTAD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46301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53873-2022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44880</v>
      </c>
      <c r="E251" s="1" t="n">
        <v>46301</v>
      </c>
      <c r="F251" t="inlineStr">
        <is>
          <t>HALLANDS LÄN</t>
        </is>
      </c>
      <c r="G251" t="inlineStr">
        <is>
          <t>HALMSTAD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46301</v>
      </c>
      <c r="F252" t="inlineStr">
        <is>
          <t>HALLANDS LÄN</t>
        </is>
      </c>
      <c r="G252" t="inlineStr">
        <is>
          <t>HALMSTAD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44753</v>
      </c>
      <c r="E253" s="1" t="n">
        <v>46301</v>
      </c>
      <c r="F253" t="inlineStr">
        <is>
          <t>HALLANDS LÄN</t>
        </is>
      </c>
      <c r="G253" t="inlineStr">
        <is>
          <t>HALMSTAD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46301</v>
      </c>
      <c r="F254" t="inlineStr">
        <is>
          <t>HALLANDS LÄN</t>
        </is>
      </c>
      <c r="G254" t="inlineStr">
        <is>
          <t>HALMSTAD</t>
        </is>
      </c>
      <c r="H254" t="inlineStr">
        <is>
          <t>Bergvik skog väst AB</t>
        </is>
      </c>
      <c r="I254" t="n">
        <v>19.5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45117</v>
      </c>
      <c r="E255" s="1" t="n">
        <v>46301</v>
      </c>
      <c r="F255" t="inlineStr">
        <is>
          <t>HALLANDS LÄN</t>
        </is>
      </c>
      <c r="G255" t="inlineStr">
        <is>
          <t>HALMSTAD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46301</v>
      </c>
      <c r="F256" t="inlineStr">
        <is>
          <t>HALLANDS LÄN</t>
        </is>
      </c>
      <c r="G256" t="inlineStr">
        <is>
          <t>HALMSTAD</t>
        </is>
      </c>
      <c r="H256" t="inlineStr">
        <is>
          <t>Kommuner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46301</v>
      </c>
      <c r="F257" t="inlineStr">
        <is>
          <t>HALLANDS LÄN</t>
        </is>
      </c>
      <c r="G257" t="inlineStr">
        <is>
          <t>HALMSTAD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46079</v>
      </c>
      <c r="E258" s="1" t="n">
        <v>46301</v>
      </c>
      <c r="F258" t="inlineStr">
        <is>
          <t>HALLANDS LÄN</t>
        </is>
      </c>
      <c r="G258" t="inlineStr">
        <is>
          <t>HALMSTAD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44775</v>
      </c>
      <c r="E259" s="1" t="n">
        <v>46301</v>
      </c>
      <c r="F259" t="inlineStr">
        <is>
          <t>HALLANDS LÄN</t>
        </is>
      </c>
      <c r="G259" t="inlineStr">
        <is>
          <t>HALMSTAD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46301</v>
      </c>
      <c r="F260" t="inlineStr">
        <is>
          <t>HALLANDS LÄN</t>
        </is>
      </c>
      <c r="G260" t="inlineStr">
        <is>
          <t>HALMSTAD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46301</v>
      </c>
      <c r="F261" t="inlineStr">
        <is>
          <t>HALLANDS LÄN</t>
        </is>
      </c>
      <c r="G261" t="inlineStr">
        <is>
          <t>HALMSTAD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46301</v>
      </c>
      <c r="F262" t="inlineStr">
        <is>
          <t>HALLANDS LÄN</t>
        </is>
      </c>
      <c r="G262" t="inlineStr">
        <is>
          <t>HALMSTAD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46301</v>
      </c>
      <c r="F263" t="inlineStr">
        <is>
          <t>HALLANDS LÄN</t>
        </is>
      </c>
      <c r="G263" t="inlineStr">
        <is>
          <t>HALMSTAD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46301</v>
      </c>
      <c r="F264" t="inlineStr">
        <is>
          <t>HALLANDS LÄN</t>
        </is>
      </c>
      <c r="G264" t="inlineStr">
        <is>
          <t>HALMSTAD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44823</v>
      </c>
      <c r="E265" s="1" t="n">
        <v>46301</v>
      </c>
      <c r="F265" t="inlineStr">
        <is>
          <t>HALLANDS LÄN</t>
        </is>
      </c>
      <c r="G265" t="inlineStr">
        <is>
          <t>HALMSTAD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46301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46301</v>
      </c>
      <c r="F267" t="inlineStr">
        <is>
          <t>HALLANDS LÄN</t>
        </is>
      </c>
      <c r="G267" t="inlineStr">
        <is>
          <t>HALMSTAD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46301</v>
      </c>
      <c r="F268" t="inlineStr">
        <is>
          <t>HALLANDS LÄN</t>
        </is>
      </c>
      <c r="G268" t="inlineStr">
        <is>
          <t>HALMSTAD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46301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46301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46301</v>
      </c>
      <c r="F271" t="inlineStr">
        <is>
          <t>HALLANDS LÄN</t>
        </is>
      </c>
      <c r="G271" t="inlineStr">
        <is>
          <t>HALMSTAD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57031-2021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44482</v>
      </c>
      <c r="E272" s="1" t="n">
        <v>46301</v>
      </c>
      <c r="F272" t="inlineStr">
        <is>
          <t>HALLANDS LÄN</t>
        </is>
      </c>
      <c r="G272" t="inlineStr">
        <is>
          <t>HALMSTAD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44827</v>
      </c>
      <c r="E273" s="1" t="n">
        <v>46301</v>
      </c>
      <c r="F273" t="inlineStr">
        <is>
          <t>HALLANDS LÄN</t>
        </is>
      </c>
      <c r="G273" t="inlineStr">
        <is>
          <t>HALMSTAD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46301</v>
      </c>
      <c r="F274" t="inlineStr">
        <is>
          <t>HALLANDS LÄN</t>
        </is>
      </c>
      <c r="G274" t="inlineStr">
        <is>
          <t>HALMSTAD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46301</v>
      </c>
      <c r="F275" t="inlineStr">
        <is>
          <t>HALLANDS LÄN</t>
        </is>
      </c>
      <c r="G275" t="inlineStr">
        <is>
          <t>HALMSTAD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46301</v>
      </c>
      <c r="F276" t="inlineStr">
        <is>
          <t>HALLANDS LÄN</t>
        </is>
      </c>
      <c r="G276" t="inlineStr">
        <is>
          <t>HALMSTAD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46301</v>
      </c>
      <c r="F277" t="inlineStr">
        <is>
          <t>HALLANDS LÄN</t>
        </is>
      </c>
      <c r="G277" t="inlineStr">
        <is>
          <t>HALMSTAD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46301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46301</v>
      </c>
      <c r="F279" t="inlineStr">
        <is>
          <t>HALLANDS LÄN</t>
        </is>
      </c>
      <c r="G279" t="inlineStr">
        <is>
          <t>HALMSTAD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46301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46301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46301</v>
      </c>
      <c r="F282" t="inlineStr">
        <is>
          <t>HALLANDS LÄN</t>
        </is>
      </c>
      <c r="G282" t="inlineStr">
        <is>
          <t>HALMSTAD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46301</v>
      </c>
      <c r="F283" t="inlineStr">
        <is>
          <t>HALLANDS LÄN</t>
        </is>
      </c>
      <c r="G283" t="inlineStr">
        <is>
          <t>HALMSTAD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46121</v>
      </c>
      <c r="E284" s="1" t="n">
        <v>46301</v>
      </c>
      <c r="F284" t="inlineStr">
        <is>
          <t>HALLANDS LÄN</t>
        </is>
      </c>
      <c r="G284" t="inlineStr">
        <is>
          <t>HALMSTAD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46301</v>
      </c>
      <c r="F285" t="inlineStr">
        <is>
          <t>HALLANDS LÄN</t>
        </is>
      </c>
      <c r="G285" t="inlineStr">
        <is>
          <t>HALMSTAD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44885</v>
      </c>
      <c r="E286" s="1" t="n">
        <v>46301</v>
      </c>
      <c r="F286" t="inlineStr">
        <is>
          <t>HALLANDS LÄN</t>
        </is>
      </c>
      <c r="G286" t="inlineStr">
        <is>
          <t>HALMSTAD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46301</v>
      </c>
      <c r="F287" t="inlineStr">
        <is>
          <t>HALLANDS LÄN</t>
        </is>
      </c>
      <c r="G287" t="inlineStr">
        <is>
          <t>HALMSTAD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46301</v>
      </c>
      <c r="F288" t="inlineStr">
        <is>
          <t>HALLANDS LÄN</t>
        </is>
      </c>
      <c r="G288" t="inlineStr">
        <is>
          <t>HALMSTAD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46128</v>
      </c>
      <c r="E289" s="1" t="n">
        <v>46301</v>
      </c>
      <c r="F289" t="inlineStr">
        <is>
          <t>HALLANDS LÄN</t>
        </is>
      </c>
      <c r="G289" t="inlineStr">
        <is>
          <t>HALMSTAD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46301</v>
      </c>
      <c r="F290" t="inlineStr">
        <is>
          <t>HALLANDS LÄN</t>
        </is>
      </c>
      <c r="G290" t="inlineStr">
        <is>
          <t>HALMSTAD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46301</v>
      </c>
      <c r="F291" t="inlineStr">
        <is>
          <t>HALLANDS LÄN</t>
        </is>
      </c>
      <c r="G291" t="inlineStr">
        <is>
          <t>HALMSTAD</t>
        </is>
      </c>
      <c r="H291" t="inlineStr">
        <is>
          <t>Kyrkan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46301</v>
      </c>
      <c r="F292" t="inlineStr">
        <is>
          <t>HALLANDS LÄN</t>
        </is>
      </c>
      <c r="G292" t="inlineStr">
        <is>
          <t>HALMSTAD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39746-2023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46301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46301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47668-2023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45203</v>
      </c>
      <c r="E295" s="1" t="n">
        <v>46301</v>
      </c>
      <c r="F295" t="inlineStr">
        <is>
          <t>HALLANDS LÄN</t>
        </is>
      </c>
      <c r="G295" t="inlineStr">
        <is>
          <t>HALMSTAD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46301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46301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46301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46301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46301</v>
      </c>
      <c r="F300" t="inlineStr">
        <is>
          <t>HALLANDS LÄN</t>
        </is>
      </c>
      <c r="G300" t="inlineStr">
        <is>
          <t>HALMSTAD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46301</v>
      </c>
      <c r="F301" t="inlineStr">
        <is>
          <t>HALLANDS LÄN</t>
        </is>
      </c>
      <c r="G301" t="inlineStr">
        <is>
          <t>HALMSTAD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45015</v>
      </c>
      <c r="E302" s="1" t="n">
        <v>46301</v>
      </c>
      <c r="F302" t="inlineStr">
        <is>
          <t>HALLANDS LÄN</t>
        </is>
      </c>
      <c r="G302" t="inlineStr">
        <is>
          <t>HALMSTAD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45015</v>
      </c>
      <c r="E303" s="1" t="n">
        <v>46301</v>
      </c>
      <c r="F303" t="inlineStr">
        <is>
          <t>HALLANDS LÄN</t>
        </is>
      </c>
      <c r="G303" t="inlineStr">
        <is>
          <t>HALMSTAD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66311-2021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44518</v>
      </c>
      <c r="E304" s="1" t="n">
        <v>46301</v>
      </c>
      <c r="F304" t="inlineStr">
        <is>
          <t>HALLANDS LÄN</t>
        </is>
      </c>
      <c r="G304" t="inlineStr">
        <is>
          <t>HALMSTAD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45758</v>
      </c>
      <c r="E305" s="1" t="n">
        <v>46301</v>
      </c>
      <c r="F305" t="inlineStr">
        <is>
          <t>HALLANDS LÄN</t>
        </is>
      </c>
      <c r="G305" t="inlineStr">
        <is>
          <t>HALMSTAD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46301</v>
      </c>
      <c r="F306" t="inlineStr">
        <is>
          <t>HALLANDS LÄN</t>
        </is>
      </c>
      <c r="G306" t="inlineStr">
        <is>
          <t>HALMSTAD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46301</v>
      </c>
      <c r="F307" t="inlineStr">
        <is>
          <t>HALLANDS LÄN</t>
        </is>
      </c>
      <c r="G307" t="inlineStr">
        <is>
          <t>HALMSTAD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45692</v>
      </c>
      <c r="E308" s="1" t="n">
        <v>46301</v>
      </c>
      <c r="F308" t="inlineStr">
        <is>
          <t>HALLANDS LÄN</t>
        </is>
      </c>
      <c r="G308" t="inlineStr">
        <is>
          <t>HALMSTAD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46301</v>
      </c>
      <c r="F309" t="inlineStr">
        <is>
          <t>HALLANDS LÄN</t>
        </is>
      </c>
      <c r="G309" t="inlineStr">
        <is>
          <t>HALMSTAD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46301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46301</v>
      </c>
      <c r="F311" t="inlineStr">
        <is>
          <t>HALLANDS LÄN</t>
        </is>
      </c>
      <c r="G311" t="inlineStr">
        <is>
          <t>HALMSTAD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46301</v>
      </c>
      <c r="F312" t="inlineStr">
        <is>
          <t>HALLANDS LÄN</t>
        </is>
      </c>
      <c r="G312" t="inlineStr">
        <is>
          <t>HALMSTAD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46301</v>
      </c>
      <c r="F313" t="inlineStr">
        <is>
          <t>HALLANDS LÄN</t>
        </is>
      </c>
      <c r="G313" t="inlineStr">
        <is>
          <t>HALMSTAD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46301</v>
      </c>
      <c r="F314" t="inlineStr">
        <is>
          <t>HALLANDS LÄN</t>
        </is>
      </c>
      <c r="G314" t="inlineStr">
        <is>
          <t>HALMSTAD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45259</v>
      </c>
      <c r="E315" s="1" t="n">
        <v>46301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46301</v>
      </c>
      <c r="F316" t="inlineStr">
        <is>
          <t>HALLANDS LÄN</t>
        </is>
      </c>
      <c r="G316" t="inlineStr">
        <is>
          <t>HALMSTAD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74038-2021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44557</v>
      </c>
      <c r="E317" s="1" t="n">
        <v>46301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45323</v>
      </c>
      <c r="E318" s="1" t="n">
        <v>46301</v>
      </c>
      <c r="F318" t="inlineStr">
        <is>
          <t>HALLANDS LÄN</t>
        </is>
      </c>
      <c r="G318" t="inlineStr">
        <is>
          <t>HALMSTAD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46301</v>
      </c>
      <c r="F319" t="inlineStr">
        <is>
          <t>HALLANDS LÄN</t>
        </is>
      </c>
      <c r="G319" t="inlineStr">
        <is>
          <t>HALMSTAD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37301-2023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45156</v>
      </c>
      <c r="E320" s="1" t="n">
        <v>46301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46301</v>
      </c>
      <c r="F321" t="inlineStr">
        <is>
          <t>HALLANDS LÄN</t>
        </is>
      </c>
      <c r="G321" t="inlineStr">
        <is>
          <t>HALMSTAD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46301</v>
      </c>
      <c r="F322" t="inlineStr">
        <is>
          <t>HALLANDS LÄN</t>
        </is>
      </c>
      <c r="G322" t="inlineStr">
        <is>
          <t>HALMSTAD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46301</v>
      </c>
      <c r="F323" t="inlineStr">
        <is>
          <t>HALLANDS LÄN</t>
        </is>
      </c>
      <c r="G323" t="inlineStr">
        <is>
          <t>HALMSTAD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46301</v>
      </c>
      <c r="F324" t="inlineStr">
        <is>
          <t>HALLANDS LÄN</t>
        </is>
      </c>
      <c r="G324" t="inlineStr">
        <is>
          <t>HALMSTAD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45348</v>
      </c>
      <c r="E325" s="1" t="n">
        <v>46301</v>
      </c>
      <c r="F325" t="inlineStr">
        <is>
          <t>HALLANDS LÄN</t>
        </is>
      </c>
      <c r="G325" t="inlineStr">
        <is>
          <t>HALMSTAD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46301</v>
      </c>
      <c r="F326" t="inlineStr">
        <is>
          <t>HALLANDS LÄN</t>
        </is>
      </c>
      <c r="G326" t="inlineStr">
        <is>
          <t>HALMSTAD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45170</v>
      </c>
      <c r="E327" s="1" t="n">
        <v>46301</v>
      </c>
      <c r="F327" t="inlineStr">
        <is>
          <t>HALLANDS LÄN</t>
        </is>
      </c>
      <c r="G327" t="inlineStr">
        <is>
          <t>HALMSTAD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46301</v>
      </c>
      <c r="F328" t="inlineStr">
        <is>
          <t>HALLANDS LÄN</t>
        </is>
      </c>
      <c r="G328" t="inlineStr">
        <is>
          <t>HALMSTAD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44594</v>
      </c>
      <c r="E329" s="1" t="n">
        <v>46301</v>
      </c>
      <c r="F329" t="inlineStr">
        <is>
          <t>HALLANDS LÄN</t>
        </is>
      </c>
      <c r="G329" t="inlineStr">
        <is>
          <t>HALMSTAD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44628</v>
      </c>
      <c r="E330" s="1" t="n">
        <v>46301</v>
      </c>
      <c r="F330" t="inlineStr">
        <is>
          <t>HALLANDS LÄN</t>
        </is>
      </c>
      <c r="G330" t="inlineStr">
        <is>
          <t>HALMSTAD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45632</v>
      </c>
      <c r="E331" s="1" t="n">
        <v>46301</v>
      </c>
      <c r="F331" t="inlineStr">
        <is>
          <t>HALLANDS LÄN</t>
        </is>
      </c>
      <c r="G331" t="inlineStr">
        <is>
          <t>HALMSTAD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45168</v>
      </c>
      <c r="E332" s="1" t="n">
        <v>46301</v>
      </c>
      <c r="F332" t="inlineStr">
        <is>
          <t>HALLANDS LÄN</t>
        </is>
      </c>
      <c r="G332" t="inlineStr">
        <is>
          <t>HALMSTAD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46301</v>
      </c>
      <c r="F333" t="inlineStr">
        <is>
          <t>HALLANDS LÄN</t>
        </is>
      </c>
      <c r="G333" t="inlineStr">
        <is>
          <t>HALMSTAD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46301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46301</v>
      </c>
      <c r="F335" t="inlineStr">
        <is>
          <t>HALLANDS LÄN</t>
        </is>
      </c>
      <c r="G335" t="inlineStr">
        <is>
          <t>HALMSTAD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46301</v>
      </c>
      <c r="F336" t="inlineStr">
        <is>
          <t>HALLANDS LÄN</t>
        </is>
      </c>
      <c r="G336" t="inlineStr">
        <is>
          <t>HALMSTAD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46301</v>
      </c>
      <c r="F337" t="inlineStr">
        <is>
          <t>HALLANDS LÄN</t>
        </is>
      </c>
      <c r="G337" t="inlineStr">
        <is>
          <t>HALMSTAD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45660</v>
      </c>
      <c r="E338" s="1" t="n">
        <v>46301</v>
      </c>
      <c r="F338" t="inlineStr">
        <is>
          <t>HALLANDS LÄN</t>
        </is>
      </c>
      <c r="G338" t="inlineStr">
        <is>
          <t>HALMSTAD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45316</v>
      </c>
      <c r="E339" s="1" t="n">
        <v>46301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46301</v>
      </c>
      <c r="F340" t="inlineStr">
        <is>
          <t>HALLANDS LÄN</t>
        </is>
      </c>
      <c r="G340" t="inlineStr">
        <is>
          <t>HALMSTAD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23892-2026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46301</v>
      </c>
      <c r="F341" t="inlineStr">
        <is>
          <t>HALLANDS LÄN</t>
        </is>
      </c>
      <c r="G341" t="inlineStr">
        <is>
          <t>HALMSTAD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46301</v>
      </c>
      <c r="F342" t="inlineStr">
        <is>
          <t>HALLANDS LÄN</t>
        </is>
      </c>
      <c r="G342" t="inlineStr">
        <is>
          <t>HALMSTAD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46301</v>
      </c>
      <c r="F343" t="inlineStr">
        <is>
          <t>HALLANDS LÄN</t>
        </is>
      </c>
      <c r="G343" t="inlineStr">
        <is>
          <t>HALMSTAD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46301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46301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46301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46301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46301</v>
      </c>
      <c r="F348" t="inlineStr">
        <is>
          <t>HALLANDS LÄN</t>
        </is>
      </c>
      <c r="G348" t="inlineStr">
        <is>
          <t>HALMSTAD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46301</v>
      </c>
      <c r="F349" t="inlineStr">
        <is>
          <t>HALLANDS LÄN</t>
        </is>
      </c>
      <c r="G349" t="inlineStr">
        <is>
          <t>HALMSTAD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46301</v>
      </c>
      <c r="F350" t="inlineStr">
        <is>
          <t>HALLANDS LÄN</t>
        </is>
      </c>
      <c r="G350" t="inlineStr">
        <is>
          <t>HALMSTAD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46301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23483-2022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44721</v>
      </c>
      <c r="E352" s="1" t="n">
        <v>46301</v>
      </c>
      <c r="F352" t="inlineStr">
        <is>
          <t>HALLANDS LÄN</t>
        </is>
      </c>
      <c r="G352" t="inlineStr">
        <is>
          <t>HALMSTAD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46301</v>
      </c>
      <c r="F353" t="inlineStr">
        <is>
          <t>HALLANDS LÄN</t>
        </is>
      </c>
      <c r="G353" t="inlineStr">
        <is>
          <t>HALMSTAD</t>
        </is>
      </c>
      <c r="H353" t="inlineStr">
        <is>
          <t>Kommuner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46301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46173</v>
      </c>
      <c r="E355" s="1" t="n">
        <v>46301</v>
      </c>
      <c r="F355" t="inlineStr">
        <is>
          <t>HALLANDS LÄN</t>
        </is>
      </c>
      <c r="G355" t="inlineStr">
        <is>
          <t>HALMSTAD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46173</v>
      </c>
      <c r="E356" s="1" t="n">
        <v>46301</v>
      </c>
      <c r="F356" t="inlineStr">
        <is>
          <t>HALLANDS LÄN</t>
        </is>
      </c>
      <c r="G356" t="inlineStr">
        <is>
          <t>HALMSTAD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44662</v>
      </c>
      <c r="E357" s="1" t="n">
        <v>46301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46176</v>
      </c>
      <c r="E358" s="1" t="n">
        <v>46301</v>
      </c>
      <c r="F358" t="inlineStr">
        <is>
          <t>HALLANDS LÄN</t>
        </is>
      </c>
      <c r="G358" t="inlineStr">
        <is>
          <t>HALMSTAD</t>
        </is>
      </c>
      <c r="I358" t="n">
        <v>17.8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46301</v>
      </c>
      <c r="F359" t="inlineStr">
        <is>
          <t>HALLANDS LÄN</t>
        </is>
      </c>
      <c r="G359" t="inlineStr">
        <is>
          <t>HALMSTAD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46301</v>
      </c>
      <c r="F360" t="inlineStr">
        <is>
          <t>HALLANDS LÄN</t>
        </is>
      </c>
      <c r="G360" t="inlineStr">
        <is>
          <t>HALMSTAD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23772-2022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44722</v>
      </c>
      <c r="E361" s="1" t="n">
        <v>46301</v>
      </c>
      <c r="F361" t="inlineStr">
        <is>
          <t>HALLANDS LÄN</t>
        </is>
      </c>
      <c r="G361" t="inlineStr">
        <is>
          <t>HALMSTAD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46301</v>
      </c>
      <c r="F362" t="inlineStr">
        <is>
          <t>HALLANDS LÄN</t>
        </is>
      </c>
      <c r="G362" t="inlineStr">
        <is>
          <t>HALMSTAD</t>
        </is>
      </c>
      <c r="I362" t="n">
        <v>12.6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46301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46301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48859-2023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45209</v>
      </c>
      <c r="E365" s="1" t="n">
        <v>46301</v>
      </c>
      <c r="F365" t="inlineStr">
        <is>
          <t>HALLANDS LÄN</t>
        </is>
      </c>
      <c r="G365" t="inlineStr">
        <is>
          <t>HALMSTAD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46301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45183</v>
      </c>
      <c r="E367" s="1" t="n">
        <v>46301</v>
      </c>
      <c r="F367" t="inlineStr">
        <is>
          <t>HALLANDS LÄN</t>
        </is>
      </c>
      <c r="G367" t="inlineStr">
        <is>
          <t>HALMSTAD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46301</v>
      </c>
      <c r="F368" t="inlineStr">
        <is>
          <t>HALLANDS LÄN</t>
        </is>
      </c>
      <c r="G368" t="inlineStr">
        <is>
          <t>HALMSTAD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46301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46301</v>
      </c>
      <c r="F370" t="inlineStr">
        <is>
          <t>HALLANDS LÄN</t>
        </is>
      </c>
      <c r="G370" t="inlineStr">
        <is>
          <t>HALMSTAD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27505-2022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44742</v>
      </c>
      <c r="E371" s="1" t="n">
        <v>46301</v>
      </c>
      <c r="F371" t="inlineStr">
        <is>
          <t>HALLANDS LÄN</t>
        </is>
      </c>
      <c r="G371" t="inlineStr">
        <is>
          <t>HALMSTAD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46301</v>
      </c>
      <c r="F372" t="inlineStr">
        <is>
          <t>HALLANDS LÄN</t>
        </is>
      </c>
      <c r="G372" t="inlineStr">
        <is>
          <t>HALMSTAD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55596-2023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45238</v>
      </c>
      <c r="E373" s="1" t="n">
        <v>46301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46301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46301</v>
      </c>
      <c r="F375" t="inlineStr">
        <is>
          <t>HALLANDS LÄN</t>
        </is>
      </c>
      <c r="G375" t="inlineStr">
        <is>
          <t>HALMSTAD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46301</v>
      </c>
      <c r="F376" t="inlineStr">
        <is>
          <t>HALLANDS LÄN</t>
        </is>
      </c>
      <c r="G376" t="inlineStr">
        <is>
          <t>HALMSTAD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46301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46301</v>
      </c>
      <c r="F378" t="inlineStr">
        <is>
          <t>HALLANDS LÄN</t>
        </is>
      </c>
      <c r="G378" t="inlineStr">
        <is>
          <t>HALMSTAD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27189-2026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46301</v>
      </c>
      <c r="F379" t="inlineStr">
        <is>
          <t>HALLANDS LÄN</t>
        </is>
      </c>
      <c r="G379" t="inlineStr">
        <is>
          <t>HALMSTAD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46301</v>
      </c>
      <c r="F380" t="inlineStr">
        <is>
          <t>HALLANDS LÄN</t>
        </is>
      </c>
      <c r="G380" t="inlineStr">
        <is>
          <t>HALMSTAD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46301</v>
      </c>
      <c r="F381" t="inlineStr">
        <is>
          <t>HALLANDS LÄN</t>
        </is>
      </c>
      <c r="G381" t="inlineStr">
        <is>
          <t>HALMSTAD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46301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46301</v>
      </c>
      <c r="F383" t="inlineStr">
        <is>
          <t>HALLANDS LÄN</t>
        </is>
      </c>
      <c r="G383" t="inlineStr">
        <is>
          <t>HALMSTAD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27191-2026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46301</v>
      </c>
      <c r="F384" t="inlineStr">
        <is>
          <t>HALLANDS LÄN</t>
        </is>
      </c>
      <c r="G384" t="inlineStr">
        <is>
          <t>HALMSTAD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46301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46301</v>
      </c>
      <c r="F386" t="inlineStr">
        <is>
          <t>HALLANDS LÄN</t>
        </is>
      </c>
      <c r="G386" t="inlineStr">
        <is>
          <t>HALMSTAD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46301</v>
      </c>
      <c r="F387" t="inlineStr">
        <is>
          <t>HALLANDS LÄN</t>
        </is>
      </c>
      <c r="G387" t="inlineStr">
        <is>
          <t>HALMSTAD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46301</v>
      </c>
      <c r="F388" t="inlineStr">
        <is>
          <t>HALLANDS LÄN</t>
        </is>
      </c>
      <c r="G388" t="inlineStr">
        <is>
          <t>HALMSTAD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46301</v>
      </c>
      <c r="F389" t="inlineStr">
        <is>
          <t>HALLANDS LÄN</t>
        </is>
      </c>
      <c r="G389" t="inlineStr">
        <is>
          <t>HALMSTAD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45258</v>
      </c>
      <c r="E390" s="1" t="n">
        <v>46301</v>
      </c>
      <c r="F390" t="inlineStr">
        <is>
          <t>HALLANDS LÄN</t>
        </is>
      </c>
      <c r="G390" t="inlineStr">
        <is>
          <t>HALMSTAD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45126</v>
      </c>
      <c r="E391" s="1" t="n">
        <v>46301</v>
      </c>
      <c r="F391" t="inlineStr">
        <is>
          <t>HALLANDS LÄN</t>
        </is>
      </c>
      <c r="G391" t="inlineStr">
        <is>
          <t>HALMSTAD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22149-2022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44712</v>
      </c>
      <c r="E392" s="1" t="n">
        <v>46301</v>
      </c>
      <c r="F392" t="inlineStr">
        <is>
          <t>HALLANDS LÄN</t>
        </is>
      </c>
      <c r="G392" t="inlineStr">
        <is>
          <t>HALMSTAD</t>
        </is>
      </c>
      <c r="I392" t="n">
        <v>9.699999999999999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46301</v>
      </c>
      <c r="F393" t="inlineStr">
        <is>
          <t>HALLANDS LÄN</t>
        </is>
      </c>
      <c r="G393" t="inlineStr">
        <is>
          <t>HALMSTAD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46301</v>
      </c>
      <c r="F394" t="inlineStr">
        <is>
          <t>HALLANDS LÄN</t>
        </is>
      </c>
      <c r="G394" t="inlineStr">
        <is>
          <t>HALMSTAD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46301</v>
      </c>
      <c r="F395" t="inlineStr">
        <is>
          <t>HALLANDS LÄN</t>
        </is>
      </c>
      <c r="G395" t="inlineStr">
        <is>
          <t>HALMSTAD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12009-2026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46301</v>
      </c>
      <c r="F396" t="inlineStr">
        <is>
          <t>HALLANDS LÄN</t>
        </is>
      </c>
      <c r="G396" t="inlineStr">
        <is>
          <t>HALMSTAD</t>
        </is>
      </c>
      <c r="I396" t="n">
        <v>8.4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45259</v>
      </c>
      <c r="E397" s="1" t="n">
        <v>46301</v>
      </c>
      <c r="F397" t="inlineStr">
        <is>
          <t>HALLANDS LÄN</t>
        </is>
      </c>
      <c r="G397" t="inlineStr">
        <is>
          <t>HALMSTAD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41951-2022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44830</v>
      </c>
      <c r="E398" s="1" t="n">
        <v>46301</v>
      </c>
      <c r="F398" t="inlineStr">
        <is>
          <t>HALLANDS LÄN</t>
        </is>
      </c>
      <c r="G398" t="inlineStr">
        <is>
          <t>HALMSTAD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46301</v>
      </c>
      <c r="F399" t="inlineStr">
        <is>
          <t>HALLANDS LÄN</t>
        </is>
      </c>
      <c r="G399" t="inlineStr">
        <is>
          <t>HALMSTAD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64136-2023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46301</v>
      </c>
      <c r="F400" t="inlineStr">
        <is>
          <t>HALLANDS LÄN</t>
        </is>
      </c>
      <c r="G400" t="inlineStr">
        <is>
          <t>HALMSTAD</t>
        </is>
      </c>
      <c r="H400" t="inlineStr">
        <is>
          <t>Bergvik skog väst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46301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46301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51190-2022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46301</v>
      </c>
      <c r="F403" t="inlineStr">
        <is>
          <t>HALLANDS LÄN</t>
        </is>
      </c>
      <c r="G403" t="inlineStr">
        <is>
          <t>HALMSTAD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46301</v>
      </c>
      <c r="F404" t="inlineStr">
        <is>
          <t>HALLANDS LÄN</t>
        </is>
      </c>
      <c r="G404" t="inlineStr">
        <is>
          <t>HALMSTAD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46301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45049</v>
      </c>
      <c r="E406" s="1" t="n">
        <v>46301</v>
      </c>
      <c r="F406" t="inlineStr">
        <is>
          <t>HALLANDS LÄN</t>
        </is>
      </c>
      <c r="G406" t="inlineStr">
        <is>
          <t>HALMSTAD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46301</v>
      </c>
      <c r="F407" t="inlineStr">
        <is>
          <t>HALLANDS LÄN</t>
        </is>
      </c>
      <c r="G407" t="inlineStr">
        <is>
          <t>HALMSTAD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46301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46301</v>
      </c>
      <c r="F409" t="inlineStr">
        <is>
          <t>HALLANDS LÄN</t>
        </is>
      </c>
      <c r="G409" t="inlineStr">
        <is>
          <t>HALMSTAD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46301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46301</v>
      </c>
      <c r="F411" t="inlineStr">
        <is>
          <t>HALLANDS LÄN</t>
        </is>
      </c>
      <c r="G411" t="inlineStr">
        <is>
          <t>HALMSTAD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46301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55798-2023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45239</v>
      </c>
      <c r="E413" s="1" t="n">
        <v>46301</v>
      </c>
      <c r="F413" t="inlineStr">
        <is>
          <t>HALLANDS LÄN</t>
        </is>
      </c>
      <c r="G413" t="inlineStr">
        <is>
          <t>HALMSTAD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45239</v>
      </c>
      <c r="E414" s="1" t="n">
        <v>46301</v>
      </c>
      <c r="F414" t="inlineStr">
        <is>
          <t>HALLANDS LÄN</t>
        </is>
      </c>
      <c r="G414" t="inlineStr">
        <is>
          <t>HALMSTAD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46301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45450</v>
      </c>
      <c r="E416" s="1" t="n">
        <v>46301</v>
      </c>
      <c r="F416" t="inlineStr">
        <is>
          <t>HALLANDS LÄN</t>
        </is>
      </c>
      <c r="G416" t="inlineStr">
        <is>
          <t>HALMSTAD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46301</v>
      </c>
      <c r="F417" t="inlineStr">
        <is>
          <t>HALLANDS LÄN</t>
        </is>
      </c>
      <c r="G417" t="inlineStr">
        <is>
          <t>HALMSTAD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46301</v>
      </c>
      <c r="F418" t="inlineStr">
        <is>
          <t>HALLANDS LÄN</t>
        </is>
      </c>
      <c r="G418" t="inlineStr">
        <is>
          <t>HALMSTAD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46301</v>
      </c>
      <c r="F419" t="inlineStr">
        <is>
          <t>HALLANDS LÄN</t>
        </is>
      </c>
      <c r="G419" t="inlineStr">
        <is>
          <t>HALMSTAD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57037-2021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44482</v>
      </c>
      <c r="E420" s="1" t="n">
        <v>46301</v>
      </c>
      <c r="F420" t="inlineStr">
        <is>
          <t>HALLANDS LÄN</t>
        </is>
      </c>
      <c r="G420" t="inlineStr">
        <is>
          <t>HALMSTAD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46259</v>
      </c>
      <c r="E421" s="1" t="n">
        <v>46301</v>
      </c>
      <c r="F421" t="inlineStr">
        <is>
          <t>HALLANDS LÄN</t>
        </is>
      </c>
      <c r="G421" t="inlineStr">
        <is>
          <t>HALMSTAD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45429</v>
      </c>
      <c r="E422" s="1" t="n">
        <v>46301</v>
      </c>
      <c r="F422" t="inlineStr">
        <is>
          <t>HALLANDS LÄN</t>
        </is>
      </c>
      <c r="G422" t="inlineStr">
        <is>
          <t>HALMSTAD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62766-2023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45268</v>
      </c>
      <c r="E423" s="1" t="n">
        <v>46301</v>
      </c>
      <c r="F423" t="inlineStr">
        <is>
          <t>HALLANDS LÄN</t>
        </is>
      </c>
      <c r="G423" t="inlineStr">
        <is>
          <t>HALMSTAD</t>
        </is>
      </c>
      <c r="H423" t="inlineStr">
        <is>
          <t>Sveaskog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53763-2022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44875</v>
      </c>
      <c r="E424" s="1" t="n">
        <v>46301</v>
      </c>
      <c r="F424" t="inlineStr">
        <is>
          <t>HALLANDS LÄN</t>
        </is>
      </c>
      <c r="G424" t="inlineStr">
        <is>
          <t>HALMSTAD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44595</v>
      </c>
      <c r="E425" s="1" t="n">
        <v>46301</v>
      </c>
      <c r="F425" t="inlineStr">
        <is>
          <t>HALLANDS LÄN</t>
        </is>
      </c>
      <c r="G425" t="inlineStr">
        <is>
          <t>HALMSTAD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45404</v>
      </c>
      <c r="E426" s="1" t="n">
        <v>46301</v>
      </c>
      <c r="F426" t="inlineStr">
        <is>
          <t>HALLANDS LÄN</t>
        </is>
      </c>
      <c r="G426" t="inlineStr">
        <is>
          <t>HALMSTAD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64231-2023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46301</v>
      </c>
      <c r="F427" t="inlineStr">
        <is>
          <t>HALLANDS LÄN</t>
        </is>
      </c>
      <c r="G427" t="inlineStr">
        <is>
          <t>HALMSTAD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41612-2022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44827</v>
      </c>
      <c r="E428" s="1" t="n">
        <v>46301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46301</v>
      </c>
      <c r="F429" t="inlineStr">
        <is>
          <t>HALLANDS LÄN</t>
        </is>
      </c>
      <c r="G429" t="inlineStr">
        <is>
          <t>HALMSTAD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46301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46265</v>
      </c>
      <c r="E431" s="1" t="n">
        <v>46301</v>
      </c>
      <c r="F431" t="inlineStr">
        <is>
          <t>HALLANDS LÄN</t>
        </is>
      </c>
      <c r="G431" t="inlineStr">
        <is>
          <t>HALMSTAD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45257</v>
      </c>
      <c r="E432" s="1" t="n">
        <v>46301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46301</v>
      </c>
      <c r="F433" t="inlineStr">
        <is>
          <t>HALLANDS LÄN</t>
        </is>
      </c>
      <c r="G433" t="inlineStr">
        <is>
          <t>HALMSTAD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44806</v>
      </c>
      <c r="E434" s="1" t="n">
        <v>46301</v>
      </c>
      <c r="F434" t="inlineStr">
        <is>
          <t>HALLANDS LÄN</t>
        </is>
      </c>
      <c r="G434" t="inlineStr">
        <is>
          <t>HALMSTAD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44691</v>
      </c>
      <c r="E435" s="1" t="n">
        <v>46301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46301</v>
      </c>
      <c r="F436" t="inlineStr">
        <is>
          <t>HALLANDS LÄN</t>
        </is>
      </c>
      <c r="G436" t="inlineStr">
        <is>
          <t>HALMSTAD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22710-2023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45071</v>
      </c>
      <c r="E437" s="1" t="n">
        <v>46301</v>
      </c>
      <c r="F437" t="inlineStr">
        <is>
          <t>HALLANDS LÄN</t>
        </is>
      </c>
      <c r="G437" t="inlineStr">
        <is>
          <t>HALMSTAD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57013-2021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44482</v>
      </c>
      <c r="E438" s="1" t="n">
        <v>46301</v>
      </c>
      <c r="F438" t="inlineStr">
        <is>
          <t>HALLANDS LÄN</t>
        </is>
      </c>
      <c r="G438" t="inlineStr">
        <is>
          <t>HALMSTAD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57021-2021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46301</v>
      </c>
      <c r="F439" t="inlineStr">
        <is>
          <t>HALLANDS LÄN</t>
        </is>
      </c>
      <c r="G439" t="inlineStr">
        <is>
          <t>HALMSTAD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46301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46301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46301</v>
      </c>
      <c r="F442" t="inlineStr">
        <is>
          <t>HALLANDS LÄN</t>
        </is>
      </c>
      <c r="G442" t="inlineStr">
        <is>
          <t>HALMSTAD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45216</v>
      </c>
      <c r="E443" s="1" t="n">
        <v>46301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46301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46301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46301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45677</v>
      </c>
      <c r="E447" s="1" t="n">
        <v>46301</v>
      </c>
      <c r="F447" t="inlineStr">
        <is>
          <t>HALLANDS LÄN</t>
        </is>
      </c>
      <c r="G447" t="inlineStr">
        <is>
          <t>HALMSTAD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46301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46274</v>
      </c>
      <c r="E449" s="1" t="n">
        <v>46301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37186-2026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46301</v>
      </c>
      <c r="F450" t="inlineStr">
        <is>
          <t>HALLANDS LÄN</t>
        </is>
      </c>
      <c r="G450" t="inlineStr">
        <is>
          <t>HALMSTAD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44622</v>
      </c>
      <c r="E451" s="1" t="n">
        <v>46301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54008-2023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45231</v>
      </c>
      <c r="E452" s="1" t="n">
        <v>46301</v>
      </c>
      <c r="F452" t="inlineStr">
        <is>
          <t>HALLANDS LÄN</t>
        </is>
      </c>
      <c r="G452" t="inlineStr">
        <is>
          <t>HALMSTAD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46301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44852</v>
      </c>
      <c r="E454" s="1" t="n">
        <v>46301</v>
      </c>
      <c r="F454" t="inlineStr">
        <is>
          <t>HALLANDS LÄN</t>
        </is>
      </c>
      <c r="G454" t="inlineStr">
        <is>
          <t>HALMSTAD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46301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46301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58080-2024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46301</v>
      </c>
      <c r="F457" t="inlineStr">
        <is>
          <t>HALLANDS LÄN</t>
        </is>
      </c>
      <c r="G457" t="inlineStr">
        <is>
          <t>HALMSTAD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44712</v>
      </c>
      <c r="E458" s="1" t="n">
        <v>46301</v>
      </c>
      <c r="F458" t="inlineStr">
        <is>
          <t>HALLANDS LÄN</t>
        </is>
      </c>
      <c r="G458" t="inlineStr">
        <is>
          <t>HALMSTAD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45050</v>
      </c>
      <c r="E459" s="1" t="n">
        <v>46301</v>
      </c>
      <c r="F459" t="inlineStr">
        <is>
          <t>HALLANDS LÄN</t>
        </is>
      </c>
      <c r="G459" t="inlineStr">
        <is>
          <t>HALMSTAD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46301</v>
      </c>
      <c r="F460" t="inlineStr">
        <is>
          <t>HALLANDS LÄN</t>
        </is>
      </c>
      <c r="G460" t="inlineStr">
        <is>
          <t>HALMSTAD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46301</v>
      </c>
      <c r="F461" t="inlineStr">
        <is>
          <t>HALLANDS LÄN</t>
        </is>
      </c>
      <c r="G461" t="inlineStr">
        <is>
          <t>HALMSTAD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46301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46301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46301</v>
      </c>
      <c r="F464" t="inlineStr">
        <is>
          <t>HALLANDS LÄN</t>
        </is>
      </c>
      <c r="G464" t="inlineStr">
        <is>
          <t>HALMSTAD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46301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46301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45279</v>
      </c>
      <c r="E467" s="1" t="n">
        <v>46301</v>
      </c>
      <c r="F467" t="inlineStr">
        <is>
          <t>HALLANDS LÄN</t>
        </is>
      </c>
      <c r="G467" t="inlineStr">
        <is>
          <t>HALMSTAD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46301</v>
      </c>
      <c r="F468" t="inlineStr">
        <is>
          <t>HALLANDS LÄN</t>
        </is>
      </c>
      <c r="G468" t="inlineStr">
        <is>
          <t>HALMSTAD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45251</v>
      </c>
      <c r="E469" s="1" t="n">
        <v>46301</v>
      </c>
      <c r="F469" t="inlineStr">
        <is>
          <t>HALLANDS LÄN</t>
        </is>
      </c>
      <c r="G469" t="inlineStr">
        <is>
          <t>HALMSTAD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35185-2026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46260</v>
      </c>
      <c r="E470" s="1" t="n">
        <v>46301</v>
      </c>
      <c r="F470" t="inlineStr">
        <is>
          <t>HALLANDS LÄN</t>
        </is>
      </c>
      <c r="G470" t="inlineStr">
        <is>
          <t>HALMSTAD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46104-2023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45196</v>
      </c>
      <c r="E471" s="1" t="n">
        <v>46301</v>
      </c>
      <c r="F471" t="inlineStr">
        <is>
          <t>HALLANDS LÄN</t>
        </is>
      </c>
      <c r="G471" t="inlineStr">
        <is>
          <t>HALMSTAD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46301</v>
      </c>
      <c r="F472" t="inlineStr">
        <is>
          <t>HALLANDS LÄN</t>
        </is>
      </c>
      <c r="G472" t="inlineStr">
        <is>
          <t>HALMSTAD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39303-2026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46301</v>
      </c>
      <c r="F473" t="inlineStr">
        <is>
          <t>HALLANDS LÄN</t>
        </is>
      </c>
      <c r="G473" t="inlineStr">
        <is>
          <t>HALMSTAD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46301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45562</v>
      </c>
      <c r="E475" s="1" t="n">
        <v>46301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42204-2024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45562</v>
      </c>
      <c r="E476" s="1" t="n">
        <v>46301</v>
      </c>
      <c r="F476" t="inlineStr">
        <is>
          <t>HALLANDS LÄN</t>
        </is>
      </c>
      <c r="G476" t="inlineStr">
        <is>
          <t>HALMSTAD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45589</v>
      </c>
      <c r="E477" s="1" t="n">
        <v>46301</v>
      </c>
      <c r="F477" t="inlineStr">
        <is>
          <t>HALLANDS LÄN</t>
        </is>
      </c>
      <c r="G477" t="inlineStr">
        <is>
          <t>HALMSTAD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46301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45065</v>
      </c>
      <c r="E479" s="1" t="n">
        <v>46301</v>
      </c>
      <c r="F479" t="inlineStr">
        <is>
          <t>HALLANDS LÄN</t>
        </is>
      </c>
      <c r="G479" t="inlineStr">
        <is>
          <t>HALMSTAD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24103-2023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46301</v>
      </c>
      <c r="F480" t="inlineStr">
        <is>
          <t>HALLANDS LÄN</t>
        </is>
      </c>
      <c r="G480" t="inlineStr">
        <is>
          <t>HALMSTAD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40629-2023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46301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8679-2025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45712</v>
      </c>
      <c r="E482" s="1" t="n">
        <v>46301</v>
      </c>
      <c r="F482" t="inlineStr">
        <is>
          <t>HALLANDS LÄN</t>
        </is>
      </c>
      <c r="G482" t="inlineStr">
        <is>
          <t>HALMSTAD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40741-2023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45170</v>
      </c>
      <c r="E483" s="1" t="n">
        <v>46301</v>
      </c>
      <c r="F483" t="inlineStr">
        <is>
          <t>HALLANDS LÄN</t>
        </is>
      </c>
      <c r="G483" t="inlineStr">
        <is>
          <t>HALMSTAD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46301</v>
      </c>
      <c r="F484" t="inlineStr">
        <is>
          <t>HALLANDS LÄN</t>
        </is>
      </c>
      <c r="G484" t="inlineStr">
        <is>
          <t>HALMSTAD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66730-2021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44520</v>
      </c>
      <c r="E485" s="1" t="n">
        <v>46301</v>
      </c>
      <c r="F485" t="inlineStr">
        <is>
          <t>HALLANDS LÄN</t>
        </is>
      </c>
      <c r="G485" t="inlineStr">
        <is>
          <t>HALMSTAD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45680</v>
      </c>
      <c r="E486" s="1" t="n">
        <v>46301</v>
      </c>
      <c r="F486" t="inlineStr">
        <is>
          <t>HALLANDS LÄN</t>
        </is>
      </c>
      <c r="G486" t="inlineStr">
        <is>
          <t>HALMSTAD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46301</v>
      </c>
      <c r="F487" t="inlineStr">
        <is>
          <t>HALLANDS LÄN</t>
        </is>
      </c>
      <c r="G487" t="inlineStr">
        <is>
          <t>HALMSTAD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45734</v>
      </c>
      <c r="E488" s="1" t="n">
        <v>46301</v>
      </c>
      <c r="F488" t="inlineStr">
        <is>
          <t>HALLANDS LÄN</t>
        </is>
      </c>
      <c r="G488" t="inlineStr">
        <is>
          <t>HALMSTAD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9149-2024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45358</v>
      </c>
      <c r="E489" s="1" t="n">
        <v>46301</v>
      </c>
      <c r="F489" t="inlineStr">
        <is>
          <t>HALLANDS LÄN</t>
        </is>
      </c>
      <c r="G489" t="inlineStr">
        <is>
          <t>HALMSTAD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46301</v>
      </c>
      <c r="F490" t="inlineStr">
        <is>
          <t>HALLANDS LÄN</t>
        </is>
      </c>
      <c r="G490" t="inlineStr">
        <is>
          <t>HALMSTAD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46276</v>
      </c>
      <c r="E491" s="1" t="n">
        <v>46301</v>
      </c>
      <c r="F491" t="inlineStr">
        <is>
          <t>HALLANDS LÄN</t>
        </is>
      </c>
      <c r="G491" t="inlineStr">
        <is>
          <t>HALMSTAD</t>
        </is>
      </c>
      <c r="I491" t="n">
        <v>13.4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51901-2024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45607</v>
      </c>
      <c r="E492" s="1" t="n">
        <v>46301</v>
      </c>
      <c r="F492" t="inlineStr">
        <is>
          <t>HALLANDS LÄN</t>
        </is>
      </c>
      <c r="G492" t="inlineStr">
        <is>
          <t>HALMSTAD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46296</v>
      </c>
      <c r="E493" s="1" t="n">
        <v>46301</v>
      </c>
      <c r="F493" t="inlineStr">
        <is>
          <t>HALLANDS LÄN</t>
        </is>
      </c>
      <c r="G493" t="inlineStr">
        <is>
          <t>HALMSTAD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46296</v>
      </c>
      <c r="E494" s="1" t="n">
        <v>46301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46027</v>
      </c>
      <c r="E495" s="1" t="n">
        <v>46301</v>
      </c>
      <c r="F495" t="inlineStr">
        <is>
          <t>HALLANDS LÄN</t>
        </is>
      </c>
      <c r="G495" t="inlineStr">
        <is>
          <t>HALMSTAD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46301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46301</v>
      </c>
      <c r="F497" t="inlineStr">
        <is>
          <t>HALLANDS LÄN</t>
        </is>
      </c>
      <c r="G497" t="inlineStr">
        <is>
          <t>HALMSTAD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45443</v>
      </c>
      <c r="E498" s="1" t="n">
        <v>46301</v>
      </c>
      <c r="F498" t="inlineStr">
        <is>
          <t>HALLANDS LÄN</t>
        </is>
      </c>
      <c r="G498" t="inlineStr">
        <is>
          <t>HALMSTAD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40418-2024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46301</v>
      </c>
      <c r="F499" t="inlineStr">
        <is>
          <t>HALLANDS LÄN</t>
        </is>
      </c>
      <c r="G499" t="inlineStr">
        <is>
          <t>HALMSTAD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46301</v>
      </c>
      <c r="F500" t="inlineStr">
        <is>
          <t>HALLANDS LÄN</t>
        </is>
      </c>
      <c r="G500" t="inlineStr">
        <is>
          <t>HALMSTAD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45583</v>
      </c>
      <c r="E501" s="1" t="n">
        <v>46301</v>
      </c>
      <c r="F501" t="inlineStr">
        <is>
          <t>HALLANDS LÄN</t>
        </is>
      </c>
      <c r="G501" t="inlineStr">
        <is>
          <t>HALMSTAD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45792</v>
      </c>
      <c r="E502" s="1" t="n">
        <v>46301</v>
      </c>
      <c r="F502" t="inlineStr">
        <is>
          <t>HALLANDS LÄN</t>
        </is>
      </c>
      <c r="G502" t="inlineStr">
        <is>
          <t>HALMSTAD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45747</v>
      </c>
      <c r="E503" s="1" t="n">
        <v>46301</v>
      </c>
      <c r="F503" t="inlineStr">
        <is>
          <t>HALLANDS LÄN</t>
        </is>
      </c>
      <c r="G503" t="inlineStr">
        <is>
          <t>HALMSTAD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45694</v>
      </c>
      <c r="E504" s="1" t="n">
        <v>46301</v>
      </c>
      <c r="F504" t="inlineStr">
        <is>
          <t>HALLANDS LÄN</t>
        </is>
      </c>
      <c r="G504" t="inlineStr">
        <is>
          <t>HALMSTAD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45627</v>
      </c>
      <c r="E505" s="1" t="n">
        <v>46301</v>
      </c>
      <c r="F505" t="inlineStr">
        <is>
          <t>HALLANDS LÄN</t>
        </is>
      </c>
      <c r="G505" t="inlineStr">
        <is>
          <t>HALMSTAD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42190-2024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45562</v>
      </c>
      <c r="E506" s="1" t="n">
        <v>46301</v>
      </c>
      <c r="F506" t="inlineStr">
        <is>
          <t>HALLANDS LÄN</t>
        </is>
      </c>
      <c r="G506" t="inlineStr">
        <is>
          <t>HALMSTAD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44677</v>
      </c>
      <c r="E507" s="1" t="n">
        <v>46301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46301</v>
      </c>
      <c r="F508" t="inlineStr">
        <is>
          <t>HALLANDS LÄN</t>
        </is>
      </c>
      <c r="G508" t="inlineStr">
        <is>
          <t>HALMSTAD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46301</v>
      </c>
      <c r="F509" t="inlineStr">
        <is>
          <t>HALLANDS LÄN</t>
        </is>
      </c>
      <c r="G509" t="inlineStr">
        <is>
          <t>HALMSTAD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46301</v>
      </c>
      <c r="F510" t="inlineStr">
        <is>
          <t>HALLANDS LÄN</t>
        </is>
      </c>
      <c r="G510" t="inlineStr">
        <is>
          <t>HALMSTAD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46301</v>
      </c>
      <c r="F511" t="inlineStr">
        <is>
          <t>HALLANDS LÄN</t>
        </is>
      </c>
      <c r="G511" t="inlineStr">
        <is>
          <t>HALMSTAD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46301</v>
      </c>
      <c r="F512" t="inlineStr">
        <is>
          <t>HALLANDS LÄN</t>
        </is>
      </c>
      <c r="G512" t="inlineStr">
        <is>
          <t>HALMSTAD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46301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46301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46301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2307-2020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44132</v>
      </c>
      <c r="E516" s="1" t="n">
        <v>46301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572-2022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44592</v>
      </c>
      <c r="E517" s="1" t="n">
        <v>46301</v>
      </c>
      <c r="F517" t="inlineStr">
        <is>
          <t>HALLANDS LÄN</t>
        </is>
      </c>
      <c r="G517" t="inlineStr">
        <is>
          <t>HALMSTAD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3049-2024</t>
        </is>
      </c>
      <c r="B518" t="inlineStr">
        <is>
          <t>samrådsanmälan</t>
        </is>
      </c>
      <c r="C518" t="inlineStr">
        <is>
          <t>Askåterföring</t>
        </is>
      </c>
      <c r="D518" s="1" t="n">
        <v>45516</v>
      </c>
      <c r="E518" s="1" t="n">
        <v>46301</v>
      </c>
      <c r="F518" t="inlineStr">
        <is>
          <t>HALLANDS LÄN</t>
        </is>
      </c>
      <c r="G518" t="inlineStr">
        <is>
          <t>HALMSTAD</t>
        </is>
      </c>
      <c r="I518" t="n">
        <v>13.9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4158-2022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44767</v>
      </c>
      <c r="E519" s="1" t="n">
        <v>46301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2905-2023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45171</v>
      </c>
      <c r="E520" s="1" t="n">
        <v>46301</v>
      </c>
      <c r="F520" t="inlineStr">
        <is>
          <t>HALLANDS LÄN</t>
        </is>
      </c>
      <c r="G520" t="inlineStr">
        <is>
          <t>HALMSTAD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46301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46301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46301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46301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46301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46301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46301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46301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46301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2026-10-06T01:54:05Z</dcterms:created>
  <dcterms:modified xmlns:dcterms="http://purl.org/dc/terms/" xmlns:xsi="http://www.w3.org/2001/XMLSchema-instance" xsi:type="dcterms:W3CDTF">2026-10-06T01:54:06Z</dcterms:modified>
</cp:coreProperties>
</file>
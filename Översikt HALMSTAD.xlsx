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46265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46265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46265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46265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46265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46265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46265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46265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46265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46265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46265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46265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46265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46265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46265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46265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46265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46265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46265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46265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40045-2025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46265</v>
      </c>
      <c r="F33" t="inlineStr">
        <is>
          <t>HALLANDS LÄN</t>
        </is>
      </c>
      <c r="G33" t="inlineStr">
        <is>
          <t>HALMSTAD</t>
        </is>
      </c>
      <c r="I33" t="n">
        <v>1.4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Kambräken
Platt fjädermossa</t>
        </is>
      </c>
      <c r="W33">
        <f>HYPERLINK("https://klasma.github.io/Logging_1380/artfynd/A 40045-2025 artfynd.xlsx", "A 40045-2025")</f>
        <v/>
      </c>
      <c r="X33">
        <f>HYPERLINK("https://klasma.github.io/Logging_1380/kartor/A 40045-2025 karta.png", "A 40045-2025")</f>
        <v/>
      </c>
      <c r="Y33">
        <f>HYPERLINK("https://klasma.github.io/Logging_1380/kartor_geotiff/A 40045-2025 georefererad karta.tif", "A 40045-2025")</f>
        <v/>
      </c>
      <c r="AA33">
        <f>HYPERLINK("https://klasma.github.io/Logging_1380/klagomål/A 40045-2025 FSC-klagomål.docx", "A 40045-2025")</f>
        <v/>
      </c>
      <c r="AB33">
        <f>HYPERLINK("https://klasma.github.io/Logging_1380/klagomålsmail/A 40045-2025 FSC-klagomål mail.docx", "A 40045-2025")</f>
        <v/>
      </c>
      <c r="AC33">
        <f>HYPERLINK("https://klasma.github.io/Logging_1380/tillsyn/A 40045-2025 tillsynsbegäran.docx", "A 40045-2025")</f>
        <v/>
      </c>
      <c r="AD33">
        <f>HYPERLINK("https://klasma.github.io/Logging_1380/tillsynsmail/A 40045-2025 tillsynsbegäran mail.docx", "A 40045-2025")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46265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46265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46265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46265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46265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46265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46265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46265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46265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46265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46265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46265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46265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46265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46265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27386-2025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46265</v>
      </c>
      <c r="F50" t="inlineStr">
        <is>
          <t>HALLANDS LÄN</t>
        </is>
      </c>
      <c r="G50" t="inlineStr">
        <is>
          <t>HALMSTAD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27386-2025 artfynd.xlsx", "A 27386-2025")</f>
        <v/>
      </c>
      <c r="X50">
        <f>HYPERLINK("https://klasma.github.io/Logging_1380/kartor/A 27386-2025 karta.png", "A 27386-2025")</f>
        <v/>
      </c>
      <c r="Y50">
        <f>HYPERLINK("https://klasma.github.io/Logging_1380/kartor_geotiff/A 27386-2025 georefererad karta.tif", "A 27386-2025")</f>
        <v/>
      </c>
      <c r="AA50">
        <f>HYPERLINK("https://klasma.github.io/Logging_1380/klagomål/A 27386-2025 FSC-klagomål.docx", "A 27386-2025")</f>
        <v/>
      </c>
      <c r="AB50">
        <f>HYPERLINK("https://klasma.github.io/Logging_1380/klagomålsmail/A 27386-2025 FSC-klagomål mail.docx", "A 27386-2025")</f>
        <v/>
      </c>
      <c r="AC50">
        <f>HYPERLINK("https://klasma.github.io/Logging_1380/tillsyn/A 27386-2025 tillsynsbegäran.docx", "A 27386-2025")</f>
        <v/>
      </c>
      <c r="AD50">
        <f>HYPERLINK("https://klasma.github.io/Logging_1380/tillsynsmail/A 27386-2025 tillsynsbegäran mail.docx", "A 27386-2025")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46265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46265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46265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46265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2994-2024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46265</v>
      </c>
      <c r="F55" t="inlineStr">
        <is>
          <t>HALLANDS LÄN</t>
        </is>
      </c>
      <c r="G55" t="inlineStr">
        <is>
          <t>HALMSTAD</t>
        </is>
      </c>
      <c r="I55" t="n">
        <v>7.9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HYPERLINK("https://klasma.github.io/Logging_1380/artfynd/A 2994-2024 artfynd.xlsx", "A 2994-2024")</f>
        <v/>
      </c>
      <c r="X55">
        <f>HYPERLINK("https://klasma.github.io/Logging_1380/kartor/A 2994-2024 karta.png", "A 2994-2024")</f>
        <v/>
      </c>
      <c r="Y55">
        <f>HYPERLINK("https://klasma.github.io/Logging_1380/kartor_geotiff/A 2994-2024 georefererad karta.tif", "A 2994-2024")</f>
        <v/>
      </c>
      <c r="AA55">
        <f>HYPERLINK("https://klasma.github.io/Logging_1380/klagomål/A 2994-2024 FSC-klagomål.docx", "A 2994-2024")</f>
        <v/>
      </c>
      <c r="AB55">
        <f>HYPERLINK("https://klasma.github.io/Logging_1380/klagomålsmail/A 2994-2024 FSC-klagomål mail.docx", "A 2994-2024")</f>
        <v/>
      </c>
      <c r="AC55">
        <f>HYPERLINK("https://klasma.github.io/Logging_1380/tillsyn/A 2994-2024 tillsynsbegäran.docx", "A 2994-2024")</f>
        <v/>
      </c>
      <c r="AD55">
        <f>HYPERLINK("https://klasma.github.io/Logging_1380/tillsynsmail/A 2994-2024 tillsynsbegäran mail.docx", "A 2994-2024")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46265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46265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46265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10063-2022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46265</v>
      </c>
      <c r="F59" t="inlineStr">
        <is>
          <t>HALLANDS LÄN</t>
        </is>
      </c>
      <c r="G59" t="inlineStr">
        <is>
          <t>HALMSTAD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Hasselmus</t>
        </is>
      </c>
      <c r="W59">
        <f>HYPERLINK("https://klasma.github.io/Logging_1380/artfynd/A 10063-2022 artfynd.xlsx", "A 10063-2022")</f>
        <v/>
      </c>
      <c r="X59">
        <f>HYPERLINK("https://klasma.github.io/Logging_1380/kartor/A 10063-2022 karta.png", "A 10063-2022")</f>
        <v/>
      </c>
      <c r="Y59">
        <f>HYPERLINK("https://klasma.github.io/Logging_1380/kartor_geotiff/A 10063-2022 georefererad karta.tif", "A 10063-2022")</f>
        <v/>
      </c>
      <c r="AA59">
        <f>HYPERLINK("https://klasma.github.io/Logging_1380/klagomål/A 10063-2022 FSC-klagomål.docx", "A 10063-2022")</f>
        <v/>
      </c>
      <c r="AB59">
        <f>HYPERLINK("https://klasma.github.io/Logging_1380/klagomålsmail/A 10063-2022 FSC-klagomål mail.docx", "A 10063-2022")</f>
        <v/>
      </c>
      <c r="AC59">
        <f>HYPERLINK("https://klasma.github.io/Logging_1380/tillsyn/A 10063-2022 tillsynsbegäran.docx", "A 10063-2022")</f>
        <v/>
      </c>
      <c r="AD59">
        <f>HYPERLINK("https://klasma.github.io/Logging_1380/tillsynsmail/A 10063-2022 tillsynsbegäran mail.docx", "A 10063-2022")</f>
        <v/>
      </c>
    </row>
    <row r="60" ht="15" customHeight="1">
      <c r="A60" t="inlineStr">
        <is>
          <t>A 20419-2022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46265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6.5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HYPERLINK("https://klasma.github.io/Logging_1380/artfynd/A 20419-2022 artfynd.xlsx", "A 20419-2022")</f>
        <v/>
      </c>
      <c r="X60">
        <f>HYPERLINK("https://klasma.github.io/Logging_1380/kartor/A 20419-2022 karta.png", "A 20419-2022")</f>
        <v/>
      </c>
      <c r="Y60">
        <f>HYPERLINK("https://klasma.github.io/Logging_1380/kartor_geotiff/A 20419-2022 georefererad karta.tif", "A 20419-2022")</f>
        <v/>
      </c>
      <c r="AA60">
        <f>HYPERLINK("https://klasma.github.io/Logging_1380/klagomål/A 20419-2022 FSC-klagomål.docx", "A 20419-2022")</f>
        <v/>
      </c>
      <c r="AB60">
        <f>HYPERLINK("https://klasma.github.io/Logging_1380/klagomålsmail/A 20419-2022 FSC-klagomål mail.docx", "A 20419-2022")</f>
        <v/>
      </c>
      <c r="AC60">
        <f>HYPERLINK("https://klasma.github.io/Logging_1380/tillsyn/A 20419-2022 tillsynsbegäran.docx", "A 20419-2022")</f>
        <v/>
      </c>
      <c r="AD60">
        <f>HYPERLINK("https://klasma.github.io/Logging_1380/tillsynsmail/A 20419-2022 tillsynsbegäran mail.docx", "A 20419-2022")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46265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5240-2025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45692</v>
      </c>
      <c r="E62" s="1" t="n">
        <v>46265</v>
      </c>
      <c r="F62" t="inlineStr">
        <is>
          <t>HALLANDS LÄN</t>
        </is>
      </c>
      <c r="G62" t="inlineStr">
        <is>
          <t>HALMSTAD</t>
        </is>
      </c>
      <c r="I62" t="n">
        <v>8.300000000000001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Mussellav</t>
        </is>
      </c>
      <c r="W62">
        <f>HYPERLINK("https://klasma.github.io/Logging_1380/artfynd/A 5240-2025 artfynd.xlsx", "A 5240-2025")</f>
        <v/>
      </c>
      <c r="X62">
        <f>HYPERLINK("https://klasma.github.io/Logging_1380/kartor/A 5240-2025 karta.png", "A 5240-2025")</f>
        <v/>
      </c>
      <c r="Y62">
        <f>HYPERLINK("https://klasma.github.io/Logging_1380/kartor_geotiff/A 5240-2025 georefererad karta.tif", "A 5240-2025")</f>
        <v/>
      </c>
      <c r="AA62">
        <f>HYPERLINK("https://klasma.github.io/Logging_1380/klagomål/A 5240-2025 FSC-klagomål.docx", "A 5240-2025")</f>
        <v/>
      </c>
      <c r="AB62">
        <f>HYPERLINK("https://klasma.github.io/Logging_1380/klagomålsmail/A 5240-2025 FSC-klagomål mail.docx", "A 5240-2025")</f>
        <v/>
      </c>
      <c r="AC62">
        <f>HYPERLINK("https://klasma.github.io/Logging_1380/tillsyn/A 5240-2025 tillsynsbegäran.docx", "A 5240-2025")</f>
        <v/>
      </c>
      <c r="AD62">
        <f>HYPERLINK("https://klasma.github.io/Logging_1380/tillsynsmail/A 5240-2025 tillsynsbegäran mail.docx", "A 5240-2025")</f>
        <v/>
      </c>
    </row>
    <row r="63" ht="15" customHeight="1">
      <c r="A63" t="inlineStr">
        <is>
          <t>A 53797-2024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46265</v>
      </c>
      <c r="F63" t="inlineStr">
        <is>
          <t>HALLANDS LÄN</t>
        </is>
      </c>
      <c r="G63" t="inlineStr">
        <is>
          <t>HALMSTAD</t>
        </is>
      </c>
      <c r="I63" t="n">
        <v>3.5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Dvärglin</t>
        </is>
      </c>
      <c r="W63">
        <f>HYPERLINK("https://klasma.github.io/Logging_1380/artfynd/A 53797-2024 artfynd.xlsx", "A 53797-2024")</f>
        <v/>
      </c>
      <c r="X63">
        <f>HYPERLINK("https://klasma.github.io/Logging_1380/kartor/A 53797-2024 karta.png", "A 53797-2024")</f>
        <v/>
      </c>
      <c r="Y63">
        <f>HYPERLINK("https://klasma.github.io/Logging_1380/kartor_geotiff/A 53797-2024 georefererad karta.tif", "A 53797-2024")</f>
        <v/>
      </c>
      <c r="AA63">
        <f>HYPERLINK("https://klasma.github.io/Logging_1380/klagomål/A 53797-2024 FSC-klagomål.docx", "A 53797-2024")</f>
        <v/>
      </c>
      <c r="AB63">
        <f>HYPERLINK("https://klasma.github.io/Logging_1380/klagomålsmail/A 53797-2024 FSC-klagomål mail.docx", "A 53797-2024")</f>
        <v/>
      </c>
      <c r="AC63">
        <f>HYPERLINK("https://klasma.github.io/Logging_1380/tillsyn/A 53797-2024 tillsynsbegäran.docx", "A 53797-2024")</f>
        <v/>
      </c>
      <c r="AD63">
        <f>HYPERLINK("https://klasma.github.io/Logging_1380/tillsynsmail/A 53797-2024 tillsynsbegäran mail.docx", "A 53797-2024")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46265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Dvärgpipistrell</t>
        </is>
      </c>
      <c r="W64">
        <f>HYPERLINK("https://klasma.github.io/Logging_1380/artfynd/A 6987-2026 artfynd.xlsx", "A 6987-2026")</f>
        <v/>
      </c>
      <c r="X64">
        <f>HYPERLINK("https://klasma.github.io/Logging_1380/kartor/A 6987-2026 karta.png", "A 6987-2026")</f>
        <v/>
      </c>
      <c r="Y64">
        <f>HYPERLINK("https://klasma.github.io/Logging_1380/kartor_geotiff/A 6987-2026 georefererad karta.tif", "A 6987-2026")</f>
        <v/>
      </c>
      <c r="AA64">
        <f>HYPERLINK("https://klasma.github.io/Logging_1380/klagomål/A 6987-2026 FSC-klagomål.docx", "A 6987-2026")</f>
        <v/>
      </c>
      <c r="AB64">
        <f>HYPERLINK("https://klasma.github.io/Logging_1380/klagomålsmail/A 6987-2026 FSC-klagomål mail.docx", "A 6987-2026")</f>
        <v/>
      </c>
      <c r="AC64">
        <f>HYPERLINK("https://klasma.github.io/Logging_1380/tillsyn/A 6987-2026 tillsynsbegäran.docx", "A 6987-2026")</f>
        <v/>
      </c>
      <c r="AD64">
        <f>HYPERLINK("https://klasma.github.io/Logging_1380/tillsynsmail/A 6987-2026 tillsynsbegäran mail.docx", "A 6987-2026")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46265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46265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32753-2023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45122</v>
      </c>
      <c r="E67" s="1" t="n">
        <v>46265</v>
      </c>
      <c r="F67" t="inlineStr">
        <is>
          <t>HALLANDS LÄN</t>
        </is>
      </c>
      <c r="G67" t="inlineStr">
        <is>
          <t>HALMSTAD</t>
        </is>
      </c>
      <c r="I67" t="n">
        <v>2.7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Entita</t>
        </is>
      </c>
      <c r="W67">
        <f>HYPERLINK("https://klasma.github.io/Logging_1380/artfynd/A 32753-2023 artfynd.xlsx", "A 32753-2023")</f>
        <v/>
      </c>
      <c r="X67">
        <f>HYPERLINK("https://klasma.github.io/Logging_1380/kartor/A 32753-2023 karta.png", "A 32753-2023")</f>
        <v/>
      </c>
      <c r="Y67">
        <f>HYPERLINK("https://klasma.github.io/Logging_1380/kartor_geotiff/A 32753-2023 georefererad karta.tif", "A 32753-2023")</f>
        <v/>
      </c>
      <c r="AA67">
        <f>HYPERLINK("https://klasma.github.io/Logging_1380/klagomål/A 32753-2023 FSC-klagomål.docx", "A 32753-2023")</f>
        <v/>
      </c>
      <c r="AB67">
        <f>HYPERLINK("https://klasma.github.io/Logging_1380/klagomålsmail/A 32753-2023 FSC-klagomål mail.docx", "A 32753-2023")</f>
        <v/>
      </c>
      <c r="AC67">
        <f>HYPERLINK("https://klasma.github.io/Logging_1380/tillsyn/A 32753-2023 tillsynsbegäran.docx", "A 32753-2023")</f>
        <v/>
      </c>
      <c r="AD67">
        <f>HYPERLINK("https://klasma.github.io/Logging_1380/tillsynsmail/A 32753-2023 tillsynsbegäran mail.docx", "A 32753-2023")</f>
        <v/>
      </c>
      <c r="AE67">
        <f>HYPERLINK("https://klasma.github.io/Logging_1380/fåglar/A 32753-2023 prioriterade fågelarter.docx", "A 32753-2023")</f>
        <v/>
      </c>
    </row>
    <row r="68" ht="15" customHeight="1">
      <c r="A68" t="inlineStr">
        <is>
          <t>A 40650-2023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46265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14.7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40650-2023 artfynd.xlsx", "A 40650-2023")</f>
        <v/>
      </c>
      <c r="X68">
        <f>HYPERLINK("https://klasma.github.io/Logging_1380/kartor/A 40650-2023 karta.png", "A 40650-2023")</f>
        <v/>
      </c>
      <c r="Y68">
        <f>HYPERLINK("https://klasma.github.io/Logging_1380/kartor_geotiff/A 40650-2023 georefererad karta.tif", "A 40650-2023")</f>
        <v/>
      </c>
      <c r="AA68">
        <f>HYPERLINK("https://klasma.github.io/Logging_1380/klagomål/A 40650-2023 FSC-klagomål.docx", "A 40650-2023")</f>
        <v/>
      </c>
      <c r="AB68">
        <f>HYPERLINK("https://klasma.github.io/Logging_1380/klagomålsmail/A 40650-2023 FSC-klagomål mail.docx", "A 40650-2023")</f>
        <v/>
      </c>
      <c r="AC68">
        <f>HYPERLINK("https://klasma.github.io/Logging_1380/tillsyn/A 40650-2023 tillsynsbegäran.docx", "A 40650-2023")</f>
        <v/>
      </c>
      <c r="AD68">
        <f>HYPERLINK("https://klasma.github.io/Logging_1380/tillsynsmail/A 40650-2023 tillsynsbegäran mail.docx", "A 40650-2023")</f>
        <v/>
      </c>
    </row>
    <row r="69" ht="15" customHeight="1">
      <c r="A69" t="inlineStr">
        <is>
          <t>A 15579-2026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46265</v>
      </c>
      <c r="F69" t="inlineStr">
        <is>
          <t>HALLANDS LÄN</t>
        </is>
      </c>
      <c r="G69" t="inlineStr">
        <is>
          <t>HALMSTAD</t>
        </is>
      </c>
      <c r="I69" t="n">
        <v>3.7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Åkerrättika</t>
        </is>
      </c>
      <c r="W69">
        <f>HYPERLINK("https://klasma.github.io/Logging_1380/artfynd/A 15579-2026 artfynd.xlsx", "A 15579-2026")</f>
        <v/>
      </c>
      <c r="X69">
        <f>HYPERLINK("https://klasma.github.io/Logging_1380/kartor/A 15579-2026 karta.png", "A 15579-2026")</f>
        <v/>
      </c>
      <c r="Y69">
        <f>HYPERLINK("https://klasma.github.io/Logging_1380/kartor_geotiff/A 15579-2026 georefererad karta.tif", "A 15579-2026")</f>
        <v/>
      </c>
      <c r="AA69">
        <f>HYPERLINK("https://klasma.github.io/Logging_1380/klagomål/A 15579-2026 FSC-klagomål.docx", "A 15579-2026")</f>
        <v/>
      </c>
      <c r="AB69">
        <f>HYPERLINK("https://klasma.github.io/Logging_1380/klagomålsmail/A 15579-2026 FSC-klagomål mail.docx", "A 15579-2026")</f>
        <v/>
      </c>
      <c r="AC69">
        <f>HYPERLINK("https://klasma.github.io/Logging_1380/tillsyn/A 15579-2026 tillsynsbegäran.docx", "A 15579-2026")</f>
        <v/>
      </c>
      <c r="AD69">
        <f>HYPERLINK("https://klasma.github.io/Logging_1380/tillsynsmail/A 15579-2026 tillsynsbegäran mail.docx", "A 15579-2026")</f>
        <v/>
      </c>
    </row>
    <row r="70" ht="15" customHeight="1">
      <c r="A70" t="inlineStr">
        <is>
          <t>A 36808-2023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46265</v>
      </c>
      <c r="F70" t="inlineStr">
        <is>
          <t>HALLANDS LÄN</t>
        </is>
      </c>
      <c r="G70" t="inlineStr">
        <is>
          <t>HALMSTAD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Ljungögontröst</t>
        </is>
      </c>
      <c r="W70">
        <f>HYPERLINK("https://klasma.github.io/Logging_1380/artfynd/A 36808-2023 artfynd.xlsx", "A 36808-2023")</f>
        <v/>
      </c>
      <c r="X70">
        <f>HYPERLINK("https://klasma.github.io/Logging_1380/kartor/A 36808-2023 karta.png", "A 36808-2023")</f>
        <v/>
      </c>
      <c r="Y70">
        <f>HYPERLINK("https://klasma.github.io/Logging_1380/kartor_geotiff/A 36808-2023 georefererad karta.tif", "A 36808-2023")</f>
        <v/>
      </c>
      <c r="AA70">
        <f>HYPERLINK("https://klasma.github.io/Logging_1380/klagomål/A 36808-2023 FSC-klagomål.docx", "A 36808-2023")</f>
        <v/>
      </c>
      <c r="AB70">
        <f>HYPERLINK("https://klasma.github.io/Logging_1380/klagomålsmail/A 36808-2023 FSC-klagomål mail.docx", "A 36808-2023")</f>
        <v/>
      </c>
      <c r="AC70">
        <f>HYPERLINK("https://klasma.github.io/Logging_1380/tillsyn/A 36808-2023 tillsynsbegäran.docx", "A 36808-2023")</f>
        <v/>
      </c>
      <c r="AD70">
        <f>HYPERLINK("https://klasma.github.io/Logging_1380/tillsynsmail/A 36808-2023 tillsynsbegäran mail.docx", "A 36808-2023")</f>
        <v/>
      </c>
    </row>
    <row r="71" ht="15" customHeight="1">
      <c r="A71" t="inlineStr">
        <is>
          <t>A 1610-2024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46265</v>
      </c>
      <c r="F71" t="inlineStr">
        <is>
          <t>HALLANDS LÄN</t>
        </is>
      </c>
      <c r="G71" t="inlineStr">
        <is>
          <t>HALMSTAD</t>
        </is>
      </c>
      <c r="I71" t="n">
        <v>0.8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Månlåsbräken</t>
        </is>
      </c>
      <c r="W71">
        <f>HYPERLINK("https://klasma.github.io/Logging_1380/artfynd/A 1610-2024 artfynd.xlsx", "A 1610-2024")</f>
        <v/>
      </c>
      <c r="X71">
        <f>HYPERLINK("https://klasma.github.io/Logging_1380/kartor/A 1610-2024 karta.png", "A 1610-2024")</f>
        <v/>
      </c>
      <c r="Y71">
        <f>HYPERLINK("https://klasma.github.io/Logging_1380/kartor_geotiff/A 1610-2024 georefererad karta.tif", "A 1610-2024")</f>
        <v/>
      </c>
      <c r="AA71">
        <f>HYPERLINK("https://klasma.github.io/Logging_1380/klagomål/A 1610-2024 FSC-klagomål.docx", "A 1610-2024")</f>
        <v/>
      </c>
      <c r="AB71">
        <f>HYPERLINK("https://klasma.github.io/Logging_1380/klagomålsmail/A 1610-2024 FSC-klagomål mail.docx", "A 1610-2024")</f>
        <v/>
      </c>
      <c r="AC71">
        <f>HYPERLINK("https://klasma.github.io/Logging_1380/tillsyn/A 1610-2024 tillsynsbegäran.docx", "A 1610-2024")</f>
        <v/>
      </c>
      <c r="AD71">
        <f>HYPERLINK("https://klasma.github.io/Logging_1380/tillsynsmail/A 1610-2024 tillsynsbegäran mail.docx", "A 1610-2024")</f>
        <v/>
      </c>
    </row>
    <row r="72" ht="15" customHeight="1">
      <c r="A72" t="inlineStr">
        <is>
          <t>A 22842-2022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46265</v>
      </c>
      <c r="F72" t="inlineStr">
        <is>
          <t>HALLANDS LÄN</t>
        </is>
      </c>
      <c r="G72" t="inlineStr">
        <is>
          <t>HALMSTAD</t>
        </is>
      </c>
      <c r="I72" t="n">
        <v>6.1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t="n">
        <v>4</v>
      </c>
      <c r="V72" s="2" t="inlineStr">
        <is>
          <t>Spillkråka</t>
        </is>
      </c>
      <c r="W72">
        <f>HYPERLINK("https://klasma.github.io/Logging_1380/artfynd/A 22842-2022 artfynd.xlsx", "A 22842-2022")</f>
        <v/>
      </c>
      <c r="X72">
        <f>HYPERLINK("https://klasma.github.io/Logging_1380/kartor/A 22842-2022 karta.png", "A 22842-2022")</f>
        <v/>
      </c>
      <c r="Y72">
        <f>HYPERLINK("https://klasma.github.io/Logging_1380/kartor_geotiff/A 22842-2022 georefererad karta.tif", "A 22842-2022")</f>
        <v/>
      </c>
      <c r="AA72">
        <f>HYPERLINK("https://klasma.github.io/Logging_1380/klagomål/A 22842-2022 FSC-klagomål.docx", "A 22842-2022")</f>
        <v/>
      </c>
      <c r="AB72">
        <f>HYPERLINK("https://klasma.github.io/Logging_1380/klagomålsmail/A 22842-2022 FSC-klagomål mail.docx", "A 22842-2022")</f>
        <v/>
      </c>
      <c r="AC72">
        <f>HYPERLINK("https://klasma.github.io/Logging_1380/tillsyn/A 22842-2022 tillsynsbegäran.docx", "A 22842-2022")</f>
        <v/>
      </c>
      <c r="AD72">
        <f>HYPERLINK("https://klasma.github.io/Logging_1380/tillsynsmail/A 22842-2022 tillsynsbegäran mail.docx", "A 22842-2022")</f>
        <v/>
      </c>
      <c r="AE72">
        <f>HYPERLINK("https://klasma.github.io/Logging_1380/fåglar/A 22842-2022 prioriterade fågelarter.docx", "A 22842-2022")</f>
        <v/>
      </c>
    </row>
    <row r="73" ht="15" customHeight="1">
      <c r="A73" t="inlineStr">
        <is>
          <t>A 5530-2025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45692</v>
      </c>
      <c r="E73" s="1" t="n">
        <v>46265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2.5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1</v>
      </c>
      <c r="V73" s="2" t="inlineStr">
        <is>
          <t>Igelkott</t>
        </is>
      </c>
      <c r="W73">
        <f>HYPERLINK("https://klasma.github.io/Logging_1380/artfynd/A 5530-2025 artfynd.xlsx", "A 5530-2025")</f>
        <v/>
      </c>
      <c r="X73">
        <f>HYPERLINK("https://klasma.github.io/Logging_1380/kartor/A 5530-2025 karta.png", "A 5530-2025")</f>
        <v/>
      </c>
      <c r="Y73">
        <f>HYPERLINK("https://klasma.github.io/Logging_1380/kartor_geotiff/A 5530-2025 georefererad karta.tif", "A 5530-2025")</f>
        <v/>
      </c>
      <c r="AA73">
        <f>HYPERLINK("https://klasma.github.io/Logging_1380/klagomål/A 5530-2025 FSC-klagomål.docx", "A 5530-2025")</f>
        <v/>
      </c>
      <c r="AB73">
        <f>HYPERLINK("https://klasma.github.io/Logging_1380/klagomålsmail/A 5530-2025 FSC-klagomål mail.docx", "A 5530-2025")</f>
        <v/>
      </c>
      <c r="AC73">
        <f>HYPERLINK("https://klasma.github.io/Logging_1380/tillsyn/A 5530-2025 tillsynsbegäran.docx", "A 5530-2025")</f>
        <v/>
      </c>
      <c r="AD73">
        <f>HYPERLINK("https://klasma.github.io/Logging_1380/tillsynsmail/A 5530-2025 tillsynsbegäran mail.docx", "A 5530-2025")</f>
        <v/>
      </c>
    </row>
    <row r="74" ht="15" customHeight="1">
      <c r="A74" t="inlineStr">
        <is>
          <t>A 21483-2024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46265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21483-2024 artfynd.xlsx", "A 21483-2024")</f>
        <v/>
      </c>
      <c r="X74">
        <f>HYPERLINK("https://klasma.github.io/Logging_1380/kartor/A 21483-2024 karta.png", "A 21483-2024")</f>
        <v/>
      </c>
      <c r="Y74">
        <f>HYPERLINK("https://klasma.github.io/Logging_1380/kartor_geotiff/A 21483-2024 georefererad karta.tif", "A 21483-2024")</f>
        <v/>
      </c>
      <c r="AA74">
        <f>HYPERLINK("https://klasma.github.io/Logging_1380/klagomål/A 21483-2024 FSC-klagomål.docx", "A 21483-2024")</f>
        <v/>
      </c>
      <c r="AB74">
        <f>HYPERLINK("https://klasma.github.io/Logging_1380/klagomålsmail/A 21483-2024 FSC-klagomål mail.docx", "A 21483-2024")</f>
        <v/>
      </c>
      <c r="AC74">
        <f>HYPERLINK("https://klasma.github.io/Logging_1380/tillsyn/A 21483-2024 tillsynsbegäran.docx", "A 21483-2024")</f>
        <v/>
      </c>
      <c r="AD74">
        <f>HYPERLINK("https://klasma.github.io/Logging_1380/tillsynsmail/A 21483-2024 tillsynsbegäran mail.docx", "A 21483-2024")</f>
        <v/>
      </c>
    </row>
    <row r="75" ht="15" customHeight="1">
      <c r="A75" t="inlineStr">
        <is>
          <t>A 21626-2026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46265</v>
      </c>
      <c r="F75" t="inlineStr">
        <is>
          <t>HALLANDS LÄN</t>
        </is>
      </c>
      <c r="G75" t="inlineStr">
        <is>
          <t>HALMSTAD</t>
        </is>
      </c>
      <c r="I75" t="n">
        <v>9.6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Hårginst</t>
        </is>
      </c>
      <c r="W75">
        <f>HYPERLINK("https://klasma.github.io/Logging_1380/artfynd/A 21626-2026 artfynd.xlsx", "A 21626-2026")</f>
        <v/>
      </c>
      <c r="X75">
        <f>HYPERLINK("https://klasma.github.io/Logging_1380/kartor/A 21626-2026 karta.png", "A 21626-2026")</f>
        <v/>
      </c>
      <c r="Y75">
        <f>HYPERLINK("https://klasma.github.io/Logging_1380/kartor_geotiff/A 21626-2026 georefererad karta.tif", "A 21626-2026")</f>
        <v/>
      </c>
      <c r="AA75">
        <f>HYPERLINK("https://klasma.github.io/Logging_1380/klagomål/A 21626-2026 FSC-klagomål.docx", "A 21626-2026")</f>
        <v/>
      </c>
      <c r="AB75">
        <f>HYPERLINK("https://klasma.github.io/Logging_1380/klagomålsmail/A 21626-2026 FSC-klagomål mail.docx", "A 21626-2026")</f>
        <v/>
      </c>
      <c r="AC75">
        <f>HYPERLINK("https://klasma.github.io/Logging_1380/tillsyn/A 21626-2026 tillsynsbegäran.docx", "A 21626-2026")</f>
        <v/>
      </c>
      <c r="AD75">
        <f>HYPERLINK("https://klasma.github.io/Logging_1380/tillsynsmail/A 21626-2026 tillsynsbegäran mail.docx", "A 21626-2026")</f>
        <v/>
      </c>
    </row>
    <row r="76" ht="15" customHeight="1">
      <c r="A76" t="inlineStr">
        <is>
          <t>A 23305-2026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46265</v>
      </c>
      <c r="F76" t="inlineStr">
        <is>
          <t>HALLANDS LÄN</t>
        </is>
      </c>
      <c r="G76" t="inlineStr">
        <is>
          <t>HALMSTAD</t>
        </is>
      </c>
      <c r="I76" t="n">
        <v>1.6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23305-2026 artfynd.xlsx", "A 23305-2026")</f>
        <v/>
      </c>
      <c r="X76">
        <f>HYPERLINK("https://klasma.github.io/Logging_1380/kartor/A 23305-2026 karta.png", "A 23305-2026")</f>
        <v/>
      </c>
      <c r="Y76">
        <f>HYPERLINK("https://klasma.github.io/Logging_1380/kartor_geotiff/A 23305-2026 georefererad karta.tif", "A 23305-2026")</f>
        <v/>
      </c>
      <c r="AA76">
        <f>HYPERLINK("https://klasma.github.io/Logging_1380/klagomål/A 23305-2026 FSC-klagomål.docx", "A 23305-2026")</f>
        <v/>
      </c>
      <c r="AB76">
        <f>HYPERLINK("https://klasma.github.io/Logging_1380/klagomålsmail/A 23305-2026 FSC-klagomål mail.docx", "A 23305-2026")</f>
        <v/>
      </c>
      <c r="AC76">
        <f>HYPERLINK("https://klasma.github.io/Logging_1380/tillsyn/A 23305-2026 tillsynsbegäran.docx", "A 23305-2026")</f>
        <v/>
      </c>
      <c r="AD76">
        <f>HYPERLINK("https://klasma.github.io/Logging_1380/tillsynsmail/A 23305-2026 tillsynsbegäran mail.docx", "A 23305-2026")</f>
        <v/>
      </c>
    </row>
    <row r="77" ht="15" customHeight="1">
      <c r="A77" t="inlineStr">
        <is>
          <t>A 9045-2026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46069</v>
      </c>
      <c r="E77" s="1" t="n">
        <v>46265</v>
      </c>
      <c r="F77" t="inlineStr">
        <is>
          <t>HALLANDS LÄN</t>
        </is>
      </c>
      <c r="G77" t="inlineStr">
        <is>
          <t>HALMSTAD</t>
        </is>
      </c>
      <c r="I77" t="n">
        <v>3.8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Grönvit nattviol</t>
        </is>
      </c>
      <c r="W77">
        <f>HYPERLINK("https://klasma.github.io/Logging_1380/artfynd/A 9045-2026 artfynd.xlsx", "A 9045-2026")</f>
        <v/>
      </c>
      <c r="X77">
        <f>HYPERLINK("https://klasma.github.io/Logging_1380/kartor/A 9045-2026 karta.png", "A 9045-2026")</f>
        <v/>
      </c>
      <c r="Y77">
        <f>HYPERLINK("https://klasma.github.io/Logging_1380/kartor_geotiff/A 9045-2026 georefererad karta.tif", "A 9045-2026")</f>
        <v/>
      </c>
      <c r="AA77">
        <f>HYPERLINK("https://klasma.github.io/Logging_1380/klagomål/A 9045-2026 FSC-klagomål.docx", "A 9045-2026")</f>
        <v/>
      </c>
      <c r="AB77">
        <f>HYPERLINK("https://klasma.github.io/Logging_1380/klagomålsmail/A 9045-2026 FSC-klagomål mail.docx", "A 9045-2026")</f>
        <v/>
      </c>
      <c r="AC77">
        <f>HYPERLINK("https://klasma.github.io/Logging_1380/tillsyn/A 9045-2026 tillsynsbegäran.docx", "A 9045-2026")</f>
        <v/>
      </c>
      <c r="AD77">
        <f>HYPERLINK("https://klasma.github.io/Logging_1380/tillsynsmail/A 9045-2026 tillsynsbegäran mail.docx", "A 9045-2026")</f>
        <v/>
      </c>
    </row>
    <row r="78" ht="15" customHeight="1">
      <c r="A78" t="inlineStr">
        <is>
          <t>A 25382-2026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46265</v>
      </c>
      <c r="F78" t="inlineStr">
        <is>
          <t>HALLANDS LÄN</t>
        </is>
      </c>
      <c r="G78" t="inlineStr">
        <is>
          <t>HALMSTAD</t>
        </is>
      </c>
      <c r="I78" t="n">
        <v>10.9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Svinrot</t>
        </is>
      </c>
      <c r="W78">
        <f>HYPERLINK("https://klasma.github.io/Logging_1380/artfynd/A 25382-2026 artfynd.xlsx", "A 25382-2026")</f>
        <v/>
      </c>
      <c r="X78">
        <f>HYPERLINK("https://klasma.github.io/Logging_1380/kartor/A 25382-2026 karta.png", "A 25382-2026")</f>
        <v/>
      </c>
      <c r="Y78">
        <f>HYPERLINK("https://klasma.github.io/Logging_1380/kartor_geotiff/A 25382-2026 georefererad karta.tif", "A 25382-2026")</f>
        <v/>
      </c>
      <c r="AA78">
        <f>HYPERLINK("https://klasma.github.io/Logging_1380/klagomål/A 25382-2026 FSC-klagomål.docx", "A 25382-2026")</f>
        <v/>
      </c>
      <c r="AB78">
        <f>HYPERLINK("https://klasma.github.io/Logging_1380/klagomålsmail/A 25382-2026 FSC-klagomål mail.docx", "A 25382-2026")</f>
        <v/>
      </c>
      <c r="AC78">
        <f>HYPERLINK("https://klasma.github.io/Logging_1380/tillsyn/A 25382-2026 tillsynsbegäran.docx", "A 25382-2026")</f>
        <v/>
      </c>
      <c r="AD78">
        <f>HYPERLINK("https://klasma.github.io/Logging_1380/tillsynsmail/A 25382-2026 tillsynsbegäran mail.docx", "A 25382-2026")</f>
        <v/>
      </c>
    </row>
    <row r="79" ht="15" customHeight="1">
      <c r="A79" t="inlineStr">
        <is>
          <t>A 46505-2025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45925</v>
      </c>
      <c r="E79" s="1" t="n">
        <v>46265</v>
      </c>
      <c r="F79" t="inlineStr">
        <is>
          <t>HALLANDS LÄN</t>
        </is>
      </c>
      <c r="G79" t="inlineStr">
        <is>
          <t>HALMSTAD</t>
        </is>
      </c>
      <c r="I79" t="n">
        <v>9.1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46505-2025 artfynd.xlsx", "A 46505-2025")</f>
        <v/>
      </c>
      <c r="X79">
        <f>HYPERLINK("https://klasma.github.io/Logging_1380/kartor/A 46505-2025 karta.png", "A 46505-2025")</f>
        <v/>
      </c>
      <c r="Y79">
        <f>HYPERLINK("https://klasma.github.io/Logging_1380/kartor_geotiff/A 46505-2025 georefererad karta.tif", "A 46505-2025")</f>
        <v/>
      </c>
      <c r="AA79">
        <f>HYPERLINK("https://klasma.github.io/Logging_1380/klagomål/A 46505-2025 FSC-klagomål.docx", "A 46505-2025")</f>
        <v/>
      </c>
      <c r="AB79">
        <f>HYPERLINK("https://klasma.github.io/Logging_1380/klagomålsmail/A 46505-2025 FSC-klagomål mail.docx", "A 46505-2025")</f>
        <v/>
      </c>
      <c r="AC79">
        <f>HYPERLINK("https://klasma.github.io/Logging_1380/tillsyn/A 46505-2025 tillsynsbegäran.docx", "A 46505-2025")</f>
        <v/>
      </c>
      <c r="AD79">
        <f>HYPERLINK("https://klasma.github.io/Logging_1380/tillsynsmail/A 46505-2025 tillsynsbegäran mail.docx", "A 46505-2025")</f>
        <v/>
      </c>
    </row>
    <row r="80" ht="15" customHeight="1">
      <c r="A80" t="inlineStr">
        <is>
          <t>A 25887-2026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46265</v>
      </c>
      <c r="F80" t="inlineStr">
        <is>
          <t>HALLANDS LÄN</t>
        </is>
      </c>
      <c r="G80" t="inlineStr">
        <is>
          <t>HALMSTAD</t>
        </is>
      </c>
      <c r="I80" t="n">
        <v>14.9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snok</t>
        </is>
      </c>
      <c r="W80">
        <f>HYPERLINK("https://klasma.github.io/Logging_1380/artfynd/A 25887-2026 artfynd.xlsx", "A 25887-2026")</f>
        <v/>
      </c>
      <c r="X80">
        <f>HYPERLINK("https://klasma.github.io/Logging_1380/kartor/A 25887-2026 karta.png", "A 25887-2026")</f>
        <v/>
      </c>
      <c r="Y80">
        <f>HYPERLINK("https://klasma.github.io/Logging_1380/kartor_geotiff/A 25887-2026 georefererad karta.tif", "A 25887-2026")</f>
        <v/>
      </c>
      <c r="AA80">
        <f>HYPERLINK("https://klasma.github.io/Logging_1380/klagomål/A 25887-2026 FSC-klagomål.docx", "A 25887-2026")</f>
        <v/>
      </c>
      <c r="AB80">
        <f>HYPERLINK("https://klasma.github.io/Logging_1380/klagomålsmail/A 25887-2026 FSC-klagomål mail.docx", "A 25887-2026")</f>
        <v/>
      </c>
      <c r="AC80">
        <f>HYPERLINK("https://klasma.github.io/Logging_1380/tillsyn/A 25887-2026 tillsynsbegäran.docx", "A 25887-2026")</f>
        <v/>
      </c>
      <c r="AD80">
        <f>HYPERLINK("https://klasma.github.io/Logging_1380/tillsynsmail/A 25887-2026 tillsynsbegäran mail.docx", "A 25887-2026")</f>
        <v/>
      </c>
    </row>
    <row r="81" ht="15" customHeight="1">
      <c r="A81" t="inlineStr">
        <is>
          <t>A 26330-2026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46265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HYPERLINK("https://klasma.github.io/Logging_1380/artfynd/A 26330-2026 artfynd.xlsx", "A 26330-2026")</f>
        <v/>
      </c>
      <c r="X81">
        <f>HYPERLINK("https://klasma.github.io/Logging_1380/kartor/A 26330-2026 karta.png", "A 26330-2026")</f>
        <v/>
      </c>
      <c r="Y81">
        <f>HYPERLINK("https://klasma.github.io/Logging_1380/kartor_geotiff/A 26330-2026 georefererad karta.tif", "A 26330-2026")</f>
        <v/>
      </c>
      <c r="AA81">
        <f>HYPERLINK("https://klasma.github.io/Logging_1380/klagomål/A 26330-2026 FSC-klagomål.docx", "A 26330-2026")</f>
        <v/>
      </c>
      <c r="AB81">
        <f>HYPERLINK("https://klasma.github.io/Logging_1380/klagomålsmail/A 26330-2026 FSC-klagomål mail.docx", "A 26330-2026")</f>
        <v/>
      </c>
      <c r="AC81">
        <f>HYPERLINK("https://klasma.github.io/Logging_1380/tillsyn/A 26330-2026 tillsynsbegäran.docx", "A 26330-2026")</f>
        <v/>
      </c>
      <c r="AD81">
        <f>HYPERLINK("https://klasma.github.io/Logging_1380/tillsynsmail/A 26330-2026 tillsynsbegäran mail.docx", "A 26330-2026")</f>
        <v/>
      </c>
    </row>
    <row r="82" ht="15" customHeight="1">
      <c r="A82" t="inlineStr">
        <is>
          <t>A 6775-2026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46265</v>
      </c>
      <c r="F82" t="inlineStr">
        <is>
          <t>HALLANDS LÄN</t>
        </is>
      </c>
      <c r="G82" t="inlineStr">
        <is>
          <t>HALMSTAD</t>
        </is>
      </c>
      <c r="I82" t="n">
        <v>8.199999999999999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Barbastell</t>
        </is>
      </c>
      <c r="W82">
        <f>HYPERLINK("https://klasma.github.io/Logging_1380/artfynd/A 6775-2026 artfynd.xlsx", "A 6775-2026")</f>
        <v/>
      </c>
      <c r="X82">
        <f>HYPERLINK("https://klasma.github.io/Logging_1380/kartor/A 6775-2026 karta.png", "A 6775-2026")</f>
        <v/>
      </c>
      <c r="Y82">
        <f>HYPERLINK("https://klasma.github.io/Logging_1380/kartor_geotiff/A 6775-2026 georefererad karta.tif", "A 6775-2026")</f>
        <v/>
      </c>
      <c r="AA82">
        <f>HYPERLINK("https://klasma.github.io/Logging_1380/klagomål/A 6775-2026 FSC-klagomål.docx", "A 6775-2026")</f>
        <v/>
      </c>
      <c r="AB82">
        <f>HYPERLINK("https://klasma.github.io/Logging_1380/klagomålsmail/A 6775-2026 FSC-klagomål mail.docx", "A 6775-2026")</f>
        <v/>
      </c>
      <c r="AC82">
        <f>HYPERLINK("https://klasma.github.io/Logging_1380/tillsyn/A 6775-2026 tillsynsbegäran.docx", "A 6775-2026")</f>
        <v/>
      </c>
      <c r="AD82">
        <f>HYPERLINK("https://klasma.github.io/Logging_1380/tillsynsmail/A 6775-2026 tillsynsbegäran mail.docx", "A 6775-2026")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46265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46265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46265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46265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46265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46265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46265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46265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46265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46265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46265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46265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46265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46265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46265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46265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46265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46265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46265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46265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46265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46265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46265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46265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46265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46265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46265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46265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46265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46265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46265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46265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46265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46265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46265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46265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46265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46265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46265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46265</v>
      </c>
      <c r="F122" t="inlineStr">
        <is>
          <t>HALLANDS LÄN</t>
        </is>
      </c>
      <c r="G122" t="inlineStr">
        <is>
          <t>HALMSTAD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46265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46265</v>
      </c>
      <c r="F124" t="inlineStr">
        <is>
          <t>HALLANDS LÄN</t>
        </is>
      </c>
      <c r="G124" t="inlineStr">
        <is>
          <t>HALMSTAD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46265</v>
      </c>
      <c r="F125" t="inlineStr">
        <is>
          <t>HALLANDS LÄN</t>
        </is>
      </c>
      <c r="G125" t="inlineStr">
        <is>
          <t>HALMSTAD</t>
        </is>
      </c>
      <c r="H125" t="inlineStr">
        <is>
          <t>Bergvik skog väst AB</t>
        </is>
      </c>
      <c r="I125" t="n">
        <v>19.5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46265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46265</v>
      </c>
      <c r="F127" t="inlineStr">
        <is>
          <t>HALLANDS LÄN</t>
        </is>
      </c>
      <c r="G127" t="inlineStr">
        <is>
          <t>HALMSTAD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45555</v>
      </c>
      <c r="E128" s="1" t="n">
        <v>46265</v>
      </c>
      <c r="F128" t="inlineStr">
        <is>
          <t>HALLANDS LÄN</t>
        </is>
      </c>
      <c r="G128" t="inlineStr">
        <is>
          <t>HALMSTAD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46265</v>
      </c>
      <c r="F129" t="inlineStr">
        <is>
          <t>HALLANDS LÄN</t>
        </is>
      </c>
      <c r="G129" t="inlineStr">
        <is>
          <t>HALMSTAD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46265</v>
      </c>
      <c r="F130" t="inlineStr">
        <is>
          <t>HALLANDS LÄN</t>
        </is>
      </c>
      <c r="G130" t="inlineStr">
        <is>
          <t>HALMSTAD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44952</v>
      </c>
      <c r="E131" s="1" t="n">
        <v>46265</v>
      </c>
      <c r="F131" t="inlineStr">
        <is>
          <t>HALLANDS LÄN</t>
        </is>
      </c>
      <c r="G131" t="inlineStr">
        <is>
          <t>HALMSTAD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46265</v>
      </c>
      <c r="F132" t="inlineStr">
        <is>
          <t>HALLANDS LÄN</t>
        </is>
      </c>
      <c r="G132" t="inlineStr">
        <is>
          <t>HALMSTAD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46265</v>
      </c>
      <c r="F133" t="inlineStr">
        <is>
          <t>HALLANDS LÄN</t>
        </is>
      </c>
      <c r="G133" t="inlineStr">
        <is>
          <t>HALMSTAD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46265</v>
      </c>
      <c r="F134" t="inlineStr">
        <is>
          <t>HALLANDS LÄN</t>
        </is>
      </c>
      <c r="G134" t="inlineStr">
        <is>
          <t>HALMSTAD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61853-2023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45265</v>
      </c>
      <c r="E135" s="1" t="n">
        <v>46265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46265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26097-2025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46265</v>
      </c>
      <c r="F137" t="inlineStr">
        <is>
          <t>HALLANDS LÄN</t>
        </is>
      </c>
      <c r="G137" t="inlineStr">
        <is>
          <t>HALMSTAD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46265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46265</v>
      </c>
      <c r="F139" t="inlineStr">
        <is>
          <t>HALLANDS LÄN</t>
        </is>
      </c>
      <c r="G139" t="inlineStr">
        <is>
          <t>HALMSTAD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46265</v>
      </c>
      <c r="F140" t="inlineStr">
        <is>
          <t>HALLANDS LÄN</t>
        </is>
      </c>
      <c r="G140" t="inlineStr">
        <is>
          <t>HALMSTAD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46265</v>
      </c>
      <c r="F141" t="inlineStr">
        <is>
          <t>HALLANDS LÄN</t>
        </is>
      </c>
      <c r="G141" t="inlineStr">
        <is>
          <t>HALMSTAD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46265</v>
      </c>
      <c r="F142" t="inlineStr">
        <is>
          <t>HALLANDS LÄN</t>
        </is>
      </c>
      <c r="G142" t="inlineStr">
        <is>
          <t>HALMSTAD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46265</v>
      </c>
      <c r="F143" t="inlineStr">
        <is>
          <t>HALLANDS LÄN</t>
        </is>
      </c>
      <c r="G143" t="inlineStr">
        <is>
          <t>HALMSTAD</t>
        </is>
      </c>
      <c r="H143" t="inlineStr">
        <is>
          <t>Kyrkan</t>
        </is>
      </c>
      <c r="I143" t="n">
        <v>10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46265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46265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45537</v>
      </c>
      <c r="E146" s="1" t="n">
        <v>46265</v>
      </c>
      <c r="F146" t="inlineStr">
        <is>
          <t>HALLANDS LÄN</t>
        </is>
      </c>
      <c r="G146" t="inlineStr">
        <is>
          <t>HALMSTAD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46265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46265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46265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45627</v>
      </c>
      <c r="E150" s="1" t="n">
        <v>46265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46265</v>
      </c>
      <c r="F151" t="inlineStr">
        <is>
          <t>HALLANDS LÄN</t>
        </is>
      </c>
      <c r="G151" t="inlineStr">
        <is>
          <t>HALMSTAD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44677</v>
      </c>
      <c r="E152" s="1" t="n">
        <v>46265</v>
      </c>
      <c r="F152" t="inlineStr">
        <is>
          <t>HALLANDS LÄN</t>
        </is>
      </c>
      <c r="G152" t="inlineStr">
        <is>
          <t>HALMSTAD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46265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46265</v>
      </c>
      <c r="F154" t="inlineStr">
        <is>
          <t>HALLANDS LÄN</t>
        </is>
      </c>
      <c r="G154" t="inlineStr">
        <is>
          <t>HALMSTAD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45716</v>
      </c>
      <c r="E155" s="1" t="n">
        <v>46265</v>
      </c>
      <c r="F155" t="inlineStr">
        <is>
          <t>HALLANDS LÄN</t>
        </is>
      </c>
      <c r="G155" t="inlineStr">
        <is>
          <t>HALMSTAD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45476</v>
      </c>
      <c r="E156" s="1" t="n">
        <v>46265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45476</v>
      </c>
      <c r="E157" s="1" t="n">
        <v>46265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46265</v>
      </c>
      <c r="F158" t="inlineStr">
        <is>
          <t>HALLANDS LÄN</t>
        </is>
      </c>
      <c r="G158" t="inlineStr">
        <is>
          <t>HALMSTAD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46265</v>
      </c>
      <c r="F159" t="inlineStr">
        <is>
          <t>HALLANDS LÄN</t>
        </is>
      </c>
      <c r="G159" t="inlineStr">
        <is>
          <t>HALMSTAD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45488</v>
      </c>
      <c r="E160" s="1" t="n">
        <v>46265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70720-2021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46265</v>
      </c>
      <c r="F161" t="inlineStr">
        <is>
          <t>HALLANDS LÄN</t>
        </is>
      </c>
      <c r="G161" t="inlineStr">
        <is>
          <t>HALMSTAD</t>
        </is>
      </c>
      <c r="H161" t="inlineStr">
        <is>
          <t>Kyrkan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45916</v>
      </c>
      <c r="E162" s="1" t="n">
        <v>46265</v>
      </c>
      <c r="F162" t="inlineStr">
        <is>
          <t>HALLANDS LÄN</t>
        </is>
      </c>
      <c r="G162" t="inlineStr">
        <is>
          <t>HALMSTAD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44885</v>
      </c>
      <c r="E163" s="1" t="n">
        <v>46265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46265</v>
      </c>
      <c r="F164" t="inlineStr">
        <is>
          <t>HALLANDS LÄN</t>
        </is>
      </c>
      <c r="G164" t="inlineStr">
        <is>
          <t>HALMSTAD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46265</v>
      </c>
      <c r="F165" t="inlineStr">
        <is>
          <t>HALLANDS LÄN</t>
        </is>
      </c>
      <c r="G165" t="inlineStr">
        <is>
          <t>HALMSTAD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46265</v>
      </c>
      <c r="F166" t="inlineStr">
        <is>
          <t>HALLANDS LÄN</t>
        </is>
      </c>
      <c r="G166" t="inlineStr">
        <is>
          <t>HALMSTAD</t>
        </is>
      </c>
      <c r="H166" t="inlineStr">
        <is>
          <t>Övriga statliga verk och myndigheter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46265</v>
      </c>
      <c r="F167" t="inlineStr">
        <is>
          <t>HALLANDS LÄN</t>
        </is>
      </c>
      <c r="G167" t="inlineStr">
        <is>
          <t>HALMSTAD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46265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46265</v>
      </c>
      <c r="F169" t="inlineStr">
        <is>
          <t>HALLANDS LÄN</t>
        </is>
      </c>
      <c r="G169" t="inlineStr">
        <is>
          <t>HALMSTAD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46265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46265</v>
      </c>
      <c r="F171" t="inlineStr">
        <is>
          <t>HALLANDS LÄN</t>
        </is>
      </c>
      <c r="G171" t="inlineStr">
        <is>
          <t>HALMSTAD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46265</v>
      </c>
      <c r="F172" t="inlineStr">
        <is>
          <t>HALLANDS LÄN</t>
        </is>
      </c>
      <c r="G172" t="inlineStr">
        <is>
          <t>HALMSTAD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46265</v>
      </c>
      <c r="F173" t="inlineStr">
        <is>
          <t>HALLANDS LÄN</t>
        </is>
      </c>
      <c r="G173" t="inlineStr">
        <is>
          <t>HALMSTAD</t>
        </is>
      </c>
      <c r="I173" t="n">
        <v>11.8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46265</v>
      </c>
      <c r="F174" t="inlineStr">
        <is>
          <t>HALLANDS LÄN</t>
        </is>
      </c>
      <c r="G174" t="inlineStr">
        <is>
          <t>HALMSTAD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46265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44571</v>
      </c>
      <c r="E176" s="1" t="n">
        <v>46265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45359</v>
      </c>
      <c r="E177" s="1" t="n">
        <v>46265</v>
      </c>
      <c r="F177" t="inlineStr">
        <is>
          <t>HALLANDS LÄN</t>
        </is>
      </c>
      <c r="G177" t="inlineStr">
        <is>
          <t>HALMSTAD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46265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46265</v>
      </c>
      <c r="F179" t="inlineStr">
        <is>
          <t>HALLANDS LÄN</t>
        </is>
      </c>
      <c r="G179" t="inlineStr">
        <is>
          <t>HALMSTAD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46265</v>
      </c>
      <c r="F180" t="inlineStr">
        <is>
          <t>HALLANDS LÄN</t>
        </is>
      </c>
      <c r="G180" t="inlineStr">
        <is>
          <t>HALMSTAD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46265</v>
      </c>
      <c r="F181" t="inlineStr">
        <is>
          <t>HALLANDS LÄN</t>
        </is>
      </c>
      <c r="G181" t="inlineStr">
        <is>
          <t>HALMSTAD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46265</v>
      </c>
      <c r="F182" t="inlineStr">
        <is>
          <t>HALLANDS LÄN</t>
        </is>
      </c>
      <c r="G182" t="inlineStr">
        <is>
          <t>HALMSTAD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46265</v>
      </c>
      <c r="F183" t="inlineStr">
        <is>
          <t>HALLANDS LÄN</t>
        </is>
      </c>
      <c r="G183" t="inlineStr">
        <is>
          <t>HALMSTAD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46265</v>
      </c>
      <c r="F184" t="inlineStr">
        <is>
          <t>HALLANDS LÄN</t>
        </is>
      </c>
      <c r="G184" t="inlineStr">
        <is>
          <t>HALMSTAD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46265</v>
      </c>
      <c r="F185" t="inlineStr">
        <is>
          <t>HALLANDS LÄN</t>
        </is>
      </c>
      <c r="G185" t="inlineStr">
        <is>
          <t>HALMSTAD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46265</v>
      </c>
      <c r="F186" t="inlineStr">
        <is>
          <t>HALLANDS LÄN</t>
        </is>
      </c>
      <c r="G186" t="inlineStr">
        <is>
          <t>HALMSTAD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46265</v>
      </c>
      <c r="F187" t="inlineStr">
        <is>
          <t>HALLANDS LÄN</t>
        </is>
      </c>
      <c r="G187" t="inlineStr">
        <is>
          <t>HALMSTAD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46265</v>
      </c>
      <c r="F188" t="inlineStr">
        <is>
          <t>HALLANDS LÄN</t>
        </is>
      </c>
      <c r="G188" t="inlineStr">
        <is>
          <t>HALMSTAD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22070-2022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44711</v>
      </c>
      <c r="E189" s="1" t="n">
        <v>46265</v>
      </c>
      <c r="F189" t="inlineStr">
        <is>
          <t>HALLANDS LÄN</t>
        </is>
      </c>
      <c r="G189" t="inlineStr">
        <is>
          <t>HALMSTAD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45677</v>
      </c>
      <c r="E190" s="1" t="n">
        <v>46265</v>
      </c>
      <c r="F190" t="inlineStr">
        <is>
          <t>HALLANDS LÄN</t>
        </is>
      </c>
      <c r="G190" t="inlineStr">
        <is>
          <t>HALMSTAD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46265</v>
      </c>
      <c r="F191" t="inlineStr">
        <is>
          <t>HALLANDS LÄN</t>
        </is>
      </c>
      <c r="G191" t="inlineStr">
        <is>
          <t>HALMSTAD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46265</v>
      </c>
      <c r="F192" t="inlineStr">
        <is>
          <t>HALLANDS LÄN</t>
        </is>
      </c>
      <c r="G192" t="inlineStr">
        <is>
          <t>HALMSTAD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44687</v>
      </c>
      <c r="E193" s="1" t="n">
        <v>46265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51192-2021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46265</v>
      </c>
      <c r="F194" t="inlineStr">
        <is>
          <t>HALLANDS LÄN</t>
        </is>
      </c>
      <c r="G194" t="inlineStr">
        <is>
          <t>HALMSTAD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45215</v>
      </c>
      <c r="E195" s="1" t="n">
        <v>46265</v>
      </c>
      <c r="F195" t="inlineStr">
        <is>
          <t>HALLANDS LÄN</t>
        </is>
      </c>
      <c r="G195" t="inlineStr">
        <is>
          <t>HALMSTAD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46265</v>
      </c>
      <c r="F196" t="inlineStr">
        <is>
          <t>HALLANDS LÄN</t>
        </is>
      </c>
      <c r="G196" t="inlineStr">
        <is>
          <t>HALMSTAD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46265</v>
      </c>
      <c r="F197" t="inlineStr">
        <is>
          <t>HALLANDS LÄN</t>
        </is>
      </c>
      <c r="G197" t="inlineStr">
        <is>
          <t>HALMSTAD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46265</v>
      </c>
      <c r="F198" t="inlineStr">
        <is>
          <t>HALLANDS LÄN</t>
        </is>
      </c>
      <c r="G198" t="inlineStr">
        <is>
          <t>HALMSTAD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46265</v>
      </c>
      <c r="F199" t="inlineStr">
        <is>
          <t>HALLANDS LÄN</t>
        </is>
      </c>
      <c r="G199" t="inlineStr">
        <is>
          <t>HALMSTAD</t>
        </is>
      </c>
      <c r="H199" t="inlineStr">
        <is>
          <t>Bergvik skog väst AB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46265</v>
      </c>
      <c r="F200" t="inlineStr">
        <is>
          <t>HALLANDS LÄN</t>
        </is>
      </c>
      <c r="G200" t="inlineStr">
        <is>
          <t>HALMSTAD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46265</v>
      </c>
      <c r="F201" t="inlineStr">
        <is>
          <t>HALLANDS LÄN</t>
        </is>
      </c>
      <c r="G201" t="inlineStr">
        <is>
          <t>HALMSTAD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46265</v>
      </c>
      <c r="F202" t="inlineStr">
        <is>
          <t>HALLANDS LÄN</t>
        </is>
      </c>
      <c r="G202" t="inlineStr">
        <is>
          <t>HALMSTAD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45589</v>
      </c>
      <c r="E203" s="1" t="n">
        <v>46265</v>
      </c>
      <c r="F203" t="inlineStr">
        <is>
          <t>HALLANDS LÄN</t>
        </is>
      </c>
      <c r="G203" t="inlineStr">
        <is>
          <t>HALMSTAD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45627</v>
      </c>
      <c r="E204" s="1" t="n">
        <v>46265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46265</v>
      </c>
      <c r="F205" t="inlineStr">
        <is>
          <t>HALLANDS LÄN</t>
        </is>
      </c>
      <c r="G205" t="inlineStr">
        <is>
          <t>HALMSTAD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46265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46265</v>
      </c>
      <c r="F207" t="inlineStr">
        <is>
          <t>HALLANDS LÄN</t>
        </is>
      </c>
      <c r="G207" t="inlineStr">
        <is>
          <t>HALMSTAD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46265</v>
      </c>
      <c r="F208" t="inlineStr">
        <is>
          <t>HALLANDS LÄN</t>
        </is>
      </c>
      <c r="G208" t="inlineStr">
        <is>
          <t>HALMSTAD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46265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46265</v>
      </c>
      <c r="F210" t="inlineStr">
        <is>
          <t>HALLANDS LÄN</t>
        </is>
      </c>
      <c r="G210" t="inlineStr">
        <is>
          <t>HALMSTAD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44607</v>
      </c>
      <c r="E211" s="1" t="n">
        <v>46265</v>
      </c>
      <c r="F211" t="inlineStr">
        <is>
          <t>HALLANDS LÄN</t>
        </is>
      </c>
      <c r="G211" t="inlineStr">
        <is>
          <t>HALMSTAD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13594-2023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46265</v>
      </c>
      <c r="F212" t="inlineStr">
        <is>
          <t>HALLANDS LÄN</t>
        </is>
      </c>
      <c r="G212" t="inlineStr">
        <is>
          <t>HALMSTAD</t>
        </is>
      </c>
      <c r="H212" t="inlineStr">
        <is>
          <t>Bergvik skog väst AB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46265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27365-2022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46265</v>
      </c>
      <c r="F214" t="inlineStr">
        <is>
          <t>HALLANDS LÄN</t>
        </is>
      </c>
      <c r="G214" t="inlineStr">
        <is>
          <t>HALMSTAD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46265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46265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46265</v>
      </c>
      <c r="F217" t="inlineStr">
        <is>
          <t>HALLANDS LÄN</t>
        </is>
      </c>
      <c r="G217" t="inlineStr">
        <is>
          <t>HALMSTAD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46265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46265</v>
      </c>
      <c r="F219" t="inlineStr">
        <is>
          <t>HALLANDS LÄN</t>
        </is>
      </c>
      <c r="G219" t="inlineStr">
        <is>
          <t>HALMSTAD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46265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46265</v>
      </c>
      <c r="F221" t="inlineStr">
        <is>
          <t>HALLANDS LÄN</t>
        </is>
      </c>
      <c r="G221" t="inlineStr">
        <is>
          <t>HALMSTAD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45681</v>
      </c>
      <c r="E222" s="1" t="n">
        <v>46265</v>
      </c>
      <c r="F222" t="inlineStr">
        <is>
          <t>HALLANDS LÄN</t>
        </is>
      </c>
      <c r="G222" t="inlineStr">
        <is>
          <t>HALMSTAD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46265</v>
      </c>
      <c r="F223" t="inlineStr">
        <is>
          <t>HALLANDS LÄN</t>
        </is>
      </c>
      <c r="G223" t="inlineStr">
        <is>
          <t>HALMSTAD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45854</v>
      </c>
      <c r="E224" s="1" t="n">
        <v>46265</v>
      </c>
      <c r="F224" t="inlineStr">
        <is>
          <t>HALLANDS LÄN</t>
        </is>
      </c>
      <c r="G224" t="inlineStr">
        <is>
          <t>HALMSTAD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45260</v>
      </c>
      <c r="E225" s="1" t="n">
        <v>46265</v>
      </c>
      <c r="F225" t="inlineStr">
        <is>
          <t>HALLANDS LÄN</t>
        </is>
      </c>
      <c r="G225" t="inlineStr">
        <is>
          <t>HALMSTAD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45856</v>
      </c>
      <c r="E226" s="1" t="n">
        <v>46265</v>
      </c>
      <c r="F226" t="inlineStr">
        <is>
          <t>HALLANDS LÄN</t>
        </is>
      </c>
      <c r="G226" t="inlineStr">
        <is>
          <t>HALMSTAD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45750</v>
      </c>
      <c r="E227" s="1" t="n">
        <v>46265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46265</v>
      </c>
      <c r="F228" t="inlineStr">
        <is>
          <t>HALLANDS LÄN</t>
        </is>
      </c>
      <c r="G228" t="inlineStr">
        <is>
          <t>HALMSTAD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45493</v>
      </c>
      <c r="E229" s="1" t="n">
        <v>46265</v>
      </c>
      <c r="F229" t="inlineStr">
        <is>
          <t>HALLANDS LÄN</t>
        </is>
      </c>
      <c r="G229" t="inlineStr">
        <is>
          <t>HALMSTAD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46265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44917</v>
      </c>
      <c r="E231" s="1" t="n">
        <v>46265</v>
      </c>
      <c r="F231" t="inlineStr">
        <is>
          <t>HALLANDS LÄN</t>
        </is>
      </c>
      <c r="G231" t="inlineStr">
        <is>
          <t>HALMSTAD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45099</v>
      </c>
      <c r="E232" s="1" t="n">
        <v>46265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46265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46265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46265</v>
      </c>
      <c r="F235" t="inlineStr">
        <is>
          <t>HALLANDS LÄN</t>
        </is>
      </c>
      <c r="G235" t="inlineStr">
        <is>
          <t>HALMSTAD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46265</v>
      </c>
      <c r="F236" t="inlineStr">
        <is>
          <t>HALLANDS LÄN</t>
        </is>
      </c>
      <c r="G236" t="inlineStr">
        <is>
          <t>HALMSTAD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46265</v>
      </c>
      <c r="F237" t="inlineStr">
        <is>
          <t>HALLANDS LÄN</t>
        </is>
      </c>
      <c r="G237" t="inlineStr">
        <is>
          <t>HALMSTAD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45692</v>
      </c>
      <c r="E238" s="1" t="n">
        <v>46265</v>
      </c>
      <c r="F238" t="inlineStr">
        <is>
          <t>HALLANDS LÄN</t>
        </is>
      </c>
      <c r="G238" t="inlineStr">
        <is>
          <t>HALMSTAD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44879</v>
      </c>
      <c r="E239" s="1" t="n">
        <v>46265</v>
      </c>
      <c r="F239" t="inlineStr">
        <is>
          <t>HALLANDS LÄN</t>
        </is>
      </c>
      <c r="G239" t="inlineStr">
        <is>
          <t>HALMSTAD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53550-2022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44879</v>
      </c>
      <c r="E240" s="1" t="n">
        <v>46265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46265</v>
      </c>
      <c r="F241" t="inlineStr">
        <is>
          <t>HALLANDS LÄN</t>
        </is>
      </c>
      <c r="G241" t="inlineStr">
        <is>
          <t>HALMSTAD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46265</v>
      </c>
      <c r="F242" t="inlineStr">
        <is>
          <t>HALLANDS LÄN</t>
        </is>
      </c>
      <c r="G242" t="inlineStr">
        <is>
          <t>HALMSTAD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46265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46265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44580</v>
      </c>
      <c r="E245" s="1" t="n">
        <v>46265</v>
      </c>
      <c r="F245" t="inlineStr">
        <is>
          <t>HALLANDS LÄN</t>
        </is>
      </c>
      <c r="G245" t="inlineStr">
        <is>
          <t>HALMSTAD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46265</v>
      </c>
      <c r="F246" t="inlineStr">
        <is>
          <t>HALLANDS LÄN</t>
        </is>
      </c>
      <c r="G246" t="inlineStr">
        <is>
          <t>HALMSTAD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46265</v>
      </c>
      <c r="F247" t="inlineStr">
        <is>
          <t>HALLANDS LÄN</t>
        </is>
      </c>
      <c r="G247" t="inlineStr">
        <is>
          <t>HALMSTAD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46265</v>
      </c>
      <c r="F248" t="inlineStr">
        <is>
          <t>HALLANDS LÄN</t>
        </is>
      </c>
      <c r="G248" t="inlineStr">
        <is>
          <t>HALMSTAD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45311</v>
      </c>
      <c r="E249" s="1" t="n">
        <v>46265</v>
      </c>
      <c r="F249" t="inlineStr">
        <is>
          <t>HALLANDS LÄN</t>
        </is>
      </c>
      <c r="G249" t="inlineStr">
        <is>
          <t>HALMSTAD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44621</v>
      </c>
      <c r="E250" s="1" t="n">
        <v>46265</v>
      </c>
      <c r="F250" t="inlineStr">
        <is>
          <t>HALLANDS LÄN</t>
        </is>
      </c>
      <c r="G250" t="inlineStr">
        <is>
          <t>HALMSTAD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46265</v>
      </c>
      <c r="F251" t="inlineStr">
        <is>
          <t>HALLANDS LÄN</t>
        </is>
      </c>
      <c r="G251" t="inlineStr">
        <is>
          <t>HALMSTAD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46265</v>
      </c>
      <c r="F252" t="inlineStr">
        <is>
          <t>HALLANDS LÄN</t>
        </is>
      </c>
      <c r="G252" t="inlineStr">
        <is>
          <t>HALMSTAD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45229</v>
      </c>
      <c r="E253" s="1" t="n">
        <v>46265</v>
      </c>
      <c r="F253" t="inlineStr">
        <is>
          <t>HALLANDS LÄN</t>
        </is>
      </c>
      <c r="G253" t="inlineStr">
        <is>
          <t>HALMSTAD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46265</v>
      </c>
      <c r="F254" t="inlineStr">
        <is>
          <t>HALLANDS LÄN</t>
        </is>
      </c>
      <c r="G254" t="inlineStr">
        <is>
          <t>HALMSTAD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63823-2023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46265</v>
      </c>
      <c r="F255" t="inlineStr">
        <is>
          <t>HALLANDS LÄN</t>
        </is>
      </c>
      <c r="G255" t="inlineStr">
        <is>
          <t>HALMSTAD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46265</v>
      </c>
      <c r="F256" t="inlineStr">
        <is>
          <t>HALLANDS LÄN</t>
        </is>
      </c>
      <c r="G256" t="inlineStr">
        <is>
          <t>HALMSTAD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46295-2024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46265</v>
      </c>
      <c r="F257" t="inlineStr">
        <is>
          <t>HALLANDS LÄN</t>
        </is>
      </c>
      <c r="G257" t="inlineStr">
        <is>
          <t>HALMSTAD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46008</v>
      </c>
      <c r="E258" s="1" t="n">
        <v>46265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46265</v>
      </c>
      <c r="F259" t="inlineStr">
        <is>
          <t>HALLANDS LÄN</t>
        </is>
      </c>
      <c r="G259" t="inlineStr">
        <is>
          <t>HALMSTAD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45079</v>
      </c>
      <c r="E260" s="1" t="n">
        <v>46265</v>
      </c>
      <c r="F260" t="inlineStr">
        <is>
          <t>HALLANDS LÄN</t>
        </is>
      </c>
      <c r="G260" t="inlineStr">
        <is>
          <t>HALMSTAD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46265</v>
      </c>
      <c r="F261" t="inlineStr">
        <is>
          <t>HALLANDS LÄN</t>
        </is>
      </c>
      <c r="G261" t="inlineStr">
        <is>
          <t>HALMSTAD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46265</v>
      </c>
      <c r="F262" t="inlineStr">
        <is>
          <t>HALLANDS LÄN</t>
        </is>
      </c>
      <c r="G262" t="inlineStr">
        <is>
          <t>HALMSTAD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46265</v>
      </c>
      <c r="F263" t="inlineStr">
        <is>
          <t>HALLANDS LÄN</t>
        </is>
      </c>
      <c r="G263" t="inlineStr">
        <is>
          <t>HALMSTAD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46265</v>
      </c>
      <c r="F264" t="inlineStr">
        <is>
          <t>HALLANDS LÄN</t>
        </is>
      </c>
      <c r="G264" t="inlineStr">
        <is>
          <t>HALMSTAD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46265</v>
      </c>
      <c r="F265" t="inlineStr">
        <is>
          <t>HALLANDS LÄN</t>
        </is>
      </c>
      <c r="G265" t="inlineStr">
        <is>
          <t>HALMSTAD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46265</v>
      </c>
      <c r="F266" t="inlineStr">
        <is>
          <t>HALLANDS LÄN</t>
        </is>
      </c>
      <c r="G266" t="inlineStr">
        <is>
          <t>HALMSTAD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45172</v>
      </c>
      <c r="E267" s="1" t="n">
        <v>46265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46265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45876</v>
      </c>
      <c r="E269" s="1" t="n">
        <v>46265</v>
      </c>
      <c r="F269" t="inlineStr">
        <is>
          <t>HALLANDS LÄN</t>
        </is>
      </c>
      <c r="G269" t="inlineStr">
        <is>
          <t>HALMSTAD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46265</v>
      </c>
      <c r="F270" t="inlineStr">
        <is>
          <t>HALLANDS LÄN</t>
        </is>
      </c>
      <c r="G270" t="inlineStr">
        <is>
          <t>HALMSTAD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46008</v>
      </c>
      <c r="E271" s="1" t="n">
        <v>46265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51302-2021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46265</v>
      </c>
      <c r="F272" t="inlineStr">
        <is>
          <t>HALLANDS LÄN</t>
        </is>
      </c>
      <c r="G272" t="inlineStr">
        <is>
          <t>HALMSTAD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45000</v>
      </c>
      <c r="E273" s="1" t="n">
        <v>46265</v>
      </c>
      <c r="F273" t="inlineStr">
        <is>
          <t>HALLANDS LÄN</t>
        </is>
      </c>
      <c r="G273" t="inlineStr">
        <is>
          <t>HALMSTAD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46265</v>
      </c>
      <c r="F274" t="inlineStr">
        <is>
          <t>HALLANDS LÄN</t>
        </is>
      </c>
      <c r="G274" t="inlineStr">
        <is>
          <t>HALMSTAD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46265</v>
      </c>
      <c r="F275" t="inlineStr">
        <is>
          <t>HALLANDS LÄN</t>
        </is>
      </c>
      <c r="G275" t="inlineStr">
        <is>
          <t>HALMSTAD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46265</v>
      </c>
      <c r="F276" t="inlineStr">
        <is>
          <t>HALLANDS LÄN</t>
        </is>
      </c>
      <c r="G276" t="inlineStr">
        <is>
          <t>HALMSTAD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46265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46265</v>
      </c>
      <c r="F278" t="inlineStr">
        <is>
          <t>HALLANDS LÄN</t>
        </is>
      </c>
      <c r="G278" t="inlineStr">
        <is>
          <t>HALMSTAD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46265</v>
      </c>
      <c r="F279" t="inlineStr">
        <is>
          <t>HALLANDS LÄN</t>
        </is>
      </c>
      <c r="G279" t="inlineStr">
        <is>
          <t>HALMSTAD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46265</v>
      </c>
      <c r="F280" t="inlineStr">
        <is>
          <t>HALLANDS LÄN</t>
        </is>
      </c>
      <c r="G280" t="inlineStr">
        <is>
          <t>HALMSTAD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44880</v>
      </c>
      <c r="E281" s="1" t="n">
        <v>46265</v>
      </c>
      <c r="F281" t="inlineStr">
        <is>
          <t>HALLANDS LÄN</t>
        </is>
      </c>
      <c r="G281" t="inlineStr">
        <is>
          <t>HALMSTAD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46265</v>
      </c>
      <c r="F282" t="inlineStr">
        <is>
          <t>HALLANDS LÄN</t>
        </is>
      </c>
      <c r="G282" t="inlineStr">
        <is>
          <t>HALMSTAD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44753</v>
      </c>
      <c r="E283" s="1" t="n">
        <v>46265</v>
      </c>
      <c r="F283" t="inlineStr">
        <is>
          <t>HALLANDS LÄN</t>
        </is>
      </c>
      <c r="G283" t="inlineStr">
        <is>
          <t>HALMSTAD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46265</v>
      </c>
      <c r="F284" t="inlineStr">
        <is>
          <t>HALLANDS LÄN</t>
        </is>
      </c>
      <c r="G284" t="inlineStr">
        <is>
          <t>HALMSTAD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46265</v>
      </c>
      <c r="F285" t="inlineStr">
        <is>
          <t>HALLANDS LÄN</t>
        </is>
      </c>
      <c r="G285" t="inlineStr">
        <is>
          <t>HALMSTAD</t>
        </is>
      </c>
      <c r="H285" t="inlineStr">
        <is>
          <t>Kommuner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46265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44775</v>
      </c>
      <c r="E287" s="1" t="n">
        <v>46265</v>
      </c>
      <c r="F287" t="inlineStr">
        <is>
          <t>HALLANDS LÄN</t>
        </is>
      </c>
      <c r="G287" t="inlineStr">
        <is>
          <t>HALMSTAD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44823</v>
      </c>
      <c r="E288" s="1" t="n">
        <v>46265</v>
      </c>
      <c r="F288" t="inlineStr">
        <is>
          <t>HALLANDS LÄN</t>
        </is>
      </c>
      <c r="G288" t="inlineStr">
        <is>
          <t>HALMSTAD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45488</v>
      </c>
      <c r="E289" s="1" t="n">
        <v>46265</v>
      </c>
      <c r="F289" t="inlineStr">
        <is>
          <t>HALLANDS LÄN</t>
        </is>
      </c>
      <c r="G289" t="inlineStr">
        <is>
          <t>HALMSTAD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46265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46265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46265</v>
      </c>
      <c r="F292" t="inlineStr">
        <is>
          <t>HALLANDS LÄN</t>
        </is>
      </c>
      <c r="G292" t="inlineStr">
        <is>
          <t>HALMSTAD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57031-2021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46265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46265</v>
      </c>
      <c r="F294" t="inlineStr">
        <is>
          <t>HALLANDS LÄN</t>
        </is>
      </c>
      <c r="G294" t="inlineStr">
        <is>
          <t>HALMSTAD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41626-2022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44827</v>
      </c>
      <c r="E295" s="1" t="n">
        <v>46265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45229</v>
      </c>
      <c r="E296" s="1" t="n">
        <v>46265</v>
      </c>
      <c r="F296" t="inlineStr">
        <is>
          <t>HALLANDS LÄN</t>
        </is>
      </c>
      <c r="G296" t="inlineStr">
        <is>
          <t>HALMSTAD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45660</v>
      </c>
      <c r="E297" s="1" t="n">
        <v>46265</v>
      </c>
      <c r="F297" t="inlineStr">
        <is>
          <t>HALLANDS LÄN</t>
        </is>
      </c>
      <c r="G297" t="inlineStr">
        <is>
          <t>HALMSTAD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45660</v>
      </c>
      <c r="E298" s="1" t="n">
        <v>46265</v>
      </c>
      <c r="F298" t="inlineStr">
        <is>
          <t>HALLANDS LÄN</t>
        </is>
      </c>
      <c r="G298" t="inlineStr">
        <is>
          <t>HALMSTAD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46265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44885</v>
      </c>
      <c r="E300" s="1" t="n">
        <v>46265</v>
      </c>
      <c r="F300" t="inlineStr">
        <is>
          <t>HALLANDS LÄN</t>
        </is>
      </c>
      <c r="G300" t="inlineStr">
        <is>
          <t>HALMSTAD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46265</v>
      </c>
      <c r="F301" t="inlineStr">
        <is>
          <t>HALLANDS LÄN</t>
        </is>
      </c>
      <c r="G301" t="inlineStr">
        <is>
          <t>HALMSTAD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46265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46265</v>
      </c>
      <c r="F303" t="inlineStr">
        <is>
          <t>HALLANDS LÄN</t>
        </is>
      </c>
      <c r="G303" t="inlineStr">
        <is>
          <t>HALMSTAD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45585-2022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44845</v>
      </c>
      <c r="E304" s="1" t="n">
        <v>46265</v>
      </c>
      <c r="F304" t="inlineStr">
        <is>
          <t>HALLANDS LÄN</t>
        </is>
      </c>
      <c r="G304" t="inlineStr">
        <is>
          <t>HALMSTAD</t>
        </is>
      </c>
      <c r="H304" t="inlineStr">
        <is>
          <t>Kyrkan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46265</v>
      </c>
      <c r="F305" t="inlineStr">
        <is>
          <t>HALLANDS LÄN</t>
        </is>
      </c>
      <c r="G305" t="inlineStr">
        <is>
          <t>HALMSTAD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46265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46265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46265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46265</v>
      </c>
      <c r="F309" t="inlineStr">
        <is>
          <t>HALLANDS LÄN</t>
        </is>
      </c>
      <c r="G309" t="inlineStr">
        <is>
          <t>HALMSTAD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46265</v>
      </c>
      <c r="F310" t="inlineStr">
        <is>
          <t>HALLANDS LÄN</t>
        </is>
      </c>
      <c r="G310" t="inlineStr">
        <is>
          <t>HALMSTAD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46265</v>
      </c>
      <c r="F311" t="inlineStr">
        <is>
          <t>HALLANDS LÄN</t>
        </is>
      </c>
      <c r="G311" t="inlineStr">
        <is>
          <t>HALMSTAD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46265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46265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46265</v>
      </c>
      <c r="F314" t="inlineStr">
        <is>
          <t>HALLANDS LÄN</t>
        </is>
      </c>
      <c r="G314" t="inlineStr">
        <is>
          <t>HALMSTAD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46265</v>
      </c>
      <c r="F315" t="inlineStr">
        <is>
          <t>HALLANDS LÄN</t>
        </is>
      </c>
      <c r="G315" t="inlineStr">
        <is>
          <t>HALMSTAD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66311-2021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44518</v>
      </c>
      <c r="E316" s="1" t="n">
        <v>46265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45758</v>
      </c>
      <c r="E317" s="1" t="n">
        <v>46265</v>
      </c>
      <c r="F317" t="inlineStr">
        <is>
          <t>HALLANDS LÄN</t>
        </is>
      </c>
      <c r="G317" t="inlineStr">
        <is>
          <t>HALMSTAD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46265</v>
      </c>
      <c r="F318" t="inlineStr">
        <is>
          <t>HALLANDS LÄN</t>
        </is>
      </c>
      <c r="G318" t="inlineStr">
        <is>
          <t>HALMSTAD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46265</v>
      </c>
      <c r="F319" t="inlineStr">
        <is>
          <t>HALLANDS LÄN</t>
        </is>
      </c>
      <c r="G319" t="inlineStr">
        <is>
          <t>HALMSTAD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45356</v>
      </c>
      <c r="E320" s="1" t="n">
        <v>46265</v>
      </c>
      <c r="F320" t="inlineStr">
        <is>
          <t>HALLANDS LÄN</t>
        </is>
      </c>
      <c r="G320" t="inlineStr">
        <is>
          <t>HALMSTAD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46265</v>
      </c>
      <c r="F321" t="inlineStr">
        <is>
          <t>HALLANDS LÄN</t>
        </is>
      </c>
      <c r="G321" t="inlineStr">
        <is>
          <t>HALMSTAD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46265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9839-2024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45363</v>
      </c>
      <c r="E323" s="1" t="n">
        <v>46265</v>
      </c>
      <c r="F323" t="inlineStr">
        <is>
          <t>HALLANDS LÄN</t>
        </is>
      </c>
      <c r="G323" t="inlineStr">
        <is>
          <t>HALMSTAD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46265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45561</v>
      </c>
      <c r="E325" s="1" t="n">
        <v>46265</v>
      </c>
      <c r="F325" t="inlineStr">
        <is>
          <t>HALLANDS LÄN</t>
        </is>
      </c>
      <c r="G325" t="inlineStr">
        <is>
          <t>HALMSTAD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46265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74038-2021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44557</v>
      </c>
      <c r="E327" s="1" t="n">
        <v>46265</v>
      </c>
      <c r="F327" t="inlineStr">
        <is>
          <t>HALLANDS LÄN</t>
        </is>
      </c>
      <c r="G327" t="inlineStr">
        <is>
          <t>HALMSTAD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46265</v>
      </c>
      <c r="F328" t="inlineStr">
        <is>
          <t>HALLANDS LÄN</t>
        </is>
      </c>
      <c r="G328" t="inlineStr">
        <is>
          <t>HALMSTAD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46265</v>
      </c>
      <c r="F329" t="inlineStr">
        <is>
          <t>HALLANDS LÄN</t>
        </is>
      </c>
      <c r="G329" t="inlineStr">
        <is>
          <t>HALMSTAD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46265</v>
      </c>
      <c r="F330" t="inlineStr">
        <is>
          <t>HALLANDS LÄN</t>
        </is>
      </c>
      <c r="G330" t="inlineStr">
        <is>
          <t>HALMSTAD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45156</v>
      </c>
      <c r="E331" s="1" t="n">
        <v>46265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46265</v>
      </c>
      <c r="F332" t="inlineStr">
        <is>
          <t>HALLANDS LÄN</t>
        </is>
      </c>
      <c r="G332" t="inlineStr">
        <is>
          <t>HALMSTAD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45630</v>
      </c>
      <c r="E333" s="1" t="n">
        <v>46265</v>
      </c>
      <c r="F333" t="inlineStr">
        <is>
          <t>HALLANDS LÄN</t>
        </is>
      </c>
      <c r="G333" t="inlineStr">
        <is>
          <t>HALMSTAD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45170</v>
      </c>
      <c r="E334" s="1" t="n">
        <v>46265</v>
      </c>
      <c r="F334" t="inlineStr">
        <is>
          <t>HALLANDS LÄN</t>
        </is>
      </c>
      <c r="G334" t="inlineStr">
        <is>
          <t>HALMSTAD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46265</v>
      </c>
      <c r="F335" t="inlineStr">
        <is>
          <t>HALLANDS LÄN</t>
        </is>
      </c>
      <c r="G335" t="inlineStr">
        <is>
          <t>HALMSTAD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46265</v>
      </c>
      <c r="F336" t="inlineStr">
        <is>
          <t>HALLANDS LÄN</t>
        </is>
      </c>
      <c r="G336" t="inlineStr">
        <is>
          <t>HALMSTAD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46265</v>
      </c>
      <c r="F337" t="inlineStr">
        <is>
          <t>HALLANDS LÄN</t>
        </is>
      </c>
      <c r="G337" t="inlineStr">
        <is>
          <t>HALMSTAD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45555</v>
      </c>
      <c r="E338" s="1" t="n">
        <v>46265</v>
      </c>
      <c r="F338" t="inlineStr">
        <is>
          <t>HALLANDS LÄN</t>
        </is>
      </c>
      <c r="G338" t="inlineStr">
        <is>
          <t>HALMSTAD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45588</v>
      </c>
      <c r="E339" s="1" t="n">
        <v>46265</v>
      </c>
      <c r="F339" t="inlineStr">
        <is>
          <t>HALLANDS LÄN</t>
        </is>
      </c>
      <c r="G339" t="inlineStr">
        <is>
          <t>HALMSTAD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45348</v>
      </c>
      <c r="E340" s="1" t="n">
        <v>46265</v>
      </c>
      <c r="F340" t="inlineStr">
        <is>
          <t>HALLANDS LÄN</t>
        </is>
      </c>
      <c r="G340" t="inlineStr">
        <is>
          <t>HALMSTAD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46265</v>
      </c>
      <c r="F341" t="inlineStr">
        <is>
          <t>HALLANDS LÄN</t>
        </is>
      </c>
      <c r="G341" t="inlineStr">
        <is>
          <t>HALMSTAD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44594</v>
      </c>
      <c r="E342" s="1" t="n">
        <v>46265</v>
      </c>
      <c r="F342" t="inlineStr">
        <is>
          <t>HALLANDS LÄN</t>
        </is>
      </c>
      <c r="G342" t="inlineStr">
        <is>
          <t>HALMSTAD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11091-2022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44628</v>
      </c>
      <c r="E343" s="1" t="n">
        <v>46265</v>
      </c>
      <c r="F343" t="inlineStr">
        <is>
          <t>HALLANDS LÄN</t>
        </is>
      </c>
      <c r="G343" t="inlineStr">
        <is>
          <t>HALMSTAD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58193-2024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45632</v>
      </c>
      <c r="E344" s="1" t="n">
        <v>46265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46265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46265</v>
      </c>
      <c r="F346" t="inlineStr">
        <is>
          <t>HALLANDS LÄN</t>
        </is>
      </c>
      <c r="G346" t="inlineStr">
        <is>
          <t>HALMSTAD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12994-2026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46265</v>
      </c>
      <c r="F347" t="inlineStr">
        <is>
          <t>HALLANDS LÄN</t>
        </is>
      </c>
      <c r="G347" t="inlineStr">
        <is>
          <t>HALMSTAD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45660</v>
      </c>
      <c r="E348" s="1" t="n">
        <v>46265</v>
      </c>
      <c r="F348" t="inlineStr">
        <is>
          <t>HALLANDS LÄN</t>
        </is>
      </c>
      <c r="G348" t="inlineStr">
        <is>
          <t>HALMSTAD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45316</v>
      </c>
      <c r="E349" s="1" t="n">
        <v>46265</v>
      </c>
      <c r="F349" t="inlineStr">
        <is>
          <t>HALLANDS LÄN</t>
        </is>
      </c>
      <c r="G349" t="inlineStr">
        <is>
          <t>HALMSTAD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46265</v>
      </c>
      <c r="F350" t="inlineStr">
        <is>
          <t>HALLANDS LÄN</t>
        </is>
      </c>
      <c r="G350" t="inlineStr">
        <is>
          <t>HALMSTAD</t>
        </is>
      </c>
      <c r="H350" t="inlineStr">
        <is>
          <t>Kommuner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45681</v>
      </c>
      <c r="E351" s="1" t="n">
        <v>46265</v>
      </c>
      <c r="F351" t="inlineStr">
        <is>
          <t>HALLANDS LÄN</t>
        </is>
      </c>
      <c r="G351" t="inlineStr">
        <is>
          <t>HALMSTAD</t>
        </is>
      </c>
      <c r="H351" t="inlineStr">
        <is>
          <t>Kommuner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46265</v>
      </c>
      <c r="F352" t="inlineStr">
        <is>
          <t>HALLANDS LÄN</t>
        </is>
      </c>
      <c r="G352" t="inlineStr">
        <is>
          <t>HALMSTAD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46265</v>
      </c>
      <c r="F353" t="inlineStr">
        <is>
          <t>HALLANDS LÄN</t>
        </is>
      </c>
      <c r="G353" t="inlineStr">
        <is>
          <t>HALMSTAD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45091</v>
      </c>
      <c r="E354" s="1" t="n">
        <v>46265</v>
      </c>
      <c r="F354" t="inlineStr">
        <is>
          <t>HALLANDS LÄN</t>
        </is>
      </c>
      <c r="G354" t="inlineStr">
        <is>
          <t>HALMSTAD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46265</v>
      </c>
      <c r="F355" t="inlineStr">
        <is>
          <t>HALLANDS LÄN</t>
        </is>
      </c>
      <c r="G355" t="inlineStr">
        <is>
          <t>HALMSTAD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46265</v>
      </c>
      <c r="F356" t="inlineStr">
        <is>
          <t>HALLANDS LÄN</t>
        </is>
      </c>
      <c r="G356" t="inlineStr">
        <is>
          <t>HALMSTAD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46265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46265</v>
      </c>
      <c r="F358" t="inlineStr">
        <is>
          <t>HALLANDS LÄN</t>
        </is>
      </c>
      <c r="G358" t="inlineStr">
        <is>
          <t>HALMSTAD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45217</v>
      </c>
      <c r="E359" s="1" t="n">
        <v>46265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44721</v>
      </c>
      <c r="E360" s="1" t="n">
        <v>46265</v>
      </c>
      <c r="F360" t="inlineStr">
        <is>
          <t>HALLANDS LÄN</t>
        </is>
      </c>
      <c r="G360" t="inlineStr">
        <is>
          <t>HALMSTAD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46265</v>
      </c>
      <c r="F361" t="inlineStr">
        <is>
          <t>HALLANDS LÄN</t>
        </is>
      </c>
      <c r="G361" t="inlineStr">
        <is>
          <t>HALMSTAD</t>
        </is>
      </c>
      <c r="H361" t="inlineStr">
        <is>
          <t>Kommuner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45636</v>
      </c>
      <c r="E362" s="1" t="n">
        <v>46265</v>
      </c>
      <c r="F362" t="inlineStr">
        <is>
          <t>HALLANDS LÄN</t>
        </is>
      </c>
      <c r="G362" t="inlineStr">
        <is>
          <t>HALMSTAD</t>
        </is>
      </c>
      <c r="H362" t="inlineStr">
        <is>
          <t>Kommuner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46265</v>
      </c>
      <c r="F363" t="inlineStr">
        <is>
          <t>HALLANDS LÄN</t>
        </is>
      </c>
      <c r="G363" t="inlineStr">
        <is>
          <t>HALMSTAD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15545-2022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44662</v>
      </c>
      <c r="E364" s="1" t="n">
        <v>46265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46265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46121</v>
      </c>
      <c r="E366" s="1" t="n">
        <v>46265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46265</v>
      </c>
      <c r="F367" t="inlineStr">
        <is>
          <t>HALLANDS LÄN</t>
        </is>
      </c>
      <c r="G367" t="inlineStr">
        <is>
          <t>HALMSTAD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46265</v>
      </c>
      <c r="F368" t="inlineStr">
        <is>
          <t>HALLANDS LÄN</t>
        </is>
      </c>
      <c r="G368" t="inlineStr">
        <is>
          <t>HALMSTAD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44722</v>
      </c>
      <c r="E369" s="1" t="n">
        <v>46265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45209</v>
      </c>
      <c r="E370" s="1" t="n">
        <v>46265</v>
      </c>
      <c r="F370" t="inlineStr">
        <is>
          <t>HALLANDS LÄN</t>
        </is>
      </c>
      <c r="G370" t="inlineStr">
        <is>
          <t>HALMSTAD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46128</v>
      </c>
      <c r="E371" s="1" t="n">
        <v>46265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46265</v>
      </c>
      <c r="F372" t="inlineStr">
        <is>
          <t>HALLANDS LÄN</t>
        </is>
      </c>
      <c r="G372" t="inlineStr">
        <is>
          <t>HALMSTAD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46265</v>
      </c>
      <c r="F373" t="inlineStr">
        <is>
          <t>HALLANDS LÄN</t>
        </is>
      </c>
      <c r="G373" t="inlineStr">
        <is>
          <t>HALMSTAD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46265</v>
      </c>
      <c r="F374" t="inlineStr">
        <is>
          <t>HALLANDS LÄN</t>
        </is>
      </c>
      <c r="G374" t="inlineStr">
        <is>
          <t>HALMSTAD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44742</v>
      </c>
      <c r="E375" s="1" t="n">
        <v>46265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46265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46265</v>
      </c>
      <c r="F377" t="inlineStr">
        <is>
          <t>HALLANDS LÄN</t>
        </is>
      </c>
      <c r="G377" t="inlineStr">
        <is>
          <t>HALMSTAD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46265</v>
      </c>
      <c r="F378" t="inlineStr">
        <is>
          <t>HALLANDS LÄN</t>
        </is>
      </c>
      <c r="G378" t="inlineStr">
        <is>
          <t>HALMSTAD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46265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40345-2023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46265</v>
      </c>
      <c r="F380" t="inlineStr">
        <is>
          <t>HALLANDS LÄN</t>
        </is>
      </c>
      <c r="G380" t="inlineStr">
        <is>
          <t>HALMSTAD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45692</v>
      </c>
      <c r="E381" s="1" t="n">
        <v>46265</v>
      </c>
      <c r="F381" t="inlineStr">
        <is>
          <t>HALLANDS LÄN</t>
        </is>
      </c>
      <c r="G381" t="inlineStr">
        <is>
          <t>HALMSTAD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46265</v>
      </c>
      <c r="F382" t="inlineStr">
        <is>
          <t>HALLANDS LÄN</t>
        </is>
      </c>
      <c r="G382" t="inlineStr">
        <is>
          <t>HALMSTAD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46265</v>
      </c>
      <c r="F383" t="inlineStr">
        <is>
          <t>HALLANDS LÄN</t>
        </is>
      </c>
      <c r="G383" t="inlineStr">
        <is>
          <t>HALMSTAD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45126</v>
      </c>
      <c r="E384" s="1" t="n">
        <v>46265</v>
      </c>
      <c r="F384" t="inlineStr">
        <is>
          <t>HALLANDS LÄN</t>
        </is>
      </c>
      <c r="G384" t="inlineStr">
        <is>
          <t>HALMSTAD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44712</v>
      </c>
      <c r="E385" s="1" t="n">
        <v>46265</v>
      </c>
      <c r="F385" t="inlineStr">
        <is>
          <t>HALLANDS LÄN</t>
        </is>
      </c>
      <c r="G385" t="inlineStr">
        <is>
          <t>HALMSTAD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46265</v>
      </c>
      <c r="F386" t="inlineStr">
        <is>
          <t>HALLANDS LÄN</t>
        </is>
      </c>
      <c r="G386" t="inlineStr">
        <is>
          <t>HALMSTAD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45267</v>
      </c>
      <c r="E387" s="1" t="n">
        <v>46265</v>
      </c>
      <c r="F387" t="inlineStr">
        <is>
          <t>HALLANDS LÄN</t>
        </is>
      </c>
      <c r="G387" t="inlineStr">
        <is>
          <t>HALMSTAD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30692-2025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46265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45259</v>
      </c>
      <c r="E389" s="1" t="n">
        <v>46265</v>
      </c>
      <c r="F389" t="inlineStr">
        <is>
          <t>HALLANDS LÄN</t>
        </is>
      </c>
      <c r="G389" t="inlineStr">
        <is>
          <t>HALMSTAD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46265</v>
      </c>
      <c r="F390" t="inlineStr">
        <is>
          <t>HALLANDS LÄN</t>
        </is>
      </c>
      <c r="G390" t="inlineStr">
        <is>
          <t>HALMSTAD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64136-2023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46265</v>
      </c>
      <c r="F391" t="inlineStr">
        <is>
          <t>HALLANDS LÄN</t>
        </is>
      </c>
      <c r="G391" t="inlineStr">
        <is>
          <t>HALMSTAD</t>
        </is>
      </c>
      <c r="H391" t="inlineStr">
        <is>
          <t>Bergvik skog väst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46265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46265</v>
      </c>
      <c r="F393" t="inlineStr">
        <is>
          <t>HALLANDS LÄN</t>
        </is>
      </c>
      <c r="G393" t="inlineStr">
        <is>
          <t>HALMSTAD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51190-2022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44868</v>
      </c>
      <c r="E394" s="1" t="n">
        <v>46265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46265</v>
      </c>
      <c r="F395" t="inlineStr">
        <is>
          <t>HALLANDS LÄN</t>
        </is>
      </c>
      <c r="G395" t="inlineStr">
        <is>
          <t>HALMSTAD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46265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45386</v>
      </c>
      <c r="E397" s="1" t="n">
        <v>46265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45450</v>
      </c>
      <c r="E398" s="1" t="n">
        <v>46265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46265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46265</v>
      </c>
      <c r="F400" t="inlineStr">
        <is>
          <t>HALLANDS LÄN</t>
        </is>
      </c>
      <c r="G400" t="inlineStr">
        <is>
          <t>HALMSTAD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46265</v>
      </c>
      <c r="F401" t="inlineStr">
        <is>
          <t>HALLANDS LÄN</t>
        </is>
      </c>
      <c r="G401" t="inlineStr">
        <is>
          <t>HALMSTAD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54114-2021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44470</v>
      </c>
      <c r="E402" s="1" t="n">
        <v>46265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45429</v>
      </c>
      <c r="E403" s="1" t="n">
        <v>46265</v>
      </c>
      <c r="F403" t="inlineStr">
        <is>
          <t>HALLANDS LÄN</t>
        </is>
      </c>
      <c r="G403" t="inlineStr">
        <is>
          <t>HALMSTAD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62766-2023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45268</v>
      </c>
      <c r="E404" s="1" t="n">
        <v>46265</v>
      </c>
      <c r="F404" t="inlineStr">
        <is>
          <t>HALLANDS LÄN</t>
        </is>
      </c>
      <c r="G404" t="inlineStr">
        <is>
          <t>HALMSTAD</t>
        </is>
      </c>
      <c r="H404" t="inlineStr">
        <is>
          <t>Sveaskog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46265</v>
      </c>
      <c r="F405" t="inlineStr">
        <is>
          <t>HALLANDS LÄN</t>
        </is>
      </c>
      <c r="G405" t="inlineStr">
        <is>
          <t>HALMSTAD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53763-2022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44875</v>
      </c>
      <c r="E406" s="1" t="n">
        <v>46265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44595</v>
      </c>
      <c r="E407" s="1" t="n">
        <v>46265</v>
      </c>
      <c r="F407" t="inlineStr">
        <is>
          <t>HALLANDS LÄN</t>
        </is>
      </c>
      <c r="G407" t="inlineStr">
        <is>
          <t>HALMSTAD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45404</v>
      </c>
      <c r="E408" s="1" t="n">
        <v>46265</v>
      </c>
      <c r="F408" t="inlineStr">
        <is>
          <t>HALLANDS LÄN</t>
        </is>
      </c>
      <c r="G408" t="inlineStr">
        <is>
          <t>HALMSTAD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64231-2023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46265</v>
      </c>
      <c r="F409" t="inlineStr">
        <is>
          <t>HALLANDS LÄN</t>
        </is>
      </c>
      <c r="G409" t="inlineStr">
        <is>
          <t>HALMSTAD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41612-2022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44827</v>
      </c>
      <c r="E410" s="1" t="n">
        <v>46265</v>
      </c>
      <c r="F410" t="inlineStr">
        <is>
          <t>HALLANDS LÄN</t>
        </is>
      </c>
      <c r="G410" t="inlineStr">
        <is>
          <t>HALMSTAD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45257</v>
      </c>
      <c r="E411" s="1" t="n">
        <v>46265</v>
      </c>
      <c r="F411" t="inlineStr">
        <is>
          <t>HALLANDS LÄN</t>
        </is>
      </c>
      <c r="G411" t="inlineStr">
        <is>
          <t>HALMSTAD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45727</v>
      </c>
      <c r="E412" s="1" t="n">
        <v>46265</v>
      </c>
      <c r="F412" t="inlineStr">
        <is>
          <t>HALLANDS LÄN</t>
        </is>
      </c>
      <c r="G412" t="inlineStr">
        <is>
          <t>HALMSTAD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44806</v>
      </c>
      <c r="E413" s="1" t="n">
        <v>46265</v>
      </c>
      <c r="F413" t="inlineStr">
        <is>
          <t>HALLANDS LÄN</t>
        </is>
      </c>
      <c r="G413" t="inlineStr">
        <is>
          <t>HALMSTAD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44691</v>
      </c>
      <c r="E414" s="1" t="n">
        <v>46265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46265</v>
      </c>
      <c r="F415" t="inlineStr">
        <is>
          <t>HALLANDS LÄN</t>
        </is>
      </c>
      <c r="G415" t="inlineStr">
        <is>
          <t>HALMSTAD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44482</v>
      </c>
      <c r="E416" s="1" t="n">
        <v>46265</v>
      </c>
      <c r="F416" t="inlineStr">
        <is>
          <t>HALLANDS LÄN</t>
        </is>
      </c>
      <c r="G416" t="inlineStr">
        <is>
          <t>HALMSTAD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44482</v>
      </c>
      <c r="E417" s="1" t="n">
        <v>46265</v>
      </c>
      <c r="F417" t="inlineStr">
        <is>
          <t>HALLANDS LÄN</t>
        </is>
      </c>
      <c r="G417" t="inlineStr">
        <is>
          <t>HALMSTAD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52469-2021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46265</v>
      </c>
      <c r="F418" t="inlineStr">
        <is>
          <t>HALLANDS LÄN</t>
        </is>
      </c>
      <c r="G418" t="inlineStr">
        <is>
          <t>HALMSTAD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44964</v>
      </c>
      <c r="E419" s="1" t="n">
        <v>46265</v>
      </c>
      <c r="F419" t="inlineStr">
        <is>
          <t>HALLANDS LÄN</t>
        </is>
      </c>
      <c r="G419" t="inlineStr">
        <is>
          <t>HALMSTAD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46265</v>
      </c>
      <c r="F420" t="inlineStr">
        <is>
          <t>HALLANDS LÄN</t>
        </is>
      </c>
      <c r="G420" t="inlineStr">
        <is>
          <t>HALMSTAD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45408</v>
      </c>
      <c r="E421" s="1" t="n">
        <v>46265</v>
      </c>
      <c r="F421" t="inlineStr">
        <is>
          <t>HALLANDS LÄN</t>
        </is>
      </c>
      <c r="G421" t="inlineStr">
        <is>
          <t>HALMSTAD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46265</v>
      </c>
      <c r="F422" t="inlineStr">
        <is>
          <t>HALLANDS LÄN</t>
        </is>
      </c>
      <c r="G422" t="inlineStr">
        <is>
          <t>HALMSTAD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45168</v>
      </c>
      <c r="E423" s="1" t="n">
        <v>46265</v>
      </c>
      <c r="F423" t="inlineStr">
        <is>
          <t>HALLANDS LÄN</t>
        </is>
      </c>
      <c r="G423" t="inlineStr">
        <is>
          <t>HALMSTAD</t>
        </is>
      </c>
      <c r="H423" t="inlineStr">
        <is>
          <t>Kommuner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44713</v>
      </c>
      <c r="E424" s="1" t="n">
        <v>46265</v>
      </c>
      <c r="F424" t="inlineStr">
        <is>
          <t>HALLANDS LÄN</t>
        </is>
      </c>
      <c r="G424" t="inlineStr">
        <is>
          <t>HALMSTAD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46265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10263-2022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46265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46265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46265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46265</v>
      </c>
      <c r="F429" t="inlineStr">
        <is>
          <t>HALLANDS LÄN</t>
        </is>
      </c>
      <c r="G429" t="inlineStr">
        <is>
          <t>HALMSTAD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46265</v>
      </c>
      <c r="F430" t="inlineStr">
        <is>
          <t>HALLANDS LÄN</t>
        </is>
      </c>
      <c r="G430" t="inlineStr">
        <is>
          <t>HALMSTAD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45323</v>
      </c>
      <c r="E431" s="1" t="n">
        <v>46265</v>
      </c>
      <c r="F431" t="inlineStr">
        <is>
          <t>HALLANDS LÄN</t>
        </is>
      </c>
      <c r="G431" t="inlineStr">
        <is>
          <t>HALMSTAD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58080-2024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46265</v>
      </c>
      <c r="F432" t="inlineStr">
        <is>
          <t>HALLANDS LÄN</t>
        </is>
      </c>
      <c r="G432" t="inlineStr">
        <is>
          <t>HALMSTAD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44712</v>
      </c>
      <c r="E433" s="1" t="n">
        <v>46265</v>
      </c>
      <c r="F433" t="inlineStr">
        <is>
          <t>HALLANDS LÄN</t>
        </is>
      </c>
      <c r="G433" t="inlineStr">
        <is>
          <t>HALMSTAD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45050</v>
      </c>
      <c r="E434" s="1" t="n">
        <v>46265</v>
      </c>
      <c r="F434" t="inlineStr">
        <is>
          <t>HALLANDS LÄN</t>
        </is>
      </c>
      <c r="G434" t="inlineStr">
        <is>
          <t>HALMSTAD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45099</v>
      </c>
      <c r="E435" s="1" t="n">
        <v>46265</v>
      </c>
      <c r="F435" t="inlineStr">
        <is>
          <t>HALLANDS LÄN</t>
        </is>
      </c>
      <c r="G435" t="inlineStr">
        <is>
          <t>HALMSTAD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46265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46265</v>
      </c>
      <c r="F437" t="inlineStr">
        <is>
          <t>HALLANDS LÄN</t>
        </is>
      </c>
      <c r="G437" t="inlineStr">
        <is>
          <t>HALMSTAD</t>
        </is>
      </c>
      <c r="H437" t="inlineStr">
        <is>
          <t>Kommuner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46265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46265</v>
      </c>
      <c r="F439" t="inlineStr">
        <is>
          <t>HALLANDS LÄN</t>
        </is>
      </c>
      <c r="G439" t="inlineStr">
        <is>
          <t>HALMSTAD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46265</v>
      </c>
      <c r="F440" t="inlineStr">
        <is>
          <t>HALLANDS LÄN</t>
        </is>
      </c>
      <c r="G440" t="inlineStr">
        <is>
          <t>HALMSTAD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46265</v>
      </c>
      <c r="F441" t="inlineStr">
        <is>
          <t>HALLANDS LÄN</t>
        </is>
      </c>
      <c r="G441" t="inlineStr">
        <is>
          <t>HALMSTAD</t>
        </is>
      </c>
      <c r="H441" t="inlineStr">
        <is>
          <t>Kommuner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64230-2023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45279</v>
      </c>
      <c r="E442" s="1" t="n">
        <v>46265</v>
      </c>
      <c r="F442" t="inlineStr">
        <is>
          <t>HALLANDS LÄN</t>
        </is>
      </c>
      <c r="G442" t="inlineStr">
        <is>
          <t>HALMSTAD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46265</v>
      </c>
      <c r="F443" t="inlineStr">
        <is>
          <t>HALLANDS LÄN</t>
        </is>
      </c>
      <c r="G443" t="inlineStr">
        <is>
          <t>HALMSTAD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45196</v>
      </c>
      <c r="E444" s="1" t="n">
        <v>46265</v>
      </c>
      <c r="F444" t="inlineStr">
        <is>
          <t>HALLANDS LÄN</t>
        </is>
      </c>
      <c r="G444" t="inlineStr">
        <is>
          <t>HALMSTAD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45335</v>
      </c>
      <c r="E445" s="1" t="n">
        <v>46265</v>
      </c>
      <c r="F445" t="inlineStr">
        <is>
          <t>HALLANDS LÄN</t>
        </is>
      </c>
      <c r="G445" t="inlineStr">
        <is>
          <t>HALMSTAD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45316</v>
      </c>
      <c r="E446" s="1" t="n">
        <v>46265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46265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42204-2024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45562</v>
      </c>
      <c r="E448" s="1" t="n">
        <v>46265</v>
      </c>
      <c r="F448" t="inlineStr">
        <is>
          <t>HALLANDS LÄN</t>
        </is>
      </c>
      <c r="G448" t="inlineStr">
        <is>
          <t>HALMSTAD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46265</v>
      </c>
      <c r="F449" t="inlineStr">
        <is>
          <t>HALLANDS LÄN</t>
        </is>
      </c>
      <c r="G449" t="inlineStr">
        <is>
          <t>HALMSTAD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45065</v>
      </c>
      <c r="E450" s="1" t="n">
        <v>46265</v>
      </c>
      <c r="F450" t="inlineStr">
        <is>
          <t>HALLANDS LÄN</t>
        </is>
      </c>
      <c r="G450" t="inlineStr">
        <is>
          <t>HALMSTAD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45079</v>
      </c>
      <c r="E451" s="1" t="n">
        <v>46265</v>
      </c>
      <c r="F451" t="inlineStr">
        <is>
          <t>HALLANDS LÄN</t>
        </is>
      </c>
      <c r="G451" t="inlineStr">
        <is>
          <t>HALMSTAD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46265</v>
      </c>
      <c r="F452" t="inlineStr">
        <is>
          <t>HALLANDS LÄN</t>
        </is>
      </c>
      <c r="G452" t="inlineStr">
        <is>
          <t>HALMSTAD</t>
        </is>
      </c>
      <c r="H452" t="inlineStr">
        <is>
          <t>Kommuner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45712</v>
      </c>
      <c r="E453" s="1" t="n">
        <v>46265</v>
      </c>
      <c r="F453" t="inlineStr">
        <is>
          <t>HALLANDS LÄN</t>
        </is>
      </c>
      <c r="G453" t="inlineStr">
        <is>
          <t>HALMSTAD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40741-2023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46265</v>
      </c>
      <c r="F454" t="inlineStr">
        <is>
          <t>HALLANDS LÄN</t>
        </is>
      </c>
      <c r="G454" t="inlineStr">
        <is>
          <t>HALMSTAD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46265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66730-2021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44520</v>
      </c>
      <c r="E456" s="1" t="n">
        <v>46265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45680</v>
      </c>
      <c r="E457" s="1" t="n">
        <v>46265</v>
      </c>
      <c r="F457" t="inlineStr">
        <is>
          <t>HALLANDS LÄN</t>
        </is>
      </c>
      <c r="G457" t="inlineStr">
        <is>
          <t>HALMSTAD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46265</v>
      </c>
      <c r="F458" t="inlineStr">
        <is>
          <t>HALLANDS LÄN</t>
        </is>
      </c>
      <c r="G458" t="inlineStr">
        <is>
          <t>HALMSTAD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15198-2026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46265</v>
      </c>
      <c r="F459" t="inlineStr">
        <is>
          <t>HALLANDS LÄN</t>
        </is>
      </c>
      <c r="G459" t="inlineStr">
        <is>
          <t>HALMSTAD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45329</v>
      </c>
      <c r="E460" s="1" t="n">
        <v>46265</v>
      </c>
      <c r="F460" t="inlineStr">
        <is>
          <t>HALLANDS LÄN</t>
        </is>
      </c>
      <c r="G460" t="inlineStr">
        <is>
          <t>HALMSTAD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45734</v>
      </c>
      <c r="E461" s="1" t="n">
        <v>46265</v>
      </c>
      <c r="F461" t="inlineStr">
        <is>
          <t>HALLANDS LÄN</t>
        </is>
      </c>
      <c r="G461" t="inlineStr">
        <is>
          <t>HALMSTAD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46265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46265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46265</v>
      </c>
      <c r="F464" t="inlineStr">
        <is>
          <t>HALLANDS LÄN</t>
        </is>
      </c>
      <c r="G464" t="inlineStr">
        <is>
          <t>HALMSTAD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46265</v>
      </c>
      <c r="F465" t="inlineStr">
        <is>
          <t>HALLANDS LÄN</t>
        </is>
      </c>
      <c r="G465" t="inlineStr">
        <is>
          <t>HALMSTAD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46265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45897</v>
      </c>
      <c r="E467" s="1" t="n">
        <v>46265</v>
      </c>
      <c r="F467" t="inlineStr">
        <is>
          <t>HALLANDS LÄN</t>
        </is>
      </c>
      <c r="G467" t="inlineStr">
        <is>
          <t>HALMSTAD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46265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46265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46265</v>
      </c>
      <c r="F470" t="inlineStr">
        <is>
          <t>HALLANDS LÄN</t>
        </is>
      </c>
      <c r="G470" t="inlineStr">
        <is>
          <t>HALMSTAD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46265</v>
      </c>
      <c r="F471" t="inlineStr">
        <is>
          <t>HALLANDS LÄN</t>
        </is>
      </c>
      <c r="G471" t="inlineStr">
        <is>
          <t>HALMSTAD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46265</v>
      </c>
      <c r="F472" t="inlineStr">
        <is>
          <t>HALLANDS LÄN</t>
        </is>
      </c>
      <c r="G472" t="inlineStr">
        <is>
          <t>HALMSTAD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46265</v>
      </c>
      <c r="F473" t="inlineStr">
        <is>
          <t>HALLANDS LÄN</t>
        </is>
      </c>
      <c r="G473" t="inlineStr">
        <is>
          <t>HALMSTAD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46265</v>
      </c>
      <c r="F474" t="inlineStr">
        <is>
          <t>HALLANDS LÄN</t>
        </is>
      </c>
      <c r="G474" t="inlineStr">
        <is>
          <t>HALMSTAD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46265</v>
      </c>
      <c r="F475" t="inlineStr">
        <is>
          <t>HALLANDS LÄN</t>
        </is>
      </c>
      <c r="G475" t="inlineStr">
        <is>
          <t>HALMSTAD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46265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46173</v>
      </c>
      <c r="E477" s="1" t="n">
        <v>46265</v>
      </c>
      <c r="F477" t="inlineStr">
        <is>
          <t>HALLANDS LÄN</t>
        </is>
      </c>
      <c r="G477" t="inlineStr">
        <is>
          <t>HALMSTAD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46173</v>
      </c>
      <c r="E478" s="1" t="n">
        <v>46265</v>
      </c>
      <c r="F478" t="inlineStr">
        <is>
          <t>HALLANDS LÄN</t>
        </is>
      </c>
      <c r="G478" t="inlineStr">
        <is>
          <t>HALMSTAD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46265</v>
      </c>
      <c r="F479" t="inlineStr">
        <is>
          <t>HALLANDS LÄN</t>
        </is>
      </c>
      <c r="G479" t="inlineStr">
        <is>
          <t>HALMSTAD</t>
        </is>
      </c>
      <c r="I479" t="n">
        <v>17.8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25886-2026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46265</v>
      </c>
      <c r="F480" t="inlineStr">
        <is>
          <t>HALLANDS LÄN</t>
        </is>
      </c>
      <c r="G480" t="inlineStr">
        <is>
          <t>HALMSTAD</t>
        </is>
      </c>
      <c r="I480" t="n">
        <v>12.6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46265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46265</v>
      </c>
      <c r="F482" t="inlineStr">
        <is>
          <t>HALLANDS LÄN</t>
        </is>
      </c>
      <c r="G482" t="inlineStr">
        <is>
          <t>HALMSTAD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46265</v>
      </c>
      <c r="F483" t="inlineStr">
        <is>
          <t>HALLANDS LÄN</t>
        </is>
      </c>
      <c r="G483" t="inlineStr">
        <is>
          <t>HALMSTAD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46265</v>
      </c>
      <c r="F484" t="inlineStr">
        <is>
          <t>HALLANDS LÄN</t>
        </is>
      </c>
      <c r="G484" t="inlineStr">
        <is>
          <t>HALMSTAD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46265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46265</v>
      </c>
      <c r="F486" t="inlineStr">
        <is>
          <t>HALLANDS LÄN</t>
        </is>
      </c>
      <c r="G486" t="inlineStr">
        <is>
          <t>HALMSTAD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46265</v>
      </c>
      <c r="F487" t="inlineStr">
        <is>
          <t>HALLANDS LÄN</t>
        </is>
      </c>
      <c r="G487" t="inlineStr">
        <is>
          <t>HALMSTAD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46265</v>
      </c>
      <c r="F488" t="inlineStr">
        <is>
          <t>HALLANDS LÄN</t>
        </is>
      </c>
      <c r="G488" t="inlineStr">
        <is>
          <t>HALMSTAD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46265</v>
      </c>
      <c r="F489" t="inlineStr">
        <is>
          <t>HALLANDS LÄN</t>
        </is>
      </c>
      <c r="G489" t="inlineStr">
        <is>
          <t>HALMSTAD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46265</v>
      </c>
      <c r="F490" t="inlineStr">
        <is>
          <t>HALLANDS LÄN</t>
        </is>
      </c>
      <c r="G490" t="inlineStr">
        <is>
          <t>HALMSTAD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46265</v>
      </c>
      <c r="F491" t="inlineStr">
        <is>
          <t>HALLANDS LÄN</t>
        </is>
      </c>
      <c r="G491" t="inlineStr">
        <is>
          <t>HALMSTAD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46265</v>
      </c>
      <c r="F492" t="inlineStr">
        <is>
          <t>HALLANDS LÄN</t>
        </is>
      </c>
      <c r="G492" t="inlineStr">
        <is>
          <t>HALMSTAD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46265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46265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46265</v>
      </c>
      <c r="F495" t="inlineStr">
        <is>
          <t>HALLANDS LÄN</t>
        </is>
      </c>
      <c r="G495" t="inlineStr">
        <is>
          <t>HALMSTAD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46265</v>
      </c>
      <c r="F496" t="inlineStr">
        <is>
          <t>HALLANDS LÄN</t>
        </is>
      </c>
      <c r="G496" t="inlineStr">
        <is>
          <t>HALMSTAD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46265</v>
      </c>
      <c r="F497" t="inlineStr">
        <is>
          <t>HALLANDS LÄN</t>
        </is>
      </c>
      <c r="G497" t="inlineStr">
        <is>
          <t>HALMSTAD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46265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46265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46265</v>
      </c>
      <c r="F500" t="inlineStr">
        <is>
          <t>HALLANDS LÄN</t>
        </is>
      </c>
      <c r="G500" t="inlineStr">
        <is>
          <t>HALMSTAD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46265</v>
      </c>
      <c r="F501" t="inlineStr">
        <is>
          <t>HALLANDS LÄN</t>
        </is>
      </c>
      <c r="G501" t="inlineStr">
        <is>
          <t>HALMSTAD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30028-2026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46265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46265</v>
      </c>
      <c r="F503" t="inlineStr">
        <is>
          <t>HALLANDS LÄN</t>
        </is>
      </c>
      <c r="G503" t="inlineStr">
        <is>
          <t>HALMSTAD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46265</v>
      </c>
      <c r="F504" t="inlineStr">
        <is>
          <t>HALLANDS LÄN</t>
        </is>
      </c>
      <c r="G504" t="inlineStr">
        <is>
          <t>HALMSTAD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19304-2023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46265</v>
      </c>
      <c r="F505" t="inlineStr">
        <is>
          <t>HALLANDS LÄN</t>
        </is>
      </c>
      <c r="G505" t="inlineStr">
        <is>
          <t>HALMSTAD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46265</v>
      </c>
      <c r="F506" t="inlineStr">
        <is>
          <t>HALLANDS LÄN</t>
        </is>
      </c>
      <c r="G506" t="inlineStr">
        <is>
          <t>HALMSTAD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46265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46265</v>
      </c>
      <c r="F508" t="inlineStr">
        <is>
          <t>HALLANDS LÄN</t>
        </is>
      </c>
      <c r="G508" t="inlineStr">
        <is>
          <t>HALMSTAD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46265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46265</v>
      </c>
      <c r="F510" t="inlineStr">
        <is>
          <t>HALLANDS LÄN</t>
        </is>
      </c>
      <c r="G510" t="inlineStr">
        <is>
          <t>HALMSTAD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46265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46265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46210</v>
      </c>
      <c r="E513" s="1" t="n">
        <v>46265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46265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46265</v>
      </c>
      <c r="F515" t="inlineStr">
        <is>
          <t>HALLANDS LÄN</t>
        </is>
      </c>
      <c r="G515" t="inlineStr">
        <is>
          <t>HALMSTAD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46265</v>
      </c>
      <c r="F516" t="inlineStr">
        <is>
          <t>HALLANDS LÄN</t>
        </is>
      </c>
      <c r="G516" t="inlineStr">
        <is>
          <t>HALMSTAD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46265</v>
      </c>
      <c r="F517" t="inlineStr">
        <is>
          <t>HALLANDS LÄN</t>
        </is>
      </c>
      <c r="G517" t="inlineStr">
        <is>
          <t>HALMSTAD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34625-2026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46254</v>
      </c>
      <c r="E518" s="1" t="n">
        <v>46265</v>
      </c>
      <c r="F518" t="inlineStr">
        <is>
          <t>HALLANDS LÄN</t>
        </is>
      </c>
      <c r="G518" t="inlineStr">
        <is>
          <t>HALMSTAD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46265</v>
      </c>
      <c r="F519" t="inlineStr">
        <is>
          <t>HALLANDS LÄN</t>
        </is>
      </c>
      <c r="G519" t="inlineStr">
        <is>
          <t>HALMSTAD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35020-2026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46259</v>
      </c>
      <c r="E520" s="1" t="n">
        <v>46265</v>
      </c>
      <c r="F520" t="inlineStr">
        <is>
          <t>HALLANDS LÄN</t>
        </is>
      </c>
      <c r="G520" t="inlineStr">
        <is>
          <t>HALMSTAD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35185-2026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46260</v>
      </c>
      <c r="E521" s="1" t="n">
        <v>46265</v>
      </c>
      <c r="F521" t="inlineStr">
        <is>
          <t>HALLANDS LÄN</t>
        </is>
      </c>
      <c r="G521" t="inlineStr">
        <is>
          <t>HALMSTAD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46265</v>
      </c>
      <c r="F522" t="inlineStr">
        <is>
          <t>HALLANDS LÄN</t>
        </is>
      </c>
      <c r="G522" t="inlineStr">
        <is>
          <t>HALMSTAD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46265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46265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46265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4158-2022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44767</v>
      </c>
      <c r="E526" s="1" t="n">
        <v>46265</v>
      </c>
      <c r="F526" t="inlineStr">
        <is>
          <t>HALLANDS LÄN</t>
        </is>
      </c>
      <c r="G526" t="inlineStr">
        <is>
          <t>HALMSTAD</t>
        </is>
      </c>
      <c r="H526" t="inlineStr">
        <is>
          <t>Kommuner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2905-2023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45171</v>
      </c>
      <c r="E527" s="1" t="n">
        <v>46265</v>
      </c>
      <c r="F527" t="inlineStr">
        <is>
          <t>HALLANDS LÄN</t>
        </is>
      </c>
      <c r="G527" t="inlineStr">
        <is>
          <t>HALMSTAD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7296-2021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44469</v>
      </c>
      <c r="E528" s="1" t="n">
        <v>46265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108-2025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45672</v>
      </c>
      <c r="E529" s="1" t="n">
        <v>46265</v>
      </c>
      <c r="F529" t="inlineStr">
        <is>
          <t>HALLANDS LÄN</t>
        </is>
      </c>
      <c r="G529" t="inlineStr">
        <is>
          <t>HALMSTAD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46265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46265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46265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46265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46265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46265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2118-2026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46244</v>
      </c>
      <c r="E536" s="1" t="n">
        <v>46265</v>
      </c>
      <c r="F536" t="inlineStr">
        <is>
          <t>HALLANDS LÄN</t>
        </is>
      </c>
      <c r="G536" t="inlineStr">
        <is>
          <t>HALMSTAD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>
      <c r="A537" t="inlineStr">
        <is>
          <t>S 2016-2026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46212</v>
      </c>
      <c r="E537" s="1" t="n">
        <v>46265</v>
      </c>
      <c r="F537" t="inlineStr">
        <is>
          <t>HALLANDS LÄN</t>
        </is>
      </c>
      <c r="G537" t="inlineStr">
        <is>
          <t>HALMSTAD</t>
        </is>
      </c>
      <c r="I537" t="n">
        <v>18.8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2026-08-31T09:58:53Z</dcterms:created>
  <dcterms:modified xmlns:dcterms="http://purl.org/dc/terms/" xmlns:xsi="http://www.w3.org/2001/XMLSchema-instance" xsi:type="dcterms:W3CDTF">2026-08-31T09:58:54Z</dcterms:modified>
</cp:coreProperties>
</file>
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46282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46282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46282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46282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46282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46282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46282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46282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46282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46282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46282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46282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46282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46282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46282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46282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46282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46282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46282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46282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46282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46282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46282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46282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46282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46282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46282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46282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46282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46282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46282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46282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46282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46282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46282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46282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46282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46282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5240-2025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46282</v>
      </c>
      <c r="F54" t="inlineStr">
        <is>
          <t>HALLANDS LÄN</t>
        </is>
      </c>
      <c r="G54" t="inlineStr">
        <is>
          <t>HALMSTAD</t>
        </is>
      </c>
      <c r="I54" t="n">
        <v>8.300000000000001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Mussellav</t>
        </is>
      </c>
      <c r="W54">
        <f>HYPERLINK("https://klasma.github.io/Logging_1380/artfynd/A 5240-2025 artfynd.xlsx", "A 5240-2025")</f>
        <v/>
      </c>
      <c r="X54">
        <f>HYPERLINK("https://klasma.github.io/Logging_1380/kartor/A 5240-2025 karta.png", "A 5240-2025")</f>
        <v/>
      </c>
      <c r="Y54">
        <f>HYPERLINK("https://klasma.github.io/Logging_1380/kartor_geotiff/A 5240-2025 georefererad karta.tif", "A 5240-2025")</f>
        <v/>
      </c>
      <c r="AA54">
        <f>HYPERLINK("https://klasma.github.io/Logging_1380/klagomål/A 5240-2025 FSC-klagomål.docx", "A 5240-2025")</f>
        <v/>
      </c>
      <c r="AB54">
        <f>HYPERLINK("https://klasma.github.io/Logging_1380/klagomålsmail/A 5240-2025 FSC-klagomål mail.docx", "A 5240-2025")</f>
        <v/>
      </c>
      <c r="AC54">
        <f>HYPERLINK("https://klasma.github.io/Logging_1380/tillsyn/A 5240-2025 tillsynsbegäran.docx", "A 5240-2025")</f>
        <v/>
      </c>
      <c r="AD54">
        <f>HYPERLINK("https://klasma.github.io/Logging_1380/tillsynsmail/A 5240-2025 tillsynsbegäran mail.docx", "A 5240-2025")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46282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46282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19588-2023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46282</v>
      </c>
      <c r="F57" t="inlineStr">
        <is>
          <t>HALLANDS LÄN</t>
        </is>
      </c>
      <c r="G57" t="inlineStr">
        <is>
          <t>HALMSTAD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Ljungögontröst</t>
        </is>
      </c>
      <c r="W57">
        <f>HYPERLINK("https://klasma.github.io/Logging_1380/artfynd/A 19588-2023 artfynd.xlsx", "A 19588-2023")</f>
        <v/>
      </c>
      <c r="X57">
        <f>HYPERLINK("https://klasma.github.io/Logging_1380/kartor/A 19588-2023 karta.png", "A 19588-2023")</f>
        <v/>
      </c>
      <c r="Y57">
        <f>HYPERLINK("https://klasma.github.io/Logging_1380/kartor_geotiff/A 19588-2023 georefererad karta.tif", "A 19588-2023")</f>
        <v/>
      </c>
      <c r="AA57">
        <f>HYPERLINK("https://klasma.github.io/Logging_1380/klagomål/A 19588-2023 FSC-klagomål.docx", "A 19588-2023")</f>
        <v/>
      </c>
      <c r="AB57">
        <f>HYPERLINK("https://klasma.github.io/Logging_1380/klagomålsmail/A 19588-2023 FSC-klagomål mail.docx", "A 19588-2023")</f>
        <v/>
      </c>
      <c r="AC57">
        <f>HYPERLINK("https://klasma.github.io/Logging_1380/tillsyn/A 19588-2023 tillsynsbegäran.docx", "A 19588-2023")</f>
        <v/>
      </c>
      <c r="AD57">
        <f>HYPERLINK("https://klasma.github.io/Logging_1380/tillsynsmail/A 19588-2023 tillsynsbegäran mail.docx", "A 19588-2023")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46282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46282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38318-2025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45883</v>
      </c>
      <c r="E60" s="1" t="n">
        <v>46282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Kungsfågel</t>
        </is>
      </c>
      <c r="W60">
        <f>HYPERLINK("https://klasma.github.io/Logging_1380/artfynd/A 38318-2025 artfynd.xlsx", "A 38318-2025")</f>
        <v/>
      </c>
      <c r="X60">
        <f>HYPERLINK("https://klasma.github.io/Logging_1380/kartor/A 38318-2025 karta.png", "A 38318-2025")</f>
        <v/>
      </c>
      <c r="Y60">
        <f>HYPERLINK("https://klasma.github.io/Logging_1380/kartor_geotiff/A 38318-2025 georefererad karta.tif", "A 38318-2025")</f>
        <v/>
      </c>
      <c r="AA60">
        <f>HYPERLINK("https://klasma.github.io/Logging_1380/klagomål/A 38318-2025 FSC-klagomål.docx", "A 38318-2025")</f>
        <v/>
      </c>
      <c r="AB60">
        <f>HYPERLINK("https://klasma.github.io/Logging_1380/klagomålsmail/A 38318-2025 FSC-klagomål mail.docx", "A 38318-2025")</f>
        <v/>
      </c>
      <c r="AC60">
        <f>HYPERLINK("https://klasma.github.io/Logging_1380/tillsyn/A 38318-2025 tillsynsbegäran.docx", "A 38318-2025")</f>
        <v/>
      </c>
      <c r="AD60">
        <f>HYPERLINK("https://klasma.github.io/Logging_1380/tillsynsmail/A 38318-2025 tillsynsbegäran mail.docx", "A 38318-2025")</f>
        <v/>
      </c>
    </row>
    <row r="61" ht="15" customHeight="1">
      <c r="A61" t="inlineStr">
        <is>
          <t>A 6987-2026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46282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Dvärgpipistrell</t>
        </is>
      </c>
      <c r="W61">
        <f>HYPERLINK("https://klasma.github.io/Logging_1380/artfynd/A 6987-2026 artfynd.xlsx", "A 6987-2026")</f>
        <v/>
      </c>
      <c r="X61">
        <f>HYPERLINK("https://klasma.github.io/Logging_1380/kartor/A 6987-2026 karta.png", "A 6987-2026")</f>
        <v/>
      </c>
      <c r="Y61">
        <f>HYPERLINK("https://klasma.github.io/Logging_1380/kartor_geotiff/A 6987-2026 georefererad karta.tif", "A 6987-2026")</f>
        <v/>
      </c>
      <c r="AA61">
        <f>HYPERLINK("https://klasma.github.io/Logging_1380/klagomål/A 6987-2026 FSC-klagomål.docx", "A 6987-2026")</f>
        <v/>
      </c>
      <c r="AB61">
        <f>HYPERLINK("https://klasma.github.io/Logging_1380/klagomålsmail/A 6987-2026 FSC-klagomål mail.docx", "A 6987-2026")</f>
        <v/>
      </c>
      <c r="AC61">
        <f>HYPERLINK("https://klasma.github.io/Logging_1380/tillsyn/A 6987-2026 tillsynsbegäran.docx", "A 6987-2026")</f>
        <v/>
      </c>
      <c r="AD61">
        <f>HYPERLINK("https://klasma.github.io/Logging_1380/tillsynsmail/A 6987-2026 tillsynsbegäran mail.docx", "A 6987-2026")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46282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46282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46282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46282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46282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46282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46282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46282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46282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46282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46282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46282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HYPERLINK("https://klasma.github.io/Logging_1380/artfynd/A 25382-2026 artfynd.xlsx", "A 25382-2026")</f>
        <v/>
      </c>
      <c r="X73">
        <f>HYPERLINK("https://klasma.github.io/Logging_1380/kartor/A 25382-2026 karta.png", "A 25382-2026")</f>
        <v/>
      </c>
      <c r="Y73">
        <f>HYPERLINK("https://klasma.github.io/Logging_1380/kartor_geotiff/A 25382-2026 georefererad karta.tif", "A 25382-2026")</f>
        <v/>
      </c>
      <c r="AA73">
        <f>HYPERLINK("https://klasma.github.io/Logging_1380/klagomål/A 25382-2026 FSC-klagomål.docx", "A 25382-2026")</f>
        <v/>
      </c>
      <c r="AB73">
        <f>HYPERLINK("https://klasma.github.io/Logging_1380/klagomålsmail/A 25382-2026 FSC-klagomål mail.docx", "A 25382-2026")</f>
        <v/>
      </c>
      <c r="AC73">
        <f>HYPERLINK("https://klasma.github.io/Logging_1380/tillsyn/A 25382-2026 tillsynsbegäran.docx", "A 25382-2026")</f>
        <v/>
      </c>
      <c r="AD73">
        <f>HYPERLINK("https://klasma.github.io/Logging_1380/tillsynsmail/A 25382-2026 tillsynsbegäran mail.docx", "A 25382-2026")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46282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46282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46282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46282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46282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32753-2023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45122</v>
      </c>
      <c r="E79" s="1" t="n">
        <v>46282</v>
      </c>
      <c r="F79" t="inlineStr">
        <is>
          <t>HALLANDS LÄN</t>
        </is>
      </c>
      <c r="G79" t="inlineStr">
        <is>
          <t>HALMSTAD</t>
        </is>
      </c>
      <c r="I79" t="n">
        <v>2.7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Entita</t>
        </is>
      </c>
      <c r="W79">
        <f>HYPERLINK("https://klasma.github.io/Logging_1380/artfynd/A 32753-2023 artfynd.xlsx", "A 32753-2023")</f>
        <v/>
      </c>
      <c r="X79">
        <f>HYPERLINK("https://klasma.github.io/Logging_1380/kartor/A 32753-2023 karta.png", "A 32753-2023")</f>
        <v/>
      </c>
      <c r="Y79">
        <f>HYPERLINK("https://klasma.github.io/Logging_1380/kartor_geotiff/A 32753-2023 georefererad karta.tif", "A 32753-2023")</f>
        <v/>
      </c>
      <c r="AA79">
        <f>HYPERLINK("https://klasma.github.io/Logging_1380/klagomål/A 32753-2023 FSC-klagomål.docx", "A 32753-2023")</f>
        <v/>
      </c>
      <c r="AB79">
        <f>HYPERLINK("https://klasma.github.io/Logging_1380/klagomålsmail/A 32753-2023 FSC-klagomål mail.docx", "A 32753-2023")</f>
        <v/>
      </c>
      <c r="AC79">
        <f>HYPERLINK("https://klasma.github.io/Logging_1380/tillsyn/A 32753-2023 tillsynsbegäran.docx", "A 32753-2023")</f>
        <v/>
      </c>
      <c r="AD79">
        <f>HYPERLINK("https://klasma.github.io/Logging_1380/tillsynsmail/A 32753-2023 tillsynsbegäran mail.docx", "A 32753-2023")</f>
        <v/>
      </c>
      <c r="AE79">
        <f>HYPERLINK("https://klasma.github.io/Logging_1380/fåglar/A 32753-2023 prioriterade fågelarter.docx", "A 32753-2023")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46282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46282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46282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46282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46282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46282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46282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46282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46282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46282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46282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46282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46282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46282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46282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46282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46282</v>
      </c>
      <c r="F96" t="inlineStr">
        <is>
          <t>HALLANDS LÄN</t>
        </is>
      </c>
      <c r="G96" t="inlineStr">
        <is>
          <t>HALMSTAD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70834-2021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46282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46282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46282</v>
      </c>
      <c r="F99" t="inlineStr">
        <is>
          <t>HALLANDS LÄN</t>
        </is>
      </c>
      <c r="G99" t="inlineStr">
        <is>
          <t>HALMSTAD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46282</v>
      </c>
      <c r="F100" t="inlineStr">
        <is>
          <t>HALLANDS LÄN</t>
        </is>
      </c>
      <c r="G100" t="inlineStr">
        <is>
          <t>HALMSTAD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54838-2021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46282</v>
      </c>
      <c r="F101" t="inlineStr">
        <is>
          <t>HALLANDS LÄN</t>
        </is>
      </c>
      <c r="G101" t="inlineStr">
        <is>
          <t>HALMSTAD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46282</v>
      </c>
      <c r="F102" t="inlineStr">
        <is>
          <t>HALLANDS LÄN</t>
        </is>
      </c>
      <c r="G102" t="inlineStr">
        <is>
          <t>HALMSTAD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46282</v>
      </c>
      <c r="F103" t="inlineStr">
        <is>
          <t>HALLANDS LÄN</t>
        </is>
      </c>
      <c r="G103" t="inlineStr">
        <is>
          <t>HALMSTAD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54111-2021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46282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44677</v>
      </c>
      <c r="E105" s="1" t="n">
        <v>46282</v>
      </c>
      <c r="F105" t="inlineStr">
        <is>
          <t>HALLANDS LÄN</t>
        </is>
      </c>
      <c r="G105" t="inlineStr">
        <is>
          <t>HALMSTAD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46282</v>
      </c>
      <c r="F106" t="inlineStr">
        <is>
          <t>HALLANDS LÄN</t>
        </is>
      </c>
      <c r="G106" t="inlineStr">
        <is>
          <t>HALMSTAD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46282</v>
      </c>
      <c r="F107" t="inlineStr">
        <is>
          <t>HALLANDS LÄN</t>
        </is>
      </c>
      <c r="G107" t="inlineStr">
        <is>
          <t>HALMSTAD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70724-2021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46282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44579</v>
      </c>
      <c r="E109" s="1" t="n">
        <v>46282</v>
      </c>
      <c r="F109" t="inlineStr">
        <is>
          <t>HALLANDS LÄN</t>
        </is>
      </c>
      <c r="G109" t="inlineStr">
        <is>
          <t>HALMSTAD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46282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46282</v>
      </c>
      <c r="F111" t="inlineStr">
        <is>
          <t>HALLANDS LÄN</t>
        </is>
      </c>
      <c r="G111" t="inlineStr">
        <is>
          <t>HALMSTAD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46282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72139-2021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46282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46282</v>
      </c>
      <c r="F114" t="inlineStr">
        <is>
          <t>HALLANDS LÄN</t>
        </is>
      </c>
      <c r="G114" t="inlineStr">
        <is>
          <t>HALMSTAD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53763-2022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44875</v>
      </c>
      <c r="E115" s="1" t="n">
        <v>46282</v>
      </c>
      <c r="F115" t="inlineStr">
        <is>
          <t>HALLANDS LÄN</t>
        </is>
      </c>
      <c r="G115" t="inlineStr">
        <is>
          <t>HALMSTAD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24103-2023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45079</v>
      </c>
      <c r="E116" s="1" t="n">
        <v>46282</v>
      </c>
      <c r="F116" t="inlineStr">
        <is>
          <t>HALLANDS LÄN</t>
        </is>
      </c>
      <c r="G116" t="inlineStr">
        <is>
          <t>HALMSTAD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9839-2024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46282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45630</v>
      </c>
      <c r="E118" s="1" t="n">
        <v>46282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46282</v>
      </c>
      <c r="F119" t="inlineStr">
        <is>
          <t>HALLANDS LÄN</t>
        </is>
      </c>
      <c r="G119" t="inlineStr">
        <is>
          <t>HALMSTAD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45183</v>
      </c>
      <c r="E120" s="1" t="n">
        <v>46282</v>
      </c>
      <c r="F120" t="inlineStr">
        <is>
          <t>HALLANDS LÄN</t>
        </is>
      </c>
      <c r="G120" t="inlineStr">
        <is>
          <t>HALMSTAD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45358</v>
      </c>
      <c r="E121" s="1" t="n">
        <v>46282</v>
      </c>
      <c r="F121" t="inlineStr">
        <is>
          <t>HALLANDS LÄN</t>
        </is>
      </c>
      <c r="G121" t="inlineStr">
        <is>
          <t>HALMSTAD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46282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46282</v>
      </c>
      <c r="F123" t="inlineStr">
        <is>
          <t>HALLANDS LÄN</t>
        </is>
      </c>
      <c r="G123" t="inlineStr">
        <is>
          <t>HALMSTAD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61853-2023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45265</v>
      </c>
      <c r="E124" s="1" t="n">
        <v>46282</v>
      </c>
      <c r="F124" t="inlineStr">
        <is>
          <t>HALLANDS LÄN</t>
        </is>
      </c>
      <c r="G124" t="inlineStr">
        <is>
          <t>HALMSTAD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45275</v>
      </c>
      <c r="E125" s="1" t="n">
        <v>46282</v>
      </c>
      <c r="F125" t="inlineStr">
        <is>
          <t>HALLANDS LÄN</t>
        </is>
      </c>
      <c r="G125" t="inlineStr">
        <is>
          <t>HALMSTAD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51302-2021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46282</v>
      </c>
      <c r="F126" t="inlineStr">
        <is>
          <t>HALLANDS LÄN</t>
        </is>
      </c>
      <c r="G126" t="inlineStr">
        <is>
          <t>HALMSTAD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46282</v>
      </c>
      <c r="F127" t="inlineStr">
        <is>
          <t>HALLANDS LÄN</t>
        </is>
      </c>
      <c r="G127" t="inlineStr">
        <is>
          <t>HALMSTAD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46282</v>
      </c>
      <c r="F128" t="inlineStr">
        <is>
          <t>HALLANDS LÄN</t>
        </is>
      </c>
      <c r="G128" t="inlineStr">
        <is>
          <t>HALMSTAD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57037-2021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46282</v>
      </c>
      <c r="F129" t="inlineStr">
        <is>
          <t>HALLANDS LÄN</t>
        </is>
      </c>
      <c r="G129" t="inlineStr">
        <is>
          <t>HALMSTAD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46282</v>
      </c>
      <c r="F130" t="inlineStr">
        <is>
          <t>HALLANDS LÄN</t>
        </is>
      </c>
      <c r="G130" t="inlineStr">
        <is>
          <t>HALMSTAD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46282</v>
      </c>
      <c r="F131" t="inlineStr">
        <is>
          <t>HALLANDS LÄN</t>
        </is>
      </c>
      <c r="G131" t="inlineStr">
        <is>
          <t>HALMSTAD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46282</v>
      </c>
      <c r="F132" t="inlineStr">
        <is>
          <t>HALLANDS LÄN</t>
        </is>
      </c>
      <c r="G132" t="inlineStr">
        <is>
          <t>HALMSTAD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46282</v>
      </c>
      <c r="F133" t="inlineStr">
        <is>
          <t>HALLANDS LÄN</t>
        </is>
      </c>
      <c r="G133" t="inlineStr">
        <is>
          <t>HALMSTAD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46282</v>
      </c>
      <c r="F134" t="inlineStr">
        <is>
          <t>HALLANDS LÄN</t>
        </is>
      </c>
      <c r="G134" t="inlineStr">
        <is>
          <t>HALMSTAD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46282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46282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45660</v>
      </c>
      <c r="E137" s="1" t="n">
        <v>46282</v>
      </c>
      <c r="F137" t="inlineStr">
        <is>
          <t>HALLANDS LÄN</t>
        </is>
      </c>
      <c r="G137" t="inlineStr">
        <is>
          <t>HALMSTAD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46282</v>
      </c>
      <c r="F138" t="inlineStr">
        <is>
          <t>HALLANDS LÄN</t>
        </is>
      </c>
      <c r="G138" t="inlineStr">
        <is>
          <t>HALMSTAD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46282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46282</v>
      </c>
      <c r="F140" t="inlineStr">
        <is>
          <t>HALLANDS LÄN</t>
        </is>
      </c>
      <c r="G140" t="inlineStr">
        <is>
          <t>HALMSTAD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45714</v>
      </c>
      <c r="E141" s="1" t="n">
        <v>46282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46282</v>
      </c>
      <c r="F142" t="inlineStr">
        <is>
          <t>HALLANDS LÄN</t>
        </is>
      </c>
      <c r="G142" t="inlineStr">
        <is>
          <t>HALMSTAD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45359</v>
      </c>
      <c r="E143" s="1" t="n">
        <v>46282</v>
      </c>
      <c r="F143" t="inlineStr">
        <is>
          <t>HALLANDS LÄN</t>
        </is>
      </c>
      <c r="G143" t="inlineStr">
        <is>
          <t>HALMSTAD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46282</v>
      </c>
      <c r="F144" t="inlineStr">
        <is>
          <t>HALLANDS LÄN</t>
        </is>
      </c>
      <c r="G144" t="inlineStr">
        <is>
          <t>HALMSTAD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46282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45817</v>
      </c>
      <c r="E146" s="1" t="n">
        <v>46282</v>
      </c>
      <c r="F146" t="inlineStr">
        <is>
          <t>HALLANDS LÄN</t>
        </is>
      </c>
      <c r="G146" t="inlineStr">
        <is>
          <t>HALMSTAD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45168</v>
      </c>
      <c r="E147" s="1" t="n">
        <v>46282</v>
      </c>
      <c r="F147" t="inlineStr">
        <is>
          <t>HALLANDS LÄN</t>
        </is>
      </c>
      <c r="G147" t="inlineStr">
        <is>
          <t>HALMSTAD</t>
        </is>
      </c>
      <c r="H147" t="inlineStr">
        <is>
          <t>Kommuner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46282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46282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46282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46282</v>
      </c>
      <c r="F151" t="inlineStr">
        <is>
          <t>HALLANDS LÄN</t>
        </is>
      </c>
      <c r="G151" t="inlineStr">
        <is>
          <t>HALMSTAD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44691</v>
      </c>
      <c r="E152" s="1" t="n">
        <v>46282</v>
      </c>
      <c r="F152" t="inlineStr">
        <is>
          <t>HALLANDS LÄN</t>
        </is>
      </c>
      <c r="G152" t="inlineStr">
        <is>
          <t>HALMSTAD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46282</v>
      </c>
      <c r="F153" t="inlineStr">
        <is>
          <t>HALLANDS LÄN</t>
        </is>
      </c>
      <c r="G153" t="inlineStr">
        <is>
          <t>HALMSTAD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45740</v>
      </c>
      <c r="E154" s="1" t="n">
        <v>46282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44823</v>
      </c>
      <c r="E155" s="1" t="n">
        <v>46282</v>
      </c>
      <c r="F155" t="inlineStr">
        <is>
          <t>HALLANDS LÄN</t>
        </is>
      </c>
      <c r="G155" t="inlineStr">
        <is>
          <t>HALMSTAD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46282</v>
      </c>
      <c r="F156" t="inlineStr">
        <is>
          <t>HALLANDS LÄN</t>
        </is>
      </c>
      <c r="G156" t="inlineStr">
        <is>
          <t>HALMSTAD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46282</v>
      </c>
      <c r="F157" t="inlineStr">
        <is>
          <t>HALLANDS LÄN</t>
        </is>
      </c>
      <c r="G157" t="inlineStr">
        <is>
          <t>HALMSTAD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46282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46282</v>
      </c>
      <c r="F159" t="inlineStr">
        <is>
          <t>HALLANDS LÄN</t>
        </is>
      </c>
      <c r="G159" t="inlineStr">
        <is>
          <t>HALMSTAD</t>
        </is>
      </c>
      <c r="H159" t="inlineStr">
        <is>
          <t>Bergvik skog väst AB</t>
        </is>
      </c>
      <c r="I159" t="n">
        <v>11.2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46282</v>
      </c>
      <c r="F160" t="inlineStr">
        <is>
          <t>HALLANDS LÄN</t>
        </is>
      </c>
      <c r="G160" t="inlineStr">
        <is>
          <t>HALMSTAD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46282</v>
      </c>
      <c r="F161" t="inlineStr">
        <is>
          <t>HALLANDS LÄN</t>
        </is>
      </c>
      <c r="G161" t="inlineStr">
        <is>
          <t>HALMSTAD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46282</v>
      </c>
      <c r="F162" t="inlineStr">
        <is>
          <t>HALLANDS LÄN</t>
        </is>
      </c>
      <c r="G162" t="inlineStr">
        <is>
          <t>HALMSTAD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46282</v>
      </c>
      <c r="F163" t="inlineStr">
        <is>
          <t>HALLANDS LÄN</t>
        </is>
      </c>
      <c r="G163" t="inlineStr">
        <is>
          <t>HALMSTAD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46282</v>
      </c>
      <c r="F164" t="inlineStr">
        <is>
          <t>HALLANDS LÄN</t>
        </is>
      </c>
      <c r="G164" t="inlineStr">
        <is>
          <t>HALMSTAD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46282</v>
      </c>
      <c r="F165" t="inlineStr">
        <is>
          <t>HALLANDS LÄN</t>
        </is>
      </c>
      <c r="G165" t="inlineStr">
        <is>
          <t>HALMSTAD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46282</v>
      </c>
      <c r="F166" t="inlineStr">
        <is>
          <t>HALLANDS LÄN</t>
        </is>
      </c>
      <c r="G166" t="inlineStr">
        <is>
          <t>HALMSTAD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44687</v>
      </c>
      <c r="E167" s="1" t="n">
        <v>46282</v>
      </c>
      <c r="F167" t="inlineStr">
        <is>
          <t>HALLANDS LÄN</t>
        </is>
      </c>
      <c r="G167" t="inlineStr">
        <is>
          <t>HALMSTAD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46282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46282</v>
      </c>
      <c r="F169" t="inlineStr">
        <is>
          <t>HALLANDS LÄN</t>
        </is>
      </c>
      <c r="G169" t="inlineStr">
        <is>
          <t>HALMSTAD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46282</v>
      </c>
      <c r="F170" t="inlineStr">
        <is>
          <t>HALLANDS LÄN</t>
        </is>
      </c>
      <c r="G170" t="inlineStr">
        <is>
          <t>HALMSTAD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46282</v>
      </c>
      <c r="F171" t="inlineStr">
        <is>
          <t>HALLANDS LÄN</t>
        </is>
      </c>
      <c r="G171" t="inlineStr">
        <is>
          <t>HALMSTAD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46282</v>
      </c>
      <c r="F172" t="inlineStr">
        <is>
          <t>HALLANDS LÄN</t>
        </is>
      </c>
      <c r="G172" t="inlineStr">
        <is>
          <t>HALMSTAD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46282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46282</v>
      </c>
      <c r="F174" t="inlineStr">
        <is>
          <t>HALLANDS LÄN</t>
        </is>
      </c>
      <c r="G174" t="inlineStr">
        <is>
          <t>HALMSTAD</t>
        </is>
      </c>
      <c r="H174" t="inlineStr">
        <is>
          <t>Övriga statliga verk och myndigheter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46282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46282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46282</v>
      </c>
      <c r="F177" t="inlineStr">
        <is>
          <t>HALLANDS LÄN</t>
        </is>
      </c>
      <c r="G177" t="inlineStr">
        <is>
          <t>HALMSTAD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45793</v>
      </c>
      <c r="E178" s="1" t="n">
        <v>46282</v>
      </c>
      <c r="F178" t="inlineStr">
        <is>
          <t>HALLANDS LÄN</t>
        </is>
      </c>
      <c r="G178" t="inlineStr">
        <is>
          <t>HALMSTAD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46282</v>
      </c>
      <c r="F179" t="inlineStr">
        <is>
          <t>HALLANDS LÄN</t>
        </is>
      </c>
      <c r="G179" t="inlineStr">
        <is>
          <t>HALMSTAD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60831-2023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45260</v>
      </c>
      <c r="E180" s="1" t="n">
        <v>46282</v>
      </c>
      <c r="F180" t="inlineStr">
        <is>
          <t>HALLANDS LÄN</t>
        </is>
      </c>
      <c r="G180" t="inlineStr">
        <is>
          <t>HALMSTAD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46282</v>
      </c>
      <c r="F181" t="inlineStr">
        <is>
          <t>HALLANDS LÄN</t>
        </is>
      </c>
      <c r="G181" t="inlineStr">
        <is>
          <t>HALMSTAD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46282</v>
      </c>
      <c r="F182" t="inlineStr">
        <is>
          <t>HALLANDS LÄN</t>
        </is>
      </c>
      <c r="G182" t="inlineStr">
        <is>
          <t>HALMSTAD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46282</v>
      </c>
      <c r="F183" t="inlineStr">
        <is>
          <t>HALLANDS LÄN</t>
        </is>
      </c>
      <c r="G183" t="inlineStr">
        <is>
          <t>HALMSTAD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45257</v>
      </c>
      <c r="E184" s="1" t="n">
        <v>46282</v>
      </c>
      <c r="F184" t="inlineStr">
        <is>
          <t>HALLANDS LÄN</t>
        </is>
      </c>
      <c r="G184" t="inlineStr">
        <is>
          <t>HALMSTAD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46282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45302</v>
      </c>
      <c r="E186" s="1" t="n">
        <v>46282</v>
      </c>
      <c r="F186" t="inlineStr">
        <is>
          <t>HALLANDS LÄN</t>
        </is>
      </c>
      <c r="G186" t="inlineStr">
        <is>
          <t>HALMSTAD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45854</v>
      </c>
      <c r="E187" s="1" t="n">
        <v>46282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46282</v>
      </c>
      <c r="F188" t="inlineStr">
        <is>
          <t>HALLANDS LÄN</t>
        </is>
      </c>
      <c r="G188" t="inlineStr">
        <is>
          <t>HALMSTAD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46282</v>
      </c>
      <c r="F189" t="inlineStr">
        <is>
          <t>HALLANDS LÄN</t>
        </is>
      </c>
      <c r="G189" t="inlineStr">
        <is>
          <t>HALMSTAD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45856</v>
      </c>
      <c r="E190" s="1" t="n">
        <v>46282</v>
      </c>
      <c r="F190" t="inlineStr">
        <is>
          <t>HALLANDS LÄN</t>
        </is>
      </c>
      <c r="G190" t="inlineStr">
        <is>
          <t>HALMSTAD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45065</v>
      </c>
      <c r="E191" s="1" t="n">
        <v>46282</v>
      </c>
      <c r="F191" t="inlineStr">
        <is>
          <t>HALLANDS LÄN</t>
        </is>
      </c>
      <c r="G191" t="inlineStr">
        <is>
          <t>HALMSTAD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45750</v>
      </c>
      <c r="E192" s="1" t="n">
        <v>46282</v>
      </c>
      <c r="F192" t="inlineStr">
        <is>
          <t>HALLANDS LÄN</t>
        </is>
      </c>
      <c r="G192" t="inlineStr">
        <is>
          <t>HALMSTAD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46282</v>
      </c>
      <c r="F193" t="inlineStr">
        <is>
          <t>HALLANDS LÄN</t>
        </is>
      </c>
      <c r="G193" t="inlineStr">
        <is>
          <t>HALMSTAD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45000</v>
      </c>
      <c r="E194" s="1" t="n">
        <v>46282</v>
      </c>
      <c r="F194" t="inlineStr">
        <is>
          <t>HALLANDS LÄN</t>
        </is>
      </c>
      <c r="G194" t="inlineStr">
        <is>
          <t>HALMSTAD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45493</v>
      </c>
      <c r="E195" s="1" t="n">
        <v>46282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45172</v>
      </c>
      <c r="E196" s="1" t="n">
        <v>46282</v>
      </c>
      <c r="F196" t="inlineStr">
        <is>
          <t>HALLANDS LÄN</t>
        </is>
      </c>
      <c r="G196" t="inlineStr">
        <is>
          <t>HALMSTAD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46282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44917</v>
      </c>
      <c r="E198" s="1" t="n">
        <v>46282</v>
      </c>
      <c r="F198" t="inlineStr">
        <is>
          <t>HALLANDS LÄN</t>
        </is>
      </c>
      <c r="G198" t="inlineStr">
        <is>
          <t>HALMSTAD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45079</v>
      </c>
      <c r="E199" s="1" t="n">
        <v>46282</v>
      </c>
      <c r="F199" t="inlineStr">
        <is>
          <t>HALLANDS LÄN</t>
        </is>
      </c>
      <c r="G199" t="inlineStr">
        <is>
          <t>HALMSTAD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12717-2023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46282</v>
      </c>
      <c r="F200" t="inlineStr">
        <is>
          <t>HALLANDS LÄN</t>
        </is>
      </c>
      <c r="G200" t="inlineStr">
        <is>
          <t>HALMSTAD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46282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45736</v>
      </c>
      <c r="E202" s="1" t="n">
        <v>46282</v>
      </c>
      <c r="F202" t="inlineStr">
        <is>
          <t>HALLANDS LÄN</t>
        </is>
      </c>
      <c r="G202" t="inlineStr">
        <is>
          <t>HALMSTAD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46282</v>
      </c>
      <c r="F203" t="inlineStr">
        <is>
          <t>HALLANDS LÄN</t>
        </is>
      </c>
      <c r="G203" t="inlineStr">
        <is>
          <t>HALMSTAD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46282</v>
      </c>
      <c r="F204" t="inlineStr">
        <is>
          <t>HALLANDS LÄN</t>
        </is>
      </c>
      <c r="G204" t="inlineStr">
        <is>
          <t>HALMSTAD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53550-2022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46282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46282</v>
      </c>
      <c r="F206" t="inlineStr">
        <is>
          <t>HALLANDS LÄN</t>
        </is>
      </c>
      <c r="G206" t="inlineStr">
        <is>
          <t>HALMSTAD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46282</v>
      </c>
      <c r="F207" t="inlineStr">
        <is>
          <t>HALLANDS LÄN</t>
        </is>
      </c>
      <c r="G207" t="inlineStr">
        <is>
          <t>HALMSTAD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46282</v>
      </c>
      <c r="F208" t="inlineStr">
        <is>
          <t>HALLANDS LÄN</t>
        </is>
      </c>
      <c r="G208" t="inlineStr">
        <is>
          <t>HALMSTAD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46282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46282</v>
      </c>
      <c r="F210" t="inlineStr">
        <is>
          <t>HALLANDS LÄN</t>
        </is>
      </c>
      <c r="G210" t="inlineStr">
        <is>
          <t>HALMSTAD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46282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44580</v>
      </c>
      <c r="E212" s="1" t="n">
        <v>46282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46282</v>
      </c>
      <c r="F213" t="inlineStr">
        <is>
          <t>HALLANDS LÄN</t>
        </is>
      </c>
      <c r="G213" t="inlineStr">
        <is>
          <t>HALMSTAD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45311</v>
      </c>
      <c r="E214" s="1" t="n">
        <v>46282</v>
      </c>
      <c r="F214" t="inlineStr">
        <is>
          <t>HALLANDS LÄN</t>
        </is>
      </c>
      <c r="G214" t="inlineStr">
        <is>
          <t>HALMSTAD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45266</v>
      </c>
      <c r="E215" s="1" t="n">
        <v>46282</v>
      </c>
      <c r="F215" t="inlineStr">
        <is>
          <t>HALLANDS LÄN</t>
        </is>
      </c>
      <c r="G215" t="inlineStr">
        <is>
          <t>HALMSTAD</t>
        </is>
      </c>
      <c r="I215" t="n">
        <v>12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46282</v>
      </c>
      <c r="F216" t="inlineStr">
        <is>
          <t>HALLANDS LÄN</t>
        </is>
      </c>
      <c r="G216" t="inlineStr">
        <is>
          <t>HALMSTAD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45692</v>
      </c>
      <c r="E217" s="1" t="n">
        <v>46282</v>
      </c>
      <c r="F217" t="inlineStr">
        <is>
          <t>HALLANDS LÄN</t>
        </is>
      </c>
      <c r="G217" t="inlineStr">
        <is>
          <t>HALMSTAD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45006</v>
      </c>
      <c r="E218" s="1" t="n">
        <v>46282</v>
      </c>
      <c r="F218" t="inlineStr">
        <is>
          <t>HALLANDS LÄN</t>
        </is>
      </c>
      <c r="G218" t="inlineStr">
        <is>
          <t>HALMSTAD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45278</v>
      </c>
      <c r="E219" s="1" t="n">
        <v>46282</v>
      </c>
      <c r="F219" t="inlineStr">
        <is>
          <t>HALLANDS LÄN</t>
        </is>
      </c>
      <c r="G219" t="inlineStr">
        <is>
          <t>HALMSTAD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45611</v>
      </c>
      <c r="E220" s="1" t="n">
        <v>46282</v>
      </c>
      <c r="F220" t="inlineStr">
        <is>
          <t>HALLANDS LÄN</t>
        </is>
      </c>
      <c r="G220" t="inlineStr">
        <is>
          <t>HALMSTAD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46282</v>
      </c>
      <c r="F221" t="inlineStr">
        <is>
          <t>HALLANDS LÄN</t>
        </is>
      </c>
      <c r="G221" t="inlineStr">
        <is>
          <t>HALMSTAD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44621</v>
      </c>
      <c r="E222" s="1" t="n">
        <v>46282</v>
      </c>
      <c r="F222" t="inlineStr">
        <is>
          <t>HALLANDS LÄN</t>
        </is>
      </c>
      <c r="G222" t="inlineStr">
        <is>
          <t>HALMSTAD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46282</v>
      </c>
      <c r="F223" t="inlineStr">
        <is>
          <t>HALLANDS LÄN</t>
        </is>
      </c>
      <c r="G223" t="inlineStr">
        <is>
          <t>HALMSTAD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45750</v>
      </c>
      <c r="E224" s="1" t="n">
        <v>46282</v>
      </c>
      <c r="F224" t="inlineStr">
        <is>
          <t>HALLANDS LÄN</t>
        </is>
      </c>
      <c r="G224" t="inlineStr">
        <is>
          <t>HALMSTAD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46282</v>
      </c>
      <c r="F225" t="inlineStr">
        <is>
          <t>HALLANDS LÄN</t>
        </is>
      </c>
      <c r="G225" t="inlineStr">
        <is>
          <t>HALMSTAD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46282</v>
      </c>
      <c r="F226" t="inlineStr">
        <is>
          <t>HALLANDS LÄN</t>
        </is>
      </c>
      <c r="G226" t="inlineStr">
        <is>
          <t>HALMSTAD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20414-2022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44699</v>
      </c>
      <c r="E227" s="1" t="n">
        <v>46282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45068</v>
      </c>
      <c r="E228" s="1" t="n">
        <v>46282</v>
      </c>
      <c r="F228" t="inlineStr">
        <is>
          <t>HALLANDS LÄN</t>
        </is>
      </c>
      <c r="G228" t="inlineStr">
        <is>
          <t>HALMSTAD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46282</v>
      </c>
      <c r="F229" t="inlineStr">
        <is>
          <t>HALLANDS LÄN</t>
        </is>
      </c>
      <c r="G229" t="inlineStr">
        <is>
          <t>HALMSTAD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45579</v>
      </c>
      <c r="E230" s="1" t="n">
        <v>46282</v>
      </c>
      <c r="F230" t="inlineStr">
        <is>
          <t>HALLANDS LÄN</t>
        </is>
      </c>
      <c r="G230" t="inlineStr">
        <is>
          <t>HALMSTAD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45299</v>
      </c>
      <c r="E231" s="1" t="n">
        <v>46282</v>
      </c>
      <c r="F231" t="inlineStr">
        <is>
          <t>HALLANDS LÄN</t>
        </is>
      </c>
      <c r="G231" t="inlineStr">
        <is>
          <t>HALMSTAD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46282</v>
      </c>
      <c r="F232" t="inlineStr">
        <is>
          <t>HALLANDS LÄN</t>
        </is>
      </c>
      <c r="G232" t="inlineStr">
        <is>
          <t>HALMSTAD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46282</v>
      </c>
      <c r="F233" t="inlineStr">
        <is>
          <t>HALLANDS LÄN</t>
        </is>
      </c>
      <c r="G233" t="inlineStr">
        <is>
          <t>HALMSTAD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45874</v>
      </c>
      <c r="E234" s="1" t="n">
        <v>46282</v>
      </c>
      <c r="F234" t="inlineStr">
        <is>
          <t>HALLANDS LÄN</t>
        </is>
      </c>
      <c r="G234" t="inlineStr">
        <is>
          <t>HALMSTAD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45876</v>
      </c>
      <c r="E235" s="1" t="n">
        <v>46282</v>
      </c>
      <c r="F235" t="inlineStr">
        <is>
          <t>HALLANDS LÄN</t>
        </is>
      </c>
      <c r="G235" t="inlineStr">
        <is>
          <t>HALMSTAD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46282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45015</v>
      </c>
      <c r="E237" s="1" t="n">
        <v>46282</v>
      </c>
      <c r="F237" t="inlineStr">
        <is>
          <t>HALLANDS LÄN</t>
        </is>
      </c>
      <c r="G237" t="inlineStr">
        <is>
          <t>HALMSTAD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46282</v>
      </c>
      <c r="F238" t="inlineStr">
        <is>
          <t>HALLANDS LÄN</t>
        </is>
      </c>
      <c r="G238" t="inlineStr">
        <is>
          <t>HALMSTAD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45015</v>
      </c>
      <c r="E239" s="1" t="n">
        <v>46282</v>
      </c>
      <c r="F239" t="inlineStr">
        <is>
          <t>HALLANDS LÄN</t>
        </is>
      </c>
      <c r="G239" t="inlineStr">
        <is>
          <t>HALMSTAD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46282</v>
      </c>
      <c r="F240" t="inlineStr">
        <is>
          <t>HALLANDS LÄN</t>
        </is>
      </c>
      <c r="G240" t="inlineStr">
        <is>
          <t>HALMSTAD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46282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46282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46282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54870-2022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44885</v>
      </c>
      <c r="E244" s="1" t="n">
        <v>46282</v>
      </c>
      <c r="F244" t="inlineStr">
        <is>
          <t>HALLANDS LÄN</t>
        </is>
      </c>
      <c r="G244" t="inlineStr">
        <is>
          <t>HALMSTAD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44885</v>
      </c>
      <c r="E245" s="1" t="n">
        <v>46282</v>
      </c>
      <c r="F245" t="inlineStr">
        <is>
          <t>HALLANDS LÄN</t>
        </is>
      </c>
      <c r="G245" t="inlineStr">
        <is>
          <t>HALMSTAD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44952</v>
      </c>
      <c r="E246" s="1" t="n">
        <v>46282</v>
      </c>
      <c r="F246" t="inlineStr">
        <is>
          <t>HALLANDS LÄN</t>
        </is>
      </c>
      <c r="G246" t="inlineStr">
        <is>
          <t>HALMSTAD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46282</v>
      </c>
      <c r="F247" t="inlineStr">
        <is>
          <t>HALLANDS LÄN</t>
        </is>
      </c>
      <c r="G247" t="inlineStr">
        <is>
          <t>HALMSTAD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46282</v>
      </c>
      <c r="F248" t="inlineStr">
        <is>
          <t>HALLANDS LÄN</t>
        </is>
      </c>
      <c r="G248" t="inlineStr">
        <is>
          <t>HALMSTAD</t>
        </is>
      </c>
      <c r="H248" t="inlineStr">
        <is>
          <t>Bergvik skog väst AB</t>
        </is>
      </c>
      <c r="I248" t="n">
        <v>19.5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27365-2022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44742</v>
      </c>
      <c r="E249" s="1" t="n">
        <v>46282</v>
      </c>
      <c r="F249" t="inlineStr">
        <is>
          <t>HALLANDS LÄN</t>
        </is>
      </c>
      <c r="G249" t="inlineStr">
        <is>
          <t>HALMSTAD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46282</v>
      </c>
      <c r="F250" t="inlineStr">
        <is>
          <t>HALLANDS LÄN</t>
        </is>
      </c>
      <c r="G250" t="inlineStr">
        <is>
          <t>HALMSTAD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46282</v>
      </c>
      <c r="F251" t="inlineStr">
        <is>
          <t>HALLANDS LÄN</t>
        </is>
      </c>
      <c r="G251" t="inlineStr">
        <is>
          <t>HALMSTAD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44622</v>
      </c>
      <c r="E252" s="1" t="n">
        <v>46282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46282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46282</v>
      </c>
      <c r="F254" t="inlineStr">
        <is>
          <t>HALLANDS LÄN</t>
        </is>
      </c>
      <c r="G254" t="inlineStr">
        <is>
          <t>HALMSTAD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46282</v>
      </c>
      <c r="F255" t="inlineStr">
        <is>
          <t>HALLANDS LÄN</t>
        </is>
      </c>
      <c r="G255" t="inlineStr">
        <is>
          <t>HALMSTAD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46282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46282</v>
      </c>
      <c r="F257" t="inlineStr">
        <is>
          <t>HALLANDS LÄN</t>
        </is>
      </c>
      <c r="G257" t="inlineStr">
        <is>
          <t>HALMSTAD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46282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46282</v>
      </c>
      <c r="F259" t="inlineStr">
        <is>
          <t>HALLANDS LÄN</t>
        </is>
      </c>
      <c r="G259" t="inlineStr">
        <is>
          <t>HALMSTAD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46282</v>
      </c>
      <c r="F260" t="inlineStr">
        <is>
          <t>HALLANDS LÄN</t>
        </is>
      </c>
      <c r="G260" t="inlineStr">
        <is>
          <t>HALMSTAD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46282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46282</v>
      </c>
      <c r="F262" t="inlineStr">
        <is>
          <t>HALLANDS LÄN</t>
        </is>
      </c>
      <c r="G262" t="inlineStr">
        <is>
          <t>HALMSTAD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46282</v>
      </c>
      <c r="F263" t="inlineStr">
        <is>
          <t>HALLANDS LÄN</t>
        </is>
      </c>
      <c r="G263" t="inlineStr">
        <is>
          <t>HALMSTAD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44830</v>
      </c>
      <c r="E264" s="1" t="n">
        <v>46282</v>
      </c>
      <c r="F264" t="inlineStr">
        <is>
          <t>HALLANDS LÄN</t>
        </is>
      </c>
      <c r="G264" t="inlineStr">
        <is>
          <t>HALMSTAD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17476-2024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45415</v>
      </c>
      <c r="E265" s="1" t="n">
        <v>46282</v>
      </c>
      <c r="F265" t="inlineStr">
        <is>
          <t>HALLANDS LÄN</t>
        </is>
      </c>
      <c r="G265" t="inlineStr">
        <is>
          <t>HALMSTAD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55050-2025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46282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45660</v>
      </c>
      <c r="E267" s="1" t="n">
        <v>46282</v>
      </c>
      <c r="F267" t="inlineStr">
        <is>
          <t>HALLANDS LÄN</t>
        </is>
      </c>
      <c r="G267" t="inlineStr">
        <is>
          <t>HALMSTAD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13212-2025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45735</v>
      </c>
      <c r="E268" s="1" t="n">
        <v>46282</v>
      </c>
      <c r="F268" t="inlineStr">
        <is>
          <t>HALLANDS LÄN</t>
        </is>
      </c>
      <c r="G268" t="inlineStr">
        <is>
          <t>HALMSTAD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46282</v>
      </c>
      <c r="F269" t="inlineStr">
        <is>
          <t>HALLANDS LÄN</t>
        </is>
      </c>
      <c r="G269" t="inlineStr">
        <is>
          <t>HALMSTAD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46282</v>
      </c>
      <c r="F270" t="inlineStr">
        <is>
          <t>HALLANDS LÄN</t>
        </is>
      </c>
      <c r="G270" t="inlineStr">
        <is>
          <t>HALMSTAD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46282</v>
      </c>
      <c r="F271" t="inlineStr">
        <is>
          <t>HALLANDS LÄN</t>
        </is>
      </c>
      <c r="G271" t="inlineStr">
        <is>
          <t>HALMSTAD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58737-2023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46282</v>
      </c>
      <c r="F272" t="inlineStr">
        <is>
          <t>HALLANDS LÄN</t>
        </is>
      </c>
      <c r="G272" t="inlineStr">
        <is>
          <t>HALMSTAD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46282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45681</v>
      </c>
      <c r="E274" s="1" t="n">
        <v>46282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46282</v>
      </c>
      <c r="F275" t="inlineStr">
        <is>
          <t>HALLANDS LÄN</t>
        </is>
      </c>
      <c r="G275" t="inlineStr">
        <is>
          <t>HALMSTAD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45401</v>
      </c>
      <c r="E276" s="1" t="n">
        <v>46282</v>
      </c>
      <c r="F276" t="inlineStr">
        <is>
          <t>HALLANDS LÄN</t>
        </is>
      </c>
      <c r="G276" t="inlineStr">
        <is>
          <t>HALMSTAD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46282</v>
      </c>
      <c r="F277" t="inlineStr">
        <is>
          <t>HALLANDS LÄN</t>
        </is>
      </c>
      <c r="G277" t="inlineStr">
        <is>
          <t>HALMSTAD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46282</v>
      </c>
      <c r="F278" t="inlineStr">
        <is>
          <t>HALLANDS LÄN</t>
        </is>
      </c>
      <c r="G278" t="inlineStr">
        <is>
          <t>HALMSTAD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46282</v>
      </c>
      <c r="F279" t="inlineStr">
        <is>
          <t>HALLANDS LÄN</t>
        </is>
      </c>
      <c r="G279" t="inlineStr">
        <is>
          <t>HALMSTAD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46282</v>
      </c>
      <c r="F280" t="inlineStr">
        <is>
          <t>HALLANDS LÄN</t>
        </is>
      </c>
      <c r="G280" t="inlineStr">
        <is>
          <t>HALMSTAD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46282</v>
      </c>
      <c r="F281" t="inlineStr">
        <is>
          <t>HALLANDS LÄN</t>
        </is>
      </c>
      <c r="G281" t="inlineStr">
        <is>
          <t>HALMSTAD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46282</v>
      </c>
      <c r="F282" t="inlineStr">
        <is>
          <t>HALLANDS LÄN</t>
        </is>
      </c>
      <c r="G282" t="inlineStr">
        <is>
          <t>HALMSTAD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46282</v>
      </c>
      <c r="F283" t="inlineStr">
        <is>
          <t>HALLANDS LÄN</t>
        </is>
      </c>
      <c r="G283" t="inlineStr">
        <is>
          <t>HALMSTAD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46282</v>
      </c>
      <c r="F284" t="inlineStr">
        <is>
          <t>HALLANDS LÄN</t>
        </is>
      </c>
      <c r="G284" t="inlineStr">
        <is>
          <t>HALMSTAD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46282</v>
      </c>
      <c r="F285" t="inlineStr">
        <is>
          <t>HALLANDS LÄN</t>
        </is>
      </c>
      <c r="G285" t="inlineStr">
        <is>
          <t>HALMSTAD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46282</v>
      </c>
      <c r="F286" t="inlineStr">
        <is>
          <t>HALLANDS LÄN</t>
        </is>
      </c>
      <c r="G286" t="inlineStr">
        <is>
          <t>HALMSTAD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46282</v>
      </c>
      <c r="F287" t="inlineStr">
        <is>
          <t>HALLANDS LÄN</t>
        </is>
      </c>
      <c r="G287" t="inlineStr">
        <is>
          <t>HALMSTAD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46282</v>
      </c>
      <c r="F288" t="inlineStr">
        <is>
          <t>HALLANDS LÄN</t>
        </is>
      </c>
      <c r="G288" t="inlineStr">
        <is>
          <t>HALMSTAD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46282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46282</v>
      </c>
      <c r="F290" t="inlineStr">
        <is>
          <t>HALLANDS LÄN</t>
        </is>
      </c>
      <c r="G290" t="inlineStr">
        <is>
          <t>HALMSTAD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46282</v>
      </c>
      <c r="F291" t="inlineStr">
        <is>
          <t>HALLANDS LÄN</t>
        </is>
      </c>
      <c r="G291" t="inlineStr">
        <is>
          <t>HALMSTAD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15545-2022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44662</v>
      </c>
      <c r="E292" s="1" t="n">
        <v>46282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44711</v>
      </c>
      <c r="E293" s="1" t="n">
        <v>46282</v>
      </c>
      <c r="F293" t="inlineStr">
        <is>
          <t>HALLANDS LÄN</t>
        </is>
      </c>
      <c r="G293" t="inlineStr">
        <is>
          <t>HALMSTAD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46282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46282</v>
      </c>
      <c r="F295" t="inlineStr">
        <is>
          <t>HALLANDS LÄN</t>
        </is>
      </c>
      <c r="G295" t="inlineStr">
        <is>
          <t>HALMSTAD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45488</v>
      </c>
      <c r="E296" s="1" t="n">
        <v>46282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46282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46282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46282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46282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46282</v>
      </c>
      <c r="F301" t="inlineStr">
        <is>
          <t>HALLANDS LÄN</t>
        </is>
      </c>
      <c r="G301" t="inlineStr">
        <is>
          <t>HALMSTAD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46282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45335</v>
      </c>
      <c r="E303" s="1" t="n">
        <v>46282</v>
      </c>
      <c r="F303" t="inlineStr">
        <is>
          <t>HALLANDS LÄN</t>
        </is>
      </c>
      <c r="G303" t="inlineStr">
        <is>
          <t>HALMSTAD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64231-2023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46282</v>
      </c>
      <c r="F304" t="inlineStr">
        <is>
          <t>HALLANDS LÄN</t>
        </is>
      </c>
      <c r="G304" t="inlineStr">
        <is>
          <t>HALMSTAD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46282</v>
      </c>
      <c r="F305" t="inlineStr">
        <is>
          <t>HALLANDS LÄN</t>
        </is>
      </c>
      <c r="G305" t="inlineStr">
        <is>
          <t>HALMSTAD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42204-2024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46282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46282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46282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45636</v>
      </c>
      <c r="E309" s="1" t="n">
        <v>46282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46282</v>
      </c>
      <c r="F310" t="inlineStr">
        <is>
          <t>HALLANDS LÄN</t>
        </is>
      </c>
      <c r="G310" t="inlineStr">
        <is>
          <t>HALMSTAD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46282</v>
      </c>
      <c r="F311" t="inlineStr">
        <is>
          <t>HALLANDS LÄN</t>
        </is>
      </c>
      <c r="G311" t="inlineStr">
        <is>
          <t>HALMSTAD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15189-2026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46282</v>
      </c>
      <c r="F312" t="inlineStr">
        <is>
          <t>HALLANDS LÄN</t>
        </is>
      </c>
      <c r="G312" t="inlineStr">
        <is>
          <t>HALMSTAD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46282</v>
      </c>
      <c r="F313" t="inlineStr">
        <is>
          <t>HALLANDS LÄN</t>
        </is>
      </c>
      <c r="G313" t="inlineStr">
        <is>
          <t>HALMSTAD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46282</v>
      </c>
      <c r="F314" t="inlineStr">
        <is>
          <t>HALLANDS LÄN</t>
        </is>
      </c>
      <c r="G314" t="inlineStr">
        <is>
          <t>HALMSTAD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46282</v>
      </c>
      <c r="F315" t="inlineStr">
        <is>
          <t>HALLANDS LÄN</t>
        </is>
      </c>
      <c r="G315" t="inlineStr">
        <is>
          <t>HALMSTAD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46282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46282</v>
      </c>
      <c r="F317" t="inlineStr">
        <is>
          <t>HALLANDS LÄN</t>
        </is>
      </c>
      <c r="G317" t="inlineStr">
        <is>
          <t>HALMSTAD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46282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62766-2023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45268</v>
      </c>
      <c r="E319" s="1" t="n">
        <v>46282</v>
      </c>
      <c r="F319" t="inlineStr">
        <is>
          <t>HALLANDS LÄN</t>
        </is>
      </c>
      <c r="G319" t="inlineStr">
        <is>
          <t>HALMSTAD</t>
        </is>
      </c>
      <c r="H319" t="inlineStr">
        <is>
          <t>Sveaskog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46282</v>
      </c>
      <c r="F320" t="inlineStr">
        <is>
          <t>HALLANDS LÄN</t>
        </is>
      </c>
      <c r="G320" t="inlineStr">
        <is>
          <t>HALMSTAD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46282</v>
      </c>
      <c r="F321" t="inlineStr">
        <is>
          <t>HALLANDS LÄN</t>
        </is>
      </c>
      <c r="G321" t="inlineStr">
        <is>
          <t>HALMSTAD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46282</v>
      </c>
      <c r="F322" t="inlineStr">
        <is>
          <t>HALLANDS LÄN</t>
        </is>
      </c>
      <c r="G322" t="inlineStr">
        <is>
          <t>HALMSTAD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48859-2023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46282</v>
      </c>
      <c r="F323" t="inlineStr">
        <is>
          <t>HALLANDS LÄN</t>
        </is>
      </c>
      <c r="G323" t="inlineStr">
        <is>
          <t>HALMSTAD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18686-2026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46128</v>
      </c>
      <c r="E324" s="1" t="n">
        <v>46282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46282</v>
      </c>
      <c r="F325" t="inlineStr">
        <is>
          <t>HALLANDS LÄN</t>
        </is>
      </c>
      <c r="G325" t="inlineStr">
        <is>
          <t>HALMSTAD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46282</v>
      </c>
      <c r="F326" t="inlineStr">
        <is>
          <t>HALLANDS LÄN</t>
        </is>
      </c>
      <c r="G326" t="inlineStr">
        <is>
          <t>HALMSTAD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22146-2022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44712</v>
      </c>
      <c r="E327" s="1" t="n">
        <v>46282</v>
      </c>
      <c r="F327" t="inlineStr">
        <is>
          <t>HALLANDS LÄN</t>
        </is>
      </c>
      <c r="G327" t="inlineStr">
        <is>
          <t>HALMSTAD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46282</v>
      </c>
      <c r="F328" t="inlineStr">
        <is>
          <t>HALLANDS LÄN</t>
        </is>
      </c>
      <c r="G328" t="inlineStr">
        <is>
          <t>HALMSTAD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46282</v>
      </c>
      <c r="F329" t="inlineStr">
        <is>
          <t>HALLANDS LÄN</t>
        </is>
      </c>
      <c r="G329" t="inlineStr">
        <is>
          <t>HALMSTAD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44628</v>
      </c>
      <c r="E330" s="1" t="n">
        <v>46282</v>
      </c>
      <c r="F330" t="inlineStr">
        <is>
          <t>HALLANDS LÄN</t>
        </is>
      </c>
      <c r="G330" t="inlineStr">
        <is>
          <t>HALMSTAD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46282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46282</v>
      </c>
      <c r="F332" t="inlineStr">
        <is>
          <t>HALLANDS LÄN</t>
        </is>
      </c>
      <c r="G332" t="inlineStr">
        <is>
          <t>HALMSTAD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46282</v>
      </c>
      <c r="F333" t="inlineStr">
        <is>
          <t>HALLANDS LÄN</t>
        </is>
      </c>
      <c r="G333" t="inlineStr">
        <is>
          <t>HALMSTAD</t>
        </is>
      </c>
      <c r="H333" t="inlineStr">
        <is>
          <t>Bergvik skog väst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46282</v>
      </c>
      <c r="F334" t="inlineStr">
        <is>
          <t>HALLANDS LÄN</t>
        </is>
      </c>
      <c r="G334" t="inlineStr">
        <is>
          <t>HALMSTAD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46282</v>
      </c>
      <c r="F335" t="inlineStr">
        <is>
          <t>HALLANDS LÄN</t>
        </is>
      </c>
      <c r="G335" t="inlineStr">
        <is>
          <t>HALMSTAD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45323</v>
      </c>
      <c r="E336" s="1" t="n">
        <v>46282</v>
      </c>
      <c r="F336" t="inlineStr">
        <is>
          <t>HALLANDS LÄN</t>
        </is>
      </c>
      <c r="G336" t="inlineStr">
        <is>
          <t>HALMSTAD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74038-2021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46282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46282</v>
      </c>
      <c r="F338" t="inlineStr">
        <is>
          <t>HALLANDS LÄN</t>
        </is>
      </c>
      <c r="G338" t="inlineStr">
        <is>
          <t>HALMSTAD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45476</v>
      </c>
      <c r="E339" s="1" t="n">
        <v>46282</v>
      </c>
      <c r="F339" t="inlineStr">
        <is>
          <t>HALLANDS LÄN</t>
        </is>
      </c>
      <c r="G339" t="inlineStr">
        <is>
          <t>HALMSTAD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45476</v>
      </c>
      <c r="E340" s="1" t="n">
        <v>46282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46282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46282</v>
      </c>
      <c r="F342" t="inlineStr">
        <is>
          <t>HALLANDS LÄN</t>
        </is>
      </c>
      <c r="G342" t="inlineStr">
        <is>
          <t>HALMSTAD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45729</v>
      </c>
      <c r="E343" s="1" t="n">
        <v>46282</v>
      </c>
      <c r="F343" t="inlineStr">
        <is>
          <t>HALLANDS LÄN</t>
        </is>
      </c>
      <c r="G343" t="inlineStr">
        <is>
          <t>HALMSTAD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50791-2023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45217</v>
      </c>
      <c r="E344" s="1" t="n">
        <v>46282</v>
      </c>
      <c r="F344" t="inlineStr">
        <is>
          <t>HALLANDS LÄN</t>
        </is>
      </c>
      <c r="G344" t="inlineStr">
        <is>
          <t>HALMSTAD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45348</v>
      </c>
      <c r="E345" s="1" t="n">
        <v>46282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45699</v>
      </c>
      <c r="E346" s="1" t="n">
        <v>46282</v>
      </c>
      <c r="F346" t="inlineStr">
        <is>
          <t>HALLANDS LÄN</t>
        </is>
      </c>
      <c r="G346" t="inlineStr">
        <is>
          <t>HALMSTAD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45323</v>
      </c>
      <c r="E347" s="1" t="n">
        <v>46282</v>
      </c>
      <c r="F347" t="inlineStr">
        <is>
          <t>HALLANDS LÄN</t>
        </is>
      </c>
      <c r="G347" t="inlineStr">
        <is>
          <t>HALMSTAD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44607</v>
      </c>
      <c r="E348" s="1" t="n">
        <v>46282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66311-2021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44518</v>
      </c>
      <c r="E349" s="1" t="n">
        <v>46282</v>
      </c>
      <c r="F349" t="inlineStr">
        <is>
          <t>HALLANDS LÄN</t>
        </is>
      </c>
      <c r="G349" t="inlineStr">
        <is>
          <t>HALMSTAD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66730-2021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44520</v>
      </c>
      <c r="E350" s="1" t="n">
        <v>46282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45117</v>
      </c>
      <c r="E351" s="1" t="n">
        <v>46282</v>
      </c>
      <c r="F351" t="inlineStr">
        <is>
          <t>HALLANDS LÄN</t>
        </is>
      </c>
      <c r="G351" t="inlineStr">
        <is>
          <t>HALMSTAD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46282</v>
      </c>
      <c r="F352" t="inlineStr">
        <is>
          <t>HALLANDS LÄN</t>
        </is>
      </c>
      <c r="G352" t="inlineStr">
        <is>
          <t>HALMSTAD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44610</v>
      </c>
      <c r="E353" s="1" t="n">
        <v>46282</v>
      </c>
      <c r="F353" t="inlineStr">
        <is>
          <t>HALLANDS LÄN</t>
        </is>
      </c>
      <c r="G353" t="inlineStr">
        <is>
          <t>HALMSTAD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44753</v>
      </c>
      <c r="E354" s="1" t="n">
        <v>46282</v>
      </c>
      <c r="F354" t="inlineStr">
        <is>
          <t>HALLANDS LÄN</t>
        </is>
      </c>
      <c r="G354" t="inlineStr">
        <is>
          <t>HALMSTAD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44721</v>
      </c>
      <c r="E355" s="1" t="n">
        <v>46282</v>
      </c>
      <c r="F355" t="inlineStr">
        <is>
          <t>HALLANDS LÄN</t>
        </is>
      </c>
      <c r="G355" t="inlineStr">
        <is>
          <t>HALMSTAD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46282</v>
      </c>
      <c r="F356" t="inlineStr">
        <is>
          <t>HALLANDS LÄN</t>
        </is>
      </c>
      <c r="G356" t="inlineStr">
        <is>
          <t>HALMSTAD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44959</v>
      </c>
      <c r="E357" s="1" t="n">
        <v>46282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46282</v>
      </c>
      <c r="F358" t="inlineStr">
        <is>
          <t>HALLANDS LÄN</t>
        </is>
      </c>
      <c r="G358" t="inlineStr">
        <is>
          <t>HALMSTAD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46282</v>
      </c>
      <c r="F359" t="inlineStr">
        <is>
          <t>HALLANDS LÄN</t>
        </is>
      </c>
      <c r="G359" t="inlineStr">
        <is>
          <t>HALMSTAD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38174-2022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44802</v>
      </c>
      <c r="E360" s="1" t="n">
        <v>46282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45316</v>
      </c>
      <c r="E361" s="1" t="n">
        <v>46282</v>
      </c>
      <c r="F361" t="inlineStr">
        <is>
          <t>HALLANDS LÄN</t>
        </is>
      </c>
      <c r="G361" t="inlineStr">
        <is>
          <t>HALMSTAD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44595</v>
      </c>
      <c r="E362" s="1" t="n">
        <v>46282</v>
      </c>
      <c r="F362" t="inlineStr">
        <is>
          <t>HALLANDS LÄN</t>
        </is>
      </c>
      <c r="G362" t="inlineStr">
        <is>
          <t>HALMSTAD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46282</v>
      </c>
      <c r="F363" t="inlineStr">
        <is>
          <t>HALLANDS LÄN</t>
        </is>
      </c>
      <c r="G363" t="inlineStr">
        <is>
          <t>HALMSTAD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44917</v>
      </c>
      <c r="E364" s="1" t="n">
        <v>46282</v>
      </c>
      <c r="F364" t="inlineStr">
        <is>
          <t>HALLANDS LÄN</t>
        </is>
      </c>
      <c r="G364" t="inlineStr">
        <is>
          <t>HALMSTAD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46282</v>
      </c>
      <c r="F365" t="inlineStr">
        <is>
          <t>HALLANDS LÄN</t>
        </is>
      </c>
      <c r="G365" t="inlineStr">
        <is>
          <t>HALMSTAD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45126</v>
      </c>
      <c r="E366" s="1" t="n">
        <v>46282</v>
      </c>
      <c r="F366" t="inlineStr">
        <is>
          <t>HALLANDS LÄN</t>
        </is>
      </c>
      <c r="G366" t="inlineStr">
        <is>
          <t>HALMSTAD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45259</v>
      </c>
      <c r="E367" s="1" t="n">
        <v>46282</v>
      </c>
      <c r="F367" t="inlineStr">
        <is>
          <t>HALLANDS LÄN</t>
        </is>
      </c>
      <c r="G367" t="inlineStr">
        <is>
          <t>HALMSTAD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48015-2024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45589</v>
      </c>
      <c r="E368" s="1" t="n">
        <v>46282</v>
      </c>
      <c r="F368" t="inlineStr">
        <is>
          <t>HALLANDS LÄN</t>
        </is>
      </c>
      <c r="G368" t="inlineStr">
        <is>
          <t>HALMSTAD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47198-2022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44852</v>
      </c>
      <c r="E369" s="1" t="n">
        <v>46282</v>
      </c>
      <c r="F369" t="inlineStr">
        <is>
          <t>HALLANDS LÄN</t>
        </is>
      </c>
      <c r="G369" t="inlineStr">
        <is>
          <t>HALMSTAD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40730-2023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46282</v>
      </c>
      <c r="F370" t="inlineStr">
        <is>
          <t>HALLANDS LÄN</t>
        </is>
      </c>
      <c r="G370" t="inlineStr">
        <is>
          <t>HALMSTAD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45897</v>
      </c>
      <c r="E371" s="1" t="n">
        <v>46282</v>
      </c>
      <c r="F371" t="inlineStr">
        <is>
          <t>HALLANDS LÄN</t>
        </is>
      </c>
      <c r="G371" t="inlineStr">
        <is>
          <t>HALMSTAD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45485</v>
      </c>
      <c r="E372" s="1" t="n">
        <v>46282</v>
      </c>
      <c r="F372" t="inlineStr">
        <is>
          <t>HALLANDS LÄN</t>
        </is>
      </c>
      <c r="G372" t="inlineStr">
        <is>
          <t>HALMSTAD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46282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46282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46282</v>
      </c>
      <c r="F375" t="inlineStr">
        <is>
          <t>HALLANDS LÄN</t>
        </is>
      </c>
      <c r="G375" t="inlineStr">
        <is>
          <t>HALMSTAD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46282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46282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44775</v>
      </c>
      <c r="E378" s="1" t="n">
        <v>46282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44910</v>
      </c>
      <c r="E379" s="1" t="n">
        <v>46282</v>
      </c>
      <c r="F379" t="inlineStr">
        <is>
          <t>HALLANDS LÄN</t>
        </is>
      </c>
      <c r="G379" t="inlineStr">
        <is>
          <t>HALMSTAD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44571</v>
      </c>
      <c r="E380" s="1" t="n">
        <v>46282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46282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46282</v>
      </c>
      <c r="F382" t="inlineStr">
        <is>
          <t>HALLANDS LÄN</t>
        </is>
      </c>
      <c r="G382" t="inlineStr">
        <is>
          <t>HALMSTAD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46282</v>
      </c>
      <c r="F383" t="inlineStr">
        <is>
          <t>HALLANDS LÄN</t>
        </is>
      </c>
      <c r="G383" t="inlineStr">
        <is>
          <t>HALMSTAD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46282</v>
      </c>
      <c r="F384" t="inlineStr">
        <is>
          <t>HALLANDS LÄN</t>
        </is>
      </c>
      <c r="G384" t="inlineStr">
        <is>
          <t>HALMSTAD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46168</v>
      </c>
      <c r="E385" s="1" t="n">
        <v>46282</v>
      </c>
      <c r="F385" t="inlineStr">
        <is>
          <t>HALLANDS LÄN</t>
        </is>
      </c>
      <c r="G385" t="inlineStr">
        <is>
          <t>HALMSTAD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40582-2023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46282</v>
      </c>
      <c r="F386" t="inlineStr">
        <is>
          <t>HALLANDS LÄN</t>
        </is>
      </c>
      <c r="G386" t="inlineStr">
        <is>
          <t>HALMSTAD</t>
        </is>
      </c>
      <c r="H386" t="inlineStr">
        <is>
          <t>Kommuner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46173</v>
      </c>
      <c r="E387" s="1" t="n">
        <v>46282</v>
      </c>
      <c r="F387" t="inlineStr">
        <is>
          <t>HALLANDS LÄN</t>
        </is>
      </c>
      <c r="G387" t="inlineStr">
        <is>
          <t>HALMSTAD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46282</v>
      </c>
      <c r="F388" t="inlineStr">
        <is>
          <t>HALLANDS LÄN</t>
        </is>
      </c>
      <c r="G388" t="inlineStr">
        <is>
          <t>HALMSTAD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46282</v>
      </c>
      <c r="F389" t="inlineStr">
        <is>
          <t>HALLANDS LÄN</t>
        </is>
      </c>
      <c r="G389" t="inlineStr">
        <is>
          <t>HALMSTAD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46282</v>
      </c>
      <c r="F390" t="inlineStr">
        <is>
          <t>HALLANDS LÄN</t>
        </is>
      </c>
      <c r="G390" t="inlineStr">
        <is>
          <t>HALMSTAD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46173</v>
      </c>
      <c r="E391" s="1" t="n">
        <v>46282</v>
      </c>
      <c r="F391" t="inlineStr">
        <is>
          <t>HALLANDS LÄN</t>
        </is>
      </c>
      <c r="G391" t="inlineStr">
        <is>
          <t>HALMSTAD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45156</v>
      </c>
      <c r="E392" s="1" t="n">
        <v>46282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51190-2022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44868</v>
      </c>
      <c r="E393" s="1" t="n">
        <v>46282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46282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25383-2026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46176</v>
      </c>
      <c r="E395" s="1" t="n">
        <v>46282</v>
      </c>
      <c r="F395" t="inlineStr">
        <is>
          <t>HALLANDS LÄN</t>
        </is>
      </c>
      <c r="G395" t="inlineStr">
        <is>
          <t>HALMSTAD</t>
        </is>
      </c>
      <c r="I395" t="n">
        <v>17.8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46176</v>
      </c>
      <c r="E396" s="1" t="n">
        <v>46282</v>
      </c>
      <c r="F396" t="inlineStr">
        <is>
          <t>HALLANDS LÄN</t>
        </is>
      </c>
      <c r="G396" t="inlineStr">
        <is>
          <t>HALMSTAD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13594-2023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45006</v>
      </c>
      <c r="E397" s="1" t="n">
        <v>46282</v>
      </c>
      <c r="F397" t="inlineStr">
        <is>
          <t>HALLANDS LÄN</t>
        </is>
      </c>
      <c r="G397" t="inlineStr">
        <is>
          <t>HALMSTAD</t>
        </is>
      </c>
      <c r="H397" t="inlineStr">
        <is>
          <t>Bergvik skog väst AB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45660</v>
      </c>
      <c r="E398" s="1" t="n">
        <v>46282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45217</v>
      </c>
      <c r="E399" s="1" t="n">
        <v>46282</v>
      </c>
      <c r="F399" t="inlineStr">
        <is>
          <t>HALLANDS LÄN</t>
        </is>
      </c>
      <c r="G399" t="inlineStr">
        <is>
          <t>HALMSTAD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46282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46282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46282</v>
      </c>
      <c r="F402" t="inlineStr">
        <is>
          <t>HALLANDS LÄN</t>
        </is>
      </c>
      <c r="G402" t="inlineStr">
        <is>
          <t>HALMSTAD</t>
        </is>
      </c>
      <c r="I402" t="n">
        <v>12.6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46282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62187-2023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46282</v>
      </c>
      <c r="F404" t="inlineStr">
        <is>
          <t>HALLANDS LÄN</t>
        </is>
      </c>
      <c r="G404" t="inlineStr">
        <is>
          <t>HALMSTAD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25896-2026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46282</v>
      </c>
      <c r="F405" t="inlineStr">
        <is>
          <t>HALLANDS LÄN</t>
        </is>
      </c>
      <c r="G405" t="inlineStr">
        <is>
          <t>HALMSTAD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45562</v>
      </c>
      <c r="E406" s="1" t="n">
        <v>46282</v>
      </c>
      <c r="F406" t="inlineStr">
        <is>
          <t>HALLANDS LÄN</t>
        </is>
      </c>
      <c r="G406" t="inlineStr">
        <is>
          <t>HALMSTAD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46282</v>
      </c>
      <c r="F407" t="inlineStr">
        <is>
          <t>HALLANDS LÄN</t>
        </is>
      </c>
      <c r="G407" t="inlineStr">
        <is>
          <t>HALMSTAD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56706-2024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45627</v>
      </c>
      <c r="E408" s="1" t="n">
        <v>46282</v>
      </c>
      <c r="F408" t="inlineStr">
        <is>
          <t>HALLANDS LÄN</t>
        </is>
      </c>
      <c r="G408" t="inlineStr">
        <is>
          <t>HALMSTAD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46282</v>
      </c>
      <c r="F409" t="inlineStr">
        <is>
          <t>HALLANDS LÄN</t>
        </is>
      </c>
      <c r="G409" t="inlineStr">
        <is>
          <t>HALMSTAD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36805-2023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45154</v>
      </c>
      <c r="E410" s="1" t="n">
        <v>46282</v>
      </c>
      <c r="F410" t="inlineStr">
        <is>
          <t>HALLANDS LÄN</t>
        </is>
      </c>
      <c r="G410" t="inlineStr">
        <is>
          <t>HALMSTAD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13331-2024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45386</v>
      </c>
      <c r="E411" s="1" t="n">
        <v>46282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46282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46282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44642</v>
      </c>
      <c r="E414" s="1" t="n">
        <v>46282</v>
      </c>
      <c r="F414" t="inlineStr">
        <is>
          <t>HALLANDS LÄN</t>
        </is>
      </c>
      <c r="G414" t="inlineStr">
        <is>
          <t>HALMSTAD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46282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44537</v>
      </c>
      <c r="E416" s="1" t="n">
        <v>46282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46282</v>
      </c>
      <c r="F417" t="inlineStr">
        <is>
          <t>HALLANDS LÄN</t>
        </is>
      </c>
      <c r="G417" t="inlineStr">
        <is>
          <t>HALMSTAD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46282</v>
      </c>
      <c r="F418" t="inlineStr">
        <is>
          <t>HALLANDS LÄN</t>
        </is>
      </c>
      <c r="G418" t="inlineStr">
        <is>
          <t>HALMSTAD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46282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46282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46282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22149-2022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44712</v>
      </c>
      <c r="E422" s="1" t="n">
        <v>46282</v>
      </c>
      <c r="F422" t="inlineStr">
        <is>
          <t>HALLANDS LÄN</t>
        </is>
      </c>
      <c r="G422" t="inlineStr">
        <is>
          <t>HALMSTAD</t>
        </is>
      </c>
      <c r="I422" t="n">
        <v>9.699999999999999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53642-2023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45230</v>
      </c>
      <c r="E423" s="1" t="n">
        <v>46282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46282</v>
      </c>
      <c r="F424" t="inlineStr">
        <is>
          <t>HALLANDS LÄN</t>
        </is>
      </c>
      <c r="G424" t="inlineStr">
        <is>
          <t>HALMSTAD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46282</v>
      </c>
      <c r="F425" t="inlineStr">
        <is>
          <t>HALLANDS LÄN</t>
        </is>
      </c>
      <c r="G425" t="inlineStr">
        <is>
          <t>HALMSTAD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46282</v>
      </c>
      <c r="F426" t="inlineStr">
        <is>
          <t>HALLANDS LÄN</t>
        </is>
      </c>
      <c r="G426" t="inlineStr">
        <is>
          <t>HALMSTAD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46282</v>
      </c>
      <c r="F427" t="inlineStr">
        <is>
          <t>HALLANDS LÄN</t>
        </is>
      </c>
      <c r="G427" t="inlineStr">
        <is>
          <t>HALMSTAD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55800-2023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46282</v>
      </c>
      <c r="F428" t="inlineStr">
        <is>
          <t>HALLANDS LÄN</t>
        </is>
      </c>
      <c r="G428" t="inlineStr">
        <is>
          <t>HALMSTAD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46282</v>
      </c>
      <c r="F429" t="inlineStr">
        <is>
          <t>HALLANDS LÄN</t>
        </is>
      </c>
      <c r="G429" t="inlineStr">
        <is>
          <t>HALMSTAD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46282</v>
      </c>
      <c r="F430" t="inlineStr">
        <is>
          <t>HALLANDS LÄN</t>
        </is>
      </c>
      <c r="G430" t="inlineStr">
        <is>
          <t>HALMSTAD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51192-2021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46282</v>
      </c>
      <c r="F431" t="inlineStr">
        <is>
          <t>HALLANDS LÄN</t>
        </is>
      </c>
      <c r="G431" t="inlineStr">
        <is>
          <t>HALMSTAD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27202-2026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46282</v>
      </c>
      <c r="F432" t="inlineStr">
        <is>
          <t>HALLANDS LÄN</t>
        </is>
      </c>
      <c r="G432" t="inlineStr">
        <is>
          <t>HALMSTAD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46059</v>
      </c>
      <c r="E433" s="1" t="n">
        <v>46282</v>
      </c>
      <c r="F433" t="inlineStr">
        <is>
          <t>HALLANDS LÄN</t>
        </is>
      </c>
      <c r="G433" t="inlineStr">
        <is>
          <t>HALMSTAD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46282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46282</v>
      </c>
      <c r="F435" t="inlineStr">
        <is>
          <t>HALLANDS LÄN</t>
        </is>
      </c>
      <c r="G435" t="inlineStr">
        <is>
          <t>HALMSTAD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46282</v>
      </c>
      <c r="F436" t="inlineStr">
        <is>
          <t>HALLANDS LÄN</t>
        </is>
      </c>
      <c r="G436" t="inlineStr">
        <is>
          <t>HALMSTAD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46282</v>
      </c>
      <c r="F437" t="inlineStr">
        <is>
          <t>HALLANDS LÄN</t>
        </is>
      </c>
      <c r="G437" t="inlineStr">
        <is>
          <t>HALMSTAD</t>
        </is>
      </c>
      <c r="H437" t="inlineStr">
        <is>
          <t>Kommuner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46282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46282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46282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44922</v>
      </c>
      <c r="E441" s="1" t="n">
        <v>46282</v>
      </c>
      <c r="F441" t="inlineStr">
        <is>
          <t>HALLANDS LÄN</t>
        </is>
      </c>
      <c r="G441" t="inlineStr">
        <is>
          <t>HALMSTAD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6947-2023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46282</v>
      </c>
      <c r="F442" t="inlineStr">
        <is>
          <t>HALLANDS LÄN</t>
        </is>
      </c>
      <c r="G442" t="inlineStr">
        <is>
          <t>HALMSTAD</t>
        </is>
      </c>
      <c r="H442" t="inlineStr">
        <is>
          <t>Bergvik skog väst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46282</v>
      </c>
      <c r="F443" t="inlineStr">
        <is>
          <t>HALLANDS LÄN</t>
        </is>
      </c>
      <c r="G443" t="inlineStr">
        <is>
          <t>HALMSTAD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46282</v>
      </c>
      <c r="F444" t="inlineStr">
        <is>
          <t>HALLANDS LÄN</t>
        </is>
      </c>
      <c r="G444" t="inlineStr">
        <is>
          <t>HALMSTAD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46282</v>
      </c>
      <c r="F445" t="inlineStr">
        <is>
          <t>HALLANDS LÄN</t>
        </is>
      </c>
      <c r="G445" t="inlineStr">
        <is>
          <t>HALMSTAD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40702-2023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46282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45531</v>
      </c>
      <c r="E447" s="1" t="n">
        <v>46282</v>
      </c>
      <c r="F447" t="inlineStr">
        <is>
          <t>HALLANDS LÄN</t>
        </is>
      </c>
      <c r="G447" t="inlineStr">
        <is>
          <t>HALMSTAD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22419-2022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44713</v>
      </c>
      <c r="E448" s="1" t="n">
        <v>46282</v>
      </c>
      <c r="F448" t="inlineStr">
        <is>
          <t>HALLANDS LÄN</t>
        </is>
      </c>
      <c r="G448" t="inlineStr">
        <is>
          <t>HALMSTAD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46282</v>
      </c>
      <c r="F449" t="inlineStr">
        <is>
          <t>HALLANDS LÄN</t>
        </is>
      </c>
      <c r="G449" t="inlineStr">
        <is>
          <t>HALMSTAD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46282</v>
      </c>
      <c r="F450" t="inlineStr">
        <is>
          <t>HALLANDS LÄN</t>
        </is>
      </c>
      <c r="G450" t="inlineStr">
        <is>
          <t>HALMSTAD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46282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46282</v>
      </c>
      <c r="F452" t="inlineStr">
        <is>
          <t>HALLANDS LÄN</t>
        </is>
      </c>
      <c r="G452" t="inlineStr">
        <is>
          <t>HALMSTAD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46282</v>
      </c>
      <c r="F453" t="inlineStr">
        <is>
          <t>HALLANDS LÄN</t>
        </is>
      </c>
      <c r="G453" t="inlineStr">
        <is>
          <t>HALMSTAD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46210</v>
      </c>
      <c r="E454" s="1" t="n">
        <v>46282</v>
      </c>
      <c r="F454" t="inlineStr">
        <is>
          <t>HALLANDS LÄN</t>
        </is>
      </c>
      <c r="G454" t="inlineStr">
        <is>
          <t>HALMSTAD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30503-2026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46282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15678-2024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45404</v>
      </c>
      <c r="E456" s="1" t="n">
        <v>46282</v>
      </c>
      <c r="F456" t="inlineStr">
        <is>
          <t>HALLANDS LÄN</t>
        </is>
      </c>
      <c r="G456" t="inlineStr">
        <is>
          <t>HALMSTAD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46282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46282</v>
      </c>
      <c r="F458" t="inlineStr">
        <is>
          <t>HALLANDS LÄN</t>
        </is>
      </c>
      <c r="G458" t="inlineStr">
        <is>
          <t>HALMSTAD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46210</v>
      </c>
      <c r="E459" s="1" t="n">
        <v>46282</v>
      </c>
      <c r="F459" t="inlineStr">
        <is>
          <t>HALLANDS LÄN</t>
        </is>
      </c>
      <c r="G459" t="inlineStr">
        <is>
          <t>HALMSTAD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46210</v>
      </c>
      <c r="E460" s="1" t="n">
        <v>46282</v>
      </c>
      <c r="F460" t="inlineStr">
        <is>
          <t>HALLANDS LÄN</t>
        </is>
      </c>
      <c r="G460" t="inlineStr">
        <is>
          <t>HALMSTAD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46210</v>
      </c>
      <c r="E461" s="1" t="n">
        <v>46282</v>
      </c>
      <c r="F461" t="inlineStr">
        <is>
          <t>HALLANDS LÄN</t>
        </is>
      </c>
      <c r="G461" t="inlineStr">
        <is>
          <t>HALMSTAD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30498-2026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46210</v>
      </c>
      <c r="E462" s="1" t="n">
        <v>46282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50319-2024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45600</v>
      </c>
      <c r="E463" s="1" t="n">
        <v>46282</v>
      </c>
      <c r="F463" t="inlineStr">
        <is>
          <t>HALLANDS LÄN</t>
        </is>
      </c>
      <c r="G463" t="inlineStr">
        <is>
          <t>HALMSTAD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52469-2021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44466</v>
      </c>
      <c r="E464" s="1" t="n">
        <v>46282</v>
      </c>
      <c r="F464" t="inlineStr">
        <is>
          <t>HALLANDS LÄN</t>
        </is>
      </c>
      <c r="G464" t="inlineStr">
        <is>
          <t>HALMSTAD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8114-2023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44974</v>
      </c>
      <c r="E465" s="1" t="n">
        <v>46282</v>
      </c>
      <c r="F465" t="inlineStr">
        <is>
          <t>HALLANDS LÄN</t>
        </is>
      </c>
      <c r="G465" t="inlineStr">
        <is>
          <t>HALMSTAD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46282</v>
      </c>
      <c r="F466" t="inlineStr">
        <is>
          <t>HALLANDS LÄN</t>
        </is>
      </c>
      <c r="G466" t="inlineStr">
        <is>
          <t>HALMSTAD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34625-2026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46282</v>
      </c>
      <c r="F467" t="inlineStr">
        <is>
          <t>HALLANDS LÄN</t>
        </is>
      </c>
      <c r="G467" t="inlineStr">
        <is>
          <t>HALMSTAD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46282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46282</v>
      </c>
      <c r="F469" t="inlineStr">
        <is>
          <t>HALLANDS LÄN</t>
        </is>
      </c>
      <c r="G469" t="inlineStr">
        <is>
          <t>HALMSTAD</t>
        </is>
      </c>
      <c r="H469" t="inlineStr">
        <is>
          <t>Bergvik skog väst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45169</v>
      </c>
      <c r="E470" s="1" t="n">
        <v>46282</v>
      </c>
      <c r="F470" t="inlineStr">
        <is>
          <t>HALLANDS LÄN</t>
        </is>
      </c>
      <c r="G470" t="inlineStr">
        <is>
          <t>HALMSTAD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46282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35020-2026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46259</v>
      </c>
      <c r="E472" s="1" t="n">
        <v>46282</v>
      </c>
      <c r="F472" t="inlineStr">
        <is>
          <t>HALLANDS LÄN</t>
        </is>
      </c>
      <c r="G472" t="inlineStr">
        <is>
          <t>HALMSTAD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46282</v>
      </c>
      <c r="F473" t="inlineStr">
        <is>
          <t>HALLANDS LÄN</t>
        </is>
      </c>
      <c r="G473" t="inlineStr">
        <is>
          <t>HALMSTAD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47668-2023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45203</v>
      </c>
      <c r="E474" s="1" t="n">
        <v>46282</v>
      </c>
      <c r="F474" t="inlineStr">
        <is>
          <t>HALLANDS LÄN</t>
        </is>
      </c>
      <c r="G474" t="inlineStr">
        <is>
          <t>HALMSTAD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46282</v>
      </c>
      <c r="F475" t="inlineStr">
        <is>
          <t>HALLANDS LÄN</t>
        </is>
      </c>
      <c r="G475" t="inlineStr">
        <is>
          <t>HALMSTAD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46282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46282</v>
      </c>
      <c r="F477" t="inlineStr">
        <is>
          <t>HALLANDS LÄN</t>
        </is>
      </c>
      <c r="G477" t="inlineStr">
        <is>
          <t>HALMSTAD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46282</v>
      </c>
      <c r="F478" t="inlineStr">
        <is>
          <t>HALLANDS LÄN</t>
        </is>
      </c>
      <c r="G478" t="inlineStr">
        <is>
          <t>HALMSTAD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35805-2026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46282</v>
      </c>
      <c r="F479" t="inlineStr">
        <is>
          <t>HALLANDS LÄN</t>
        </is>
      </c>
      <c r="G479" t="inlineStr">
        <is>
          <t>HALMSTAD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46282</v>
      </c>
      <c r="F480" t="inlineStr">
        <is>
          <t>HALLANDS LÄN</t>
        </is>
      </c>
      <c r="G480" t="inlineStr">
        <is>
          <t>HALMSTAD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46282</v>
      </c>
      <c r="F481" t="inlineStr">
        <is>
          <t>HALLANDS LÄN</t>
        </is>
      </c>
      <c r="G481" t="inlineStr">
        <is>
          <t>HALMSTAD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35185-2026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46260</v>
      </c>
      <c r="E482" s="1" t="n">
        <v>46282</v>
      </c>
      <c r="F482" t="inlineStr">
        <is>
          <t>HALLANDS LÄN</t>
        </is>
      </c>
      <c r="G482" t="inlineStr">
        <is>
          <t>HALMSTAD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46282</v>
      </c>
      <c r="F483" t="inlineStr">
        <is>
          <t>HALLANDS LÄN</t>
        </is>
      </c>
      <c r="G483" t="inlineStr">
        <is>
          <t>HALMSTAD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55596-2023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45238</v>
      </c>
      <c r="E484" s="1" t="n">
        <v>46282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46282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41626-2022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44827</v>
      </c>
      <c r="E486" s="1" t="n">
        <v>46282</v>
      </c>
      <c r="F486" t="inlineStr">
        <is>
          <t>HALLANDS LÄN</t>
        </is>
      </c>
      <c r="G486" t="inlineStr">
        <is>
          <t>HALMSTAD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41786-2024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45561</v>
      </c>
      <c r="E487" s="1" t="n">
        <v>46282</v>
      </c>
      <c r="F487" t="inlineStr">
        <is>
          <t>HALLANDS LÄN</t>
        </is>
      </c>
      <c r="G487" t="inlineStr">
        <is>
          <t>HALMSTAD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46282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46282</v>
      </c>
      <c r="F489" t="inlineStr">
        <is>
          <t>HALLANDS LÄN</t>
        </is>
      </c>
      <c r="G489" t="inlineStr">
        <is>
          <t>HALMSTAD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46282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45450</v>
      </c>
      <c r="E491" s="1" t="n">
        <v>46282</v>
      </c>
      <c r="F491" t="inlineStr">
        <is>
          <t>HALLANDS LÄN</t>
        </is>
      </c>
      <c r="G491" t="inlineStr">
        <is>
          <t>HALMSTAD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19468-2024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45429</v>
      </c>
      <c r="E492" s="1" t="n">
        <v>46282</v>
      </c>
      <c r="F492" t="inlineStr">
        <is>
          <t>HALLANDS LÄN</t>
        </is>
      </c>
      <c r="G492" t="inlineStr">
        <is>
          <t>HALMSTAD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46282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46282</v>
      </c>
      <c r="F494" t="inlineStr">
        <is>
          <t>HALLANDS LÄN</t>
        </is>
      </c>
      <c r="G494" t="inlineStr">
        <is>
          <t>HALMSTAD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45306</v>
      </c>
      <c r="E495" s="1" t="n">
        <v>46282</v>
      </c>
      <c r="F495" t="inlineStr">
        <is>
          <t>HALLANDS LÄN</t>
        </is>
      </c>
      <c r="G495" t="inlineStr">
        <is>
          <t>HALMSTAD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54114-2021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44470</v>
      </c>
      <c r="E496" s="1" t="n">
        <v>46282</v>
      </c>
      <c r="F496" t="inlineStr">
        <is>
          <t>HALLANDS LÄN</t>
        </is>
      </c>
      <c r="G496" t="inlineStr">
        <is>
          <t>HALMSTAD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41836-2024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45561</v>
      </c>
      <c r="E497" s="1" t="n">
        <v>46282</v>
      </c>
      <c r="F497" t="inlineStr">
        <is>
          <t>HALLANDS LÄN</t>
        </is>
      </c>
      <c r="G497" t="inlineStr">
        <is>
          <t>HALMSTAD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50387-2023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45216</v>
      </c>
      <c r="E498" s="1" t="n">
        <v>46282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46282</v>
      </c>
      <c r="F499" t="inlineStr">
        <is>
          <t>HALLANDS LÄN</t>
        </is>
      </c>
      <c r="G499" t="inlineStr">
        <is>
          <t>HALMSTAD</t>
        </is>
      </c>
      <c r="I499" t="n">
        <v>10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44964</v>
      </c>
      <c r="E500" s="1" t="n">
        <v>46282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46027</v>
      </c>
      <c r="E501" s="1" t="n">
        <v>46282</v>
      </c>
      <c r="F501" t="inlineStr">
        <is>
          <t>HALLANDS LÄN</t>
        </is>
      </c>
      <c r="G501" t="inlineStr">
        <is>
          <t>HALMSTAD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46282</v>
      </c>
      <c r="F502" t="inlineStr">
        <is>
          <t>HALLANDS LÄN</t>
        </is>
      </c>
      <c r="G502" t="inlineStr">
        <is>
          <t>HALMSTAD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45677</v>
      </c>
      <c r="E503" s="1" t="n">
        <v>46282</v>
      </c>
      <c r="F503" t="inlineStr">
        <is>
          <t>HALLANDS LÄN</t>
        </is>
      </c>
      <c r="G503" t="inlineStr">
        <is>
          <t>HALMSTAD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46282</v>
      </c>
      <c r="F504" t="inlineStr">
        <is>
          <t>HALLANDS LÄN</t>
        </is>
      </c>
      <c r="G504" t="inlineStr">
        <is>
          <t>HALMSTAD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37586-2026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46276</v>
      </c>
      <c r="E505" s="1" t="n">
        <v>46282</v>
      </c>
      <c r="F505" t="inlineStr">
        <is>
          <t>HALLANDS LÄN</t>
        </is>
      </c>
      <c r="G505" t="inlineStr">
        <is>
          <t>HALMSTAD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45733</v>
      </c>
      <c r="E506" s="1" t="n">
        <v>46282</v>
      </c>
      <c r="F506" t="inlineStr">
        <is>
          <t>HALLANDS LÄN</t>
        </is>
      </c>
      <c r="G506" t="inlineStr">
        <is>
          <t>HALMSTAD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31543-2022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44775</v>
      </c>
      <c r="E507" s="1" t="n">
        <v>46282</v>
      </c>
      <c r="F507" t="inlineStr">
        <is>
          <t>HALLANDS LÄN</t>
        </is>
      </c>
      <c r="G507" t="inlineStr">
        <is>
          <t>HALMSTAD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46282</v>
      </c>
      <c r="F508" t="inlineStr">
        <is>
          <t>HALLANDS LÄN</t>
        </is>
      </c>
      <c r="G508" t="inlineStr">
        <is>
          <t>HALMSTAD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45267</v>
      </c>
      <c r="E509" s="1" t="n">
        <v>46282</v>
      </c>
      <c r="F509" t="inlineStr">
        <is>
          <t>HALLANDS LÄN</t>
        </is>
      </c>
      <c r="G509" t="inlineStr">
        <is>
          <t>HALMSTAD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37584-2026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46276</v>
      </c>
      <c r="E510" s="1" t="n">
        <v>46282</v>
      </c>
      <c r="F510" t="inlineStr">
        <is>
          <t>HALLANDS LÄN</t>
        </is>
      </c>
      <c r="G510" t="inlineStr">
        <is>
          <t>HALMSTAD</t>
        </is>
      </c>
      <c r="I510" t="n">
        <v>13.4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45586-2023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45194</v>
      </c>
      <c r="E511" s="1" t="n">
        <v>46282</v>
      </c>
      <c r="F511" t="inlineStr">
        <is>
          <t>HALLANDS LÄN</t>
        </is>
      </c>
      <c r="G511" t="inlineStr">
        <is>
          <t>HALMSTAD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53211-2023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45229</v>
      </c>
      <c r="E512" s="1" t="n">
        <v>46282</v>
      </c>
      <c r="F512" t="inlineStr">
        <is>
          <t>HALLANDS LÄN</t>
        </is>
      </c>
      <c r="G512" t="inlineStr">
        <is>
          <t>HALMSTAD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55006-2022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44886</v>
      </c>
      <c r="E513" s="1" t="n">
        <v>46282</v>
      </c>
      <c r="F513" t="inlineStr">
        <is>
          <t>HALLANDS LÄN</t>
        </is>
      </c>
      <c r="G513" t="inlineStr">
        <is>
          <t>HALMSTAD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45712</v>
      </c>
      <c r="E514" s="1" t="n">
        <v>46282</v>
      </c>
      <c r="F514" t="inlineStr">
        <is>
          <t>HALLANDS LÄN</t>
        </is>
      </c>
      <c r="G514" t="inlineStr">
        <is>
          <t>HALMSTAD</t>
        </is>
      </c>
      <c r="I514" t="n">
        <v>9.300000000000001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22710-2023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46282</v>
      </c>
      <c r="F515" t="inlineStr">
        <is>
          <t>HALLANDS LÄN</t>
        </is>
      </c>
      <c r="G515" t="inlineStr">
        <is>
          <t>HALMSTAD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45443</v>
      </c>
      <c r="E516" s="1" t="n">
        <v>46282</v>
      </c>
      <c r="F516" t="inlineStr">
        <is>
          <t>HALLANDS LÄN</t>
        </is>
      </c>
      <c r="G516" t="inlineStr">
        <is>
          <t>HALMSTAD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46282</v>
      </c>
      <c r="F517" t="inlineStr">
        <is>
          <t>HALLANDS LÄN</t>
        </is>
      </c>
      <c r="G517" t="inlineStr">
        <is>
          <t>HALMSTAD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45555</v>
      </c>
      <c r="E518" s="1" t="n">
        <v>46282</v>
      </c>
      <c r="F518" t="inlineStr">
        <is>
          <t>HALLANDS LÄN</t>
        </is>
      </c>
      <c r="G518" t="inlineStr">
        <is>
          <t>HALMSTAD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46282</v>
      </c>
      <c r="F519" t="inlineStr">
        <is>
          <t>HALLANDS LÄN</t>
        </is>
      </c>
      <c r="G519" t="inlineStr">
        <is>
          <t>HALMSTAD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23609-2025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45792</v>
      </c>
      <c r="E520" s="1" t="n">
        <v>46282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45694</v>
      </c>
      <c r="E521" s="1" t="n">
        <v>46282</v>
      </c>
      <c r="F521" t="inlineStr">
        <is>
          <t>HALLANDS LÄN</t>
        </is>
      </c>
      <c r="G521" t="inlineStr">
        <is>
          <t>HALMSTAD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44677</v>
      </c>
      <c r="E522" s="1" t="n">
        <v>46282</v>
      </c>
      <c r="F522" t="inlineStr">
        <is>
          <t>HALLANDS LÄN</t>
        </is>
      </c>
      <c r="G522" t="inlineStr">
        <is>
          <t>HALMSTAD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52913-2023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46282</v>
      </c>
      <c r="F523" t="inlineStr">
        <is>
          <t>HALLANDS LÄN</t>
        </is>
      </c>
      <c r="G523" t="inlineStr">
        <is>
          <t>HALMSTAD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42190-2024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45562</v>
      </c>
      <c r="E524" s="1" t="n">
        <v>46282</v>
      </c>
      <c r="F524" t="inlineStr">
        <is>
          <t>HALLANDS LÄN</t>
        </is>
      </c>
      <c r="G524" t="inlineStr">
        <is>
          <t>HALMSTAD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45797</v>
      </c>
      <c r="E525" s="1" t="n">
        <v>46282</v>
      </c>
      <c r="F525" t="inlineStr">
        <is>
          <t>HALLANDS LÄN</t>
        </is>
      </c>
      <c r="G525" t="inlineStr">
        <is>
          <t>HALMSTAD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45716</v>
      </c>
      <c r="E526" s="1" t="n">
        <v>46282</v>
      </c>
      <c r="F526" t="inlineStr">
        <is>
          <t>HALLANDS LÄN</t>
        </is>
      </c>
      <c r="G526" t="inlineStr">
        <is>
          <t>HALMSTAD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46282</v>
      </c>
      <c r="F527" t="inlineStr">
        <is>
          <t>HALLANDS LÄN</t>
        </is>
      </c>
      <c r="G527" t="inlineStr">
        <is>
          <t>HALMSTAD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56683-2024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45627</v>
      </c>
      <c r="E528" s="1" t="n">
        <v>46282</v>
      </c>
      <c r="F528" t="inlineStr">
        <is>
          <t>HALLANDS LÄN</t>
        </is>
      </c>
      <c r="G528" t="inlineStr">
        <is>
          <t>HALMSTAD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46282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46282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572-2022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44592</v>
      </c>
      <c r="E531" s="1" t="n">
        <v>46282</v>
      </c>
      <c r="F531" t="inlineStr">
        <is>
          <t>HALLANDS LÄN</t>
        </is>
      </c>
      <c r="G531" t="inlineStr">
        <is>
          <t>HALMSTAD</t>
        </is>
      </c>
      <c r="H531" t="inlineStr">
        <is>
          <t>Kyrkan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46282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46282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46282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3049-2024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45516</v>
      </c>
      <c r="E535" s="1" t="n">
        <v>46282</v>
      </c>
      <c r="F535" t="inlineStr">
        <is>
          <t>HALLANDS LÄN</t>
        </is>
      </c>
      <c r="G535" t="inlineStr">
        <is>
          <t>HALMSTAD</t>
        </is>
      </c>
      <c r="I535" t="n">
        <v>13.9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46282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46282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46282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46282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46282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46282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46282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46282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2026-09-17T01:58:45Z</dcterms:created>
  <dcterms:modified xmlns:dcterms="http://purl.org/dc/terms/" xmlns:xsi="http://www.w3.org/2001/XMLSchema-instance" xsi:type="dcterms:W3CDTF">2026-09-17T01:58:45Z</dcterms:modified>
</cp:coreProperties>
</file>
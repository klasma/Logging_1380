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46279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46279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46279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46279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46279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46279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46279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46279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46279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46279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46279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46279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46279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46279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46279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46279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46279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46279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46279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46279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46279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46279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46279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46279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46279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46279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46279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32822-2025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45839</v>
      </c>
      <c r="E48" s="1" t="n">
        <v>46279</v>
      </c>
      <c r="F48" t="inlineStr">
        <is>
          <t>HALLANDS LÄN</t>
        </is>
      </c>
      <c r="G48" t="inlineStr">
        <is>
          <t>HALMSTAD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HYPERLINK("https://klasma.github.io/Logging_1380/artfynd/A 32822-2025 artfynd.xlsx", "A 32822-2025")</f>
        <v/>
      </c>
      <c r="X48">
        <f>HYPERLINK("https://klasma.github.io/Logging_1380/kartor/A 32822-2025 karta.png", "A 32822-2025")</f>
        <v/>
      </c>
      <c r="Y48">
        <f>HYPERLINK("https://klasma.github.io/Logging_1380/kartor_geotiff/A 32822-2025 georefererad karta.tif", "A 32822-2025")</f>
        <v/>
      </c>
      <c r="AA48">
        <f>HYPERLINK("https://klasma.github.io/Logging_1380/klagomål/A 32822-2025 FSC-klagomål.docx", "A 32822-2025")</f>
        <v/>
      </c>
      <c r="AB48">
        <f>HYPERLINK("https://klasma.github.io/Logging_1380/klagomålsmail/A 32822-2025 FSC-klagomål mail.docx", "A 32822-2025")</f>
        <v/>
      </c>
      <c r="AC48">
        <f>HYPERLINK("https://klasma.github.io/Logging_1380/tillsyn/A 32822-2025 tillsynsbegäran.docx", "A 32822-2025")</f>
        <v/>
      </c>
      <c r="AD48">
        <f>HYPERLINK("https://klasma.github.io/Logging_1380/tillsynsmail/A 32822-2025 tillsynsbegäran mail.docx", "A 32822-2025")</f>
        <v/>
      </c>
    </row>
    <row r="49" ht="15" customHeight="1">
      <c r="A49" t="inlineStr">
        <is>
          <t>A 21488-2024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46279</v>
      </c>
      <c r="F49" t="inlineStr">
        <is>
          <t>HALLANDS LÄN</t>
        </is>
      </c>
      <c r="G49" t="inlineStr">
        <is>
          <t>HALMSTAD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Hårginst</t>
        </is>
      </c>
      <c r="W49">
        <f>HYPERLINK("https://klasma.github.io/Logging_1380/artfynd/A 21488-2024 artfynd.xlsx", "A 21488-2024")</f>
        <v/>
      </c>
      <c r="X49">
        <f>HYPERLINK("https://klasma.github.io/Logging_1380/kartor/A 21488-2024 karta.png", "A 21488-2024")</f>
        <v/>
      </c>
      <c r="Y49">
        <f>HYPERLINK("https://klasma.github.io/Logging_1380/kartor_geotiff/A 21488-2024 georefererad karta.tif", "A 21488-2024")</f>
        <v/>
      </c>
      <c r="AA49">
        <f>HYPERLINK("https://klasma.github.io/Logging_1380/klagomål/A 21488-2024 FSC-klagomål.docx", "A 21488-2024")</f>
        <v/>
      </c>
      <c r="AB49">
        <f>HYPERLINK("https://klasma.github.io/Logging_1380/klagomålsmail/A 21488-2024 FSC-klagomål mail.docx", "A 21488-2024")</f>
        <v/>
      </c>
      <c r="AC49">
        <f>HYPERLINK("https://klasma.github.io/Logging_1380/tillsyn/A 21488-2024 tillsynsbegäran.docx", "A 21488-2024")</f>
        <v/>
      </c>
      <c r="AD49">
        <f>HYPERLINK("https://klasma.github.io/Logging_1380/tillsynsmail/A 21488-2024 tillsynsbegäran mail.docx", "A 21488-2024")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46279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40659-2023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46279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40659-2023 artfynd.xlsx", "A 40659-2023")</f>
        <v/>
      </c>
      <c r="X51">
        <f>HYPERLINK("https://klasma.github.io/Logging_1380/kartor/A 40659-2023 karta.png", "A 40659-2023")</f>
        <v/>
      </c>
      <c r="Y51">
        <f>HYPERLINK("https://klasma.github.io/Logging_1380/kartor_geotiff/A 40659-2023 georefererad karta.tif", "A 40659-2023")</f>
        <v/>
      </c>
      <c r="AA51">
        <f>HYPERLINK("https://klasma.github.io/Logging_1380/klagomål/A 40659-2023 FSC-klagomål.docx", "A 40659-2023")</f>
        <v/>
      </c>
      <c r="AB51">
        <f>HYPERLINK("https://klasma.github.io/Logging_1380/klagomålsmail/A 40659-2023 FSC-klagomål mail.docx", "A 40659-2023")</f>
        <v/>
      </c>
      <c r="AC51">
        <f>HYPERLINK("https://klasma.github.io/Logging_1380/tillsyn/A 40659-2023 tillsynsbegäran.docx", "A 40659-2023")</f>
        <v/>
      </c>
      <c r="AD51">
        <f>HYPERLINK("https://klasma.github.io/Logging_1380/tillsynsmail/A 40659-2023 tillsynsbegäran mail.docx", "A 40659-2023")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46279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46279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46279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46279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46279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Hasselmus</t>
        </is>
      </c>
      <c r="W56">
        <f>HYPERLINK("https://klasma.github.io/Logging_1380/artfynd/A 10063-2022 artfynd.xlsx", "A 10063-2022")</f>
        <v/>
      </c>
      <c r="X56">
        <f>HYPERLINK("https://klasma.github.io/Logging_1380/kartor/A 10063-2022 karta.png", "A 10063-2022")</f>
        <v/>
      </c>
      <c r="Y56">
        <f>HYPERLINK("https://klasma.github.io/Logging_1380/kartor_geotiff/A 10063-2022 georefererad karta.tif", "A 10063-2022")</f>
        <v/>
      </c>
      <c r="AA56">
        <f>HYPERLINK("https://klasma.github.io/Logging_1380/klagomål/A 10063-2022 FSC-klagomål.docx", "A 10063-2022")</f>
        <v/>
      </c>
      <c r="AB56">
        <f>HYPERLINK("https://klasma.github.io/Logging_1380/klagomålsmail/A 10063-2022 FSC-klagomål mail.docx", "A 10063-2022")</f>
        <v/>
      </c>
      <c r="AC56">
        <f>HYPERLINK("https://klasma.github.io/Logging_1380/tillsyn/A 10063-2022 tillsynsbegäran.docx", "A 10063-2022")</f>
        <v/>
      </c>
      <c r="AD56">
        <f>HYPERLINK("https://klasma.github.io/Logging_1380/tillsynsmail/A 10063-2022 tillsynsbegäran mail.docx", "A 10063-2022")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46279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46279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9816-2025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46279</v>
      </c>
      <c r="F59" t="inlineStr">
        <is>
          <t>HALLANDS LÄN</t>
        </is>
      </c>
      <c r="G59" t="inlineStr">
        <is>
          <t>HALMSTAD</t>
        </is>
      </c>
      <c r="H59" t="inlineStr">
        <is>
          <t>Övriga statliga verk och myndigheter</t>
        </is>
      </c>
      <c r="I59" t="n">
        <v>9.4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HYPERLINK("https://klasma.github.io/Logging_1380/artfynd/A 9816-2025 artfynd.xlsx", "A 9816-2025")</f>
        <v/>
      </c>
      <c r="X59">
        <f>HYPERLINK("https://klasma.github.io/Logging_1380/kartor/A 9816-2025 karta.png", "A 9816-2025")</f>
        <v/>
      </c>
      <c r="Y59">
        <f>HYPERLINK("https://klasma.github.io/Logging_1380/kartor_geotiff/A 9816-2025 georefererad karta.tif", "A 9816-2025")</f>
        <v/>
      </c>
      <c r="AA59">
        <f>HYPERLINK("https://klasma.github.io/Logging_1380/klagomål/A 9816-2025 FSC-klagomål.docx", "A 9816-2025")</f>
        <v/>
      </c>
      <c r="AB59">
        <f>HYPERLINK("https://klasma.github.io/Logging_1380/klagomålsmail/A 9816-2025 FSC-klagomål mail.docx", "A 9816-2025")</f>
        <v/>
      </c>
      <c r="AC59">
        <f>HYPERLINK("https://klasma.github.io/Logging_1380/tillsyn/A 9816-2025 tillsynsbegäran.docx", "A 9816-2025")</f>
        <v/>
      </c>
      <c r="AD59">
        <f>HYPERLINK("https://klasma.github.io/Logging_1380/tillsynsmail/A 9816-2025 tillsynsbegäran mail.docx", "A 9816-2025")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46279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53797-2024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46279</v>
      </c>
      <c r="F61" t="inlineStr">
        <is>
          <t>HALLANDS LÄN</t>
        </is>
      </c>
      <c r="G61" t="inlineStr">
        <is>
          <t>HALMSTAD</t>
        </is>
      </c>
      <c r="I61" t="n">
        <v>3.5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Dvärglin</t>
        </is>
      </c>
      <c r="W61">
        <f>HYPERLINK("https://klasma.github.io/Logging_1380/artfynd/A 53797-2024 artfynd.xlsx", "A 53797-2024")</f>
        <v/>
      </c>
      <c r="X61">
        <f>HYPERLINK("https://klasma.github.io/Logging_1380/kartor/A 53797-2024 karta.png", "A 53797-2024")</f>
        <v/>
      </c>
      <c r="Y61">
        <f>HYPERLINK("https://klasma.github.io/Logging_1380/kartor_geotiff/A 53797-2024 georefererad karta.tif", "A 53797-2024")</f>
        <v/>
      </c>
      <c r="AA61">
        <f>HYPERLINK("https://klasma.github.io/Logging_1380/klagomål/A 53797-2024 FSC-klagomål.docx", "A 53797-2024")</f>
        <v/>
      </c>
      <c r="AB61">
        <f>HYPERLINK("https://klasma.github.io/Logging_1380/klagomålsmail/A 53797-2024 FSC-klagomål mail.docx", "A 53797-2024")</f>
        <v/>
      </c>
      <c r="AC61">
        <f>HYPERLINK("https://klasma.github.io/Logging_1380/tillsyn/A 53797-2024 tillsynsbegäran.docx", "A 53797-2024")</f>
        <v/>
      </c>
      <c r="AD61">
        <f>HYPERLINK("https://klasma.github.io/Logging_1380/tillsynsmail/A 53797-2024 tillsynsbegäran mail.docx", "A 53797-2024")</f>
        <v/>
      </c>
    </row>
    <row r="62" ht="15" customHeight="1">
      <c r="A62" t="inlineStr">
        <is>
          <t>A 15579-2026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46106</v>
      </c>
      <c r="E62" s="1" t="n">
        <v>46279</v>
      </c>
      <c r="F62" t="inlineStr">
        <is>
          <t>HALLANDS LÄN</t>
        </is>
      </c>
      <c r="G62" t="inlineStr">
        <is>
          <t>HALMSTAD</t>
        </is>
      </c>
      <c r="I62" t="n">
        <v>3.7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Åkerrättika</t>
        </is>
      </c>
      <c r="W62">
        <f>HYPERLINK("https://klasma.github.io/Logging_1380/artfynd/A 15579-2026 artfynd.xlsx", "A 15579-2026")</f>
        <v/>
      </c>
      <c r="X62">
        <f>HYPERLINK("https://klasma.github.io/Logging_1380/kartor/A 15579-2026 karta.png", "A 15579-2026")</f>
        <v/>
      </c>
      <c r="Y62">
        <f>HYPERLINK("https://klasma.github.io/Logging_1380/kartor_geotiff/A 15579-2026 georefererad karta.tif", "A 15579-2026")</f>
        <v/>
      </c>
      <c r="AA62">
        <f>HYPERLINK("https://klasma.github.io/Logging_1380/klagomål/A 15579-2026 FSC-klagomål.docx", "A 15579-2026")</f>
        <v/>
      </c>
      <c r="AB62">
        <f>HYPERLINK("https://klasma.github.io/Logging_1380/klagomålsmail/A 15579-2026 FSC-klagomål mail.docx", "A 15579-2026")</f>
        <v/>
      </c>
      <c r="AC62">
        <f>HYPERLINK("https://klasma.github.io/Logging_1380/tillsyn/A 15579-2026 tillsynsbegäran.docx", "A 15579-2026")</f>
        <v/>
      </c>
      <c r="AD62">
        <f>HYPERLINK("https://klasma.github.io/Logging_1380/tillsynsmail/A 15579-2026 tillsynsbegäran mail.docx", "A 15579-2026")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46279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46279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46279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46279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Entita</t>
        </is>
      </c>
      <c r="W66">
        <f>HYPERLINK("https://klasma.github.io/Logging_1380/artfynd/A 32753-2023 artfynd.xlsx", "A 32753-2023")</f>
        <v/>
      </c>
      <c r="X66">
        <f>HYPERLINK("https://klasma.github.io/Logging_1380/kartor/A 32753-2023 karta.png", "A 32753-2023")</f>
        <v/>
      </c>
      <c r="Y66">
        <f>HYPERLINK("https://klasma.github.io/Logging_1380/kartor_geotiff/A 32753-2023 georefererad karta.tif", "A 32753-2023")</f>
        <v/>
      </c>
      <c r="AA66">
        <f>HYPERLINK("https://klasma.github.io/Logging_1380/klagomål/A 32753-2023 FSC-klagomål.docx", "A 32753-2023")</f>
        <v/>
      </c>
      <c r="AB66">
        <f>HYPERLINK("https://klasma.github.io/Logging_1380/klagomålsmail/A 32753-2023 FSC-klagomål mail.docx", "A 32753-2023")</f>
        <v/>
      </c>
      <c r="AC66">
        <f>HYPERLINK("https://klasma.github.io/Logging_1380/tillsyn/A 32753-2023 tillsynsbegäran.docx", "A 32753-2023")</f>
        <v/>
      </c>
      <c r="AD66">
        <f>HYPERLINK("https://klasma.github.io/Logging_1380/tillsynsmail/A 32753-2023 tillsynsbegäran mail.docx", "A 32753-2023")</f>
        <v/>
      </c>
      <c r="AE66">
        <f>HYPERLINK("https://klasma.github.io/Logging_1380/fåglar/A 32753-2023 prioriterade fågelarter.docx", "A 32753-2023")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46279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46279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46279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46279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36808-2023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46279</v>
      </c>
      <c r="F71" t="inlineStr">
        <is>
          <t>HALLANDS LÄN</t>
        </is>
      </c>
      <c r="G71" t="inlineStr">
        <is>
          <t>HALMSTAD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Ljungögontröst</t>
        </is>
      </c>
      <c r="W71">
        <f>HYPERLINK("https://klasma.github.io/Logging_1380/artfynd/A 36808-2023 artfynd.xlsx", "A 36808-2023")</f>
        <v/>
      </c>
      <c r="X71">
        <f>HYPERLINK("https://klasma.github.io/Logging_1380/kartor/A 36808-2023 karta.png", "A 36808-2023")</f>
        <v/>
      </c>
      <c r="Y71">
        <f>HYPERLINK("https://klasma.github.io/Logging_1380/kartor_geotiff/A 36808-2023 georefererad karta.tif", "A 36808-2023")</f>
        <v/>
      </c>
      <c r="AA71">
        <f>HYPERLINK("https://klasma.github.io/Logging_1380/klagomål/A 36808-2023 FSC-klagomål.docx", "A 36808-2023")</f>
        <v/>
      </c>
      <c r="AB71">
        <f>HYPERLINK("https://klasma.github.io/Logging_1380/klagomålsmail/A 36808-2023 FSC-klagomål mail.docx", "A 36808-2023")</f>
        <v/>
      </c>
      <c r="AC71">
        <f>HYPERLINK("https://klasma.github.io/Logging_1380/tillsyn/A 36808-2023 tillsynsbegäran.docx", "A 36808-2023")</f>
        <v/>
      </c>
      <c r="AD71">
        <f>HYPERLINK("https://klasma.github.io/Logging_1380/tillsynsmail/A 36808-2023 tillsynsbegäran mail.docx", "A 36808-2023")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46279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46279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46279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46279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46279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46279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Månlåsbräken</t>
        </is>
      </c>
      <c r="W77">
        <f>HYPERLINK("https://klasma.github.io/Logging_1380/artfynd/A 1610-2024 artfynd.xlsx", "A 1610-2024")</f>
        <v/>
      </c>
      <c r="X77">
        <f>HYPERLINK("https://klasma.github.io/Logging_1380/kartor/A 1610-2024 karta.png", "A 1610-2024")</f>
        <v/>
      </c>
      <c r="Y77">
        <f>HYPERLINK("https://klasma.github.io/Logging_1380/kartor_geotiff/A 1610-2024 georefererad karta.tif", "A 1610-2024")</f>
        <v/>
      </c>
      <c r="AA77">
        <f>HYPERLINK("https://klasma.github.io/Logging_1380/klagomål/A 1610-2024 FSC-klagomål.docx", "A 1610-2024")</f>
        <v/>
      </c>
      <c r="AB77">
        <f>HYPERLINK("https://klasma.github.io/Logging_1380/klagomålsmail/A 1610-2024 FSC-klagomål mail.docx", "A 1610-2024")</f>
        <v/>
      </c>
      <c r="AC77">
        <f>HYPERLINK("https://klasma.github.io/Logging_1380/tillsyn/A 1610-2024 tillsynsbegäran.docx", "A 1610-2024")</f>
        <v/>
      </c>
      <c r="AD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46279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5530-2025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45692</v>
      </c>
      <c r="E79" s="1" t="n">
        <v>46279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1</v>
      </c>
      <c r="V79" s="2" t="inlineStr">
        <is>
          <t>Igelkott</t>
        </is>
      </c>
      <c r="W79">
        <f>HYPERLINK("https://klasma.github.io/Logging_1380/artfynd/A 5530-2025 artfynd.xlsx", "A 5530-2025")</f>
        <v/>
      </c>
      <c r="X79">
        <f>HYPERLINK("https://klasma.github.io/Logging_1380/kartor/A 5530-2025 karta.png", "A 5530-2025")</f>
        <v/>
      </c>
      <c r="Y79">
        <f>HYPERLINK("https://klasma.github.io/Logging_1380/kartor_geotiff/A 5530-2025 georefererad karta.tif", "A 5530-2025")</f>
        <v/>
      </c>
      <c r="AA79">
        <f>HYPERLINK("https://klasma.github.io/Logging_1380/klagomål/A 5530-2025 FSC-klagomål.docx", "A 5530-2025")</f>
        <v/>
      </c>
      <c r="AB79">
        <f>HYPERLINK("https://klasma.github.io/Logging_1380/klagomålsmail/A 5530-2025 FSC-klagomål mail.docx", "A 5530-2025")</f>
        <v/>
      </c>
      <c r="AC79">
        <f>HYPERLINK("https://klasma.github.io/Logging_1380/tillsyn/A 5530-2025 tillsynsbegäran.docx", "A 5530-2025")</f>
        <v/>
      </c>
      <c r="AD79">
        <f>HYPERLINK("https://klasma.github.io/Logging_1380/tillsynsmail/A 5530-2025 tillsynsbegäran mail.docx", "A 5530-2025")</f>
        <v/>
      </c>
    </row>
    <row r="80" ht="15" customHeight="1">
      <c r="A80" t="inlineStr">
        <is>
          <t>A 21483-2024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46279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21483-2024 artfynd.xlsx", "A 21483-2024")</f>
        <v/>
      </c>
      <c r="X80">
        <f>HYPERLINK("https://klasma.github.io/Logging_1380/kartor/A 21483-2024 karta.png", "A 21483-2024")</f>
        <v/>
      </c>
      <c r="Y80">
        <f>HYPERLINK("https://klasma.github.io/Logging_1380/kartor_geotiff/A 21483-2024 georefererad karta.tif", "A 21483-2024")</f>
        <v/>
      </c>
      <c r="AA80">
        <f>HYPERLINK("https://klasma.github.io/Logging_1380/klagomål/A 21483-2024 FSC-klagomål.docx", "A 21483-2024")</f>
        <v/>
      </c>
      <c r="AB80">
        <f>HYPERLINK("https://klasma.github.io/Logging_1380/klagomålsmail/A 21483-2024 FSC-klagomål mail.docx", "A 21483-2024")</f>
        <v/>
      </c>
      <c r="AC80">
        <f>HYPERLINK("https://klasma.github.io/Logging_1380/tillsyn/A 21483-2024 tillsynsbegäran.docx", "A 21483-2024")</f>
        <v/>
      </c>
      <c r="AD80">
        <f>HYPERLINK("https://klasma.github.io/Logging_1380/tillsynsmail/A 21483-2024 tillsynsbegäran mail.docx", "A 21483-2024")</f>
        <v/>
      </c>
    </row>
    <row r="81" ht="15" customHeight="1">
      <c r="A81" t="inlineStr">
        <is>
          <t>A 27386-2025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46279</v>
      </c>
      <c r="F81" t="inlineStr">
        <is>
          <t>HALLANDS LÄN</t>
        </is>
      </c>
      <c r="G81" t="inlineStr">
        <is>
          <t>HALMSTAD</t>
        </is>
      </c>
      <c r="I81" t="n">
        <v>8.5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27386-2025 artfynd.xlsx", "A 27386-2025")</f>
        <v/>
      </c>
      <c r="X81">
        <f>HYPERLINK("https://klasma.github.io/Logging_1380/kartor/A 27386-2025 karta.png", "A 27386-2025")</f>
        <v/>
      </c>
      <c r="Y81">
        <f>HYPERLINK("https://klasma.github.io/Logging_1380/kartor_geotiff/A 27386-2025 georefererad karta.tif", "A 27386-2025")</f>
        <v/>
      </c>
      <c r="AA81">
        <f>HYPERLINK("https://klasma.github.io/Logging_1380/klagomål/A 27386-2025 FSC-klagomål.docx", "A 27386-2025")</f>
        <v/>
      </c>
      <c r="AB81">
        <f>HYPERLINK("https://klasma.github.io/Logging_1380/klagomålsmail/A 27386-2025 FSC-klagomål mail.docx", "A 27386-2025")</f>
        <v/>
      </c>
      <c r="AC81">
        <f>HYPERLINK("https://klasma.github.io/Logging_1380/tillsyn/A 27386-2025 tillsynsbegäran.docx", "A 27386-2025")</f>
        <v/>
      </c>
      <c r="AD81">
        <f>HYPERLINK("https://klasma.github.io/Logging_1380/tillsynsmail/A 27386-2025 tillsynsbegäran mail.docx", "A 27386-2025")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46279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46279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46279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46279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46279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46279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46279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46279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46279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46279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46279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46279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46279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46279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46279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46279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46279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46279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46279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46279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46279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46279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46279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46279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46279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46279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46279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46279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46279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46279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46279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46279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46279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46279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46279</v>
      </c>
      <c r="F116" t="inlineStr">
        <is>
          <t>HALLANDS LÄN</t>
        </is>
      </c>
      <c r="G116" t="inlineStr">
        <is>
          <t>HALMSTAD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45217</v>
      </c>
      <c r="E117" s="1" t="n">
        <v>46279</v>
      </c>
      <c r="F117" t="inlineStr">
        <is>
          <t>HALLANDS LÄN</t>
        </is>
      </c>
      <c r="G117" t="inlineStr">
        <is>
          <t>HALMSTAD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46279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46279</v>
      </c>
      <c r="F119" t="inlineStr">
        <is>
          <t>HALLANDS LÄN</t>
        </is>
      </c>
      <c r="G119" t="inlineStr">
        <is>
          <t>HALMSTAD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46279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46279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46279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61853-2023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45265</v>
      </c>
      <c r="E123" s="1" t="n">
        <v>46279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46279</v>
      </c>
      <c r="F124" t="inlineStr">
        <is>
          <t>HALLANDS LÄN</t>
        </is>
      </c>
      <c r="G124" t="inlineStr">
        <is>
          <t>HALMSTAD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44802</v>
      </c>
      <c r="E125" s="1" t="n">
        <v>46279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46279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45306</v>
      </c>
      <c r="E127" s="1" t="n">
        <v>46279</v>
      </c>
      <c r="F127" t="inlineStr">
        <is>
          <t>HALLANDS LÄN</t>
        </is>
      </c>
      <c r="G127" t="inlineStr">
        <is>
          <t>HALMSTAD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44886</v>
      </c>
      <c r="E128" s="1" t="n">
        <v>46279</v>
      </c>
      <c r="F128" t="inlineStr">
        <is>
          <t>HALLANDS LÄN</t>
        </is>
      </c>
      <c r="G128" t="inlineStr">
        <is>
          <t>HALMSTAD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46279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46279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45476</v>
      </c>
      <c r="E131" s="1" t="n">
        <v>46279</v>
      </c>
      <c r="F131" t="inlineStr">
        <is>
          <t>HALLANDS LÄN</t>
        </is>
      </c>
      <c r="G131" t="inlineStr">
        <is>
          <t>HALMSTAD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46279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46279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45485</v>
      </c>
      <c r="E134" s="1" t="n">
        <v>46279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44885</v>
      </c>
      <c r="E135" s="1" t="n">
        <v>46279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46279</v>
      </c>
      <c r="F136" t="inlineStr">
        <is>
          <t>HALLANDS LÄN</t>
        </is>
      </c>
      <c r="G136" t="inlineStr">
        <is>
          <t>HALMSTAD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46279</v>
      </c>
      <c r="F137" t="inlineStr">
        <is>
          <t>HALLANDS LÄN</t>
        </is>
      </c>
      <c r="G137" t="inlineStr">
        <is>
          <t>HALMSTAD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46279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46279</v>
      </c>
      <c r="F139" t="inlineStr">
        <is>
          <t>HALLANDS LÄN</t>
        </is>
      </c>
      <c r="G139" t="inlineStr">
        <is>
          <t>HALMSTAD</t>
        </is>
      </c>
      <c r="I139" t="n">
        <v>11.8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46279</v>
      </c>
      <c r="F140" t="inlineStr">
        <is>
          <t>HALLANDS LÄN</t>
        </is>
      </c>
      <c r="G140" t="inlineStr">
        <is>
          <t>HALMSTAD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44610</v>
      </c>
      <c r="E141" s="1" t="n">
        <v>46279</v>
      </c>
      <c r="F141" t="inlineStr">
        <is>
          <t>HALLANDS LÄN</t>
        </is>
      </c>
      <c r="G141" t="inlineStr">
        <is>
          <t>HALMSTAD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46279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22070-2022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44711</v>
      </c>
      <c r="E143" s="1" t="n">
        <v>46279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45537</v>
      </c>
      <c r="E144" s="1" t="n">
        <v>46279</v>
      </c>
      <c r="F144" t="inlineStr">
        <is>
          <t>HALLANDS LÄN</t>
        </is>
      </c>
      <c r="G144" t="inlineStr">
        <is>
          <t>HALMSTAD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46279</v>
      </c>
      <c r="F145" t="inlineStr">
        <is>
          <t>HALLANDS LÄN</t>
        </is>
      </c>
      <c r="G145" t="inlineStr">
        <is>
          <t>HALMSTAD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46279</v>
      </c>
      <c r="F146" t="inlineStr">
        <is>
          <t>HALLANDS LÄN</t>
        </is>
      </c>
      <c r="G146" t="inlineStr">
        <is>
          <t>HALMSTAD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44687</v>
      </c>
      <c r="E147" s="1" t="n">
        <v>46279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46279</v>
      </c>
      <c r="F148" t="inlineStr">
        <is>
          <t>HALLANDS LÄN</t>
        </is>
      </c>
      <c r="G148" t="inlineStr">
        <is>
          <t>HALMSTAD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46279</v>
      </c>
      <c r="F149" t="inlineStr">
        <is>
          <t>HALLANDS LÄN</t>
        </is>
      </c>
      <c r="G149" t="inlineStr">
        <is>
          <t>HALMSTAD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46279</v>
      </c>
      <c r="F150" t="inlineStr">
        <is>
          <t>HALLANDS LÄN</t>
        </is>
      </c>
      <c r="G150" t="inlineStr">
        <is>
          <t>HALMSTAD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46279</v>
      </c>
      <c r="F151" t="inlineStr">
        <is>
          <t>HALLANDS LÄN</t>
        </is>
      </c>
      <c r="G151" t="inlineStr">
        <is>
          <t>HALMSTAD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46066</v>
      </c>
      <c r="E152" s="1" t="n">
        <v>46279</v>
      </c>
      <c r="F152" t="inlineStr">
        <is>
          <t>HALLANDS LÄN</t>
        </is>
      </c>
      <c r="G152" t="inlineStr">
        <is>
          <t>HALMSTAD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46279</v>
      </c>
      <c r="F153" t="inlineStr">
        <is>
          <t>HALLANDS LÄN</t>
        </is>
      </c>
      <c r="G153" t="inlineStr">
        <is>
          <t>HALMSTAD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46279</v>
      </c>
      <c r="F154" t="inlineStr">
        <is>
          <t>HALLANDS LÄN</t>
        </is>
      </c>
      <c r="G154" t="inlineStr">
        <is>
          <t>HALMSTAD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46279</v>
      </c>
      <c r="F155" t="inlineStr">
        <is>
          <t>HALLANDS LÄN</t>
        </is>
      </c>
      <c r="G155" t="inlineStr">
        <is>
          <t>HALMSTAD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46279</v>
      </c>
      <c r="F156" t="inlineStr">
        <is>
          <t>HALLANDS LÄN</t>
        </is>
      </c>
      <c r="G156" t="inlineStr">
        <is>
          <t>HALMSTAD</t>
        </is>
      </c>
      <c r="H156" t="inlineStr">
        <is>
          <t>Bergvik skog väst AB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46279</v>
      </c>
      <c r="F157" t="inlineStr">
        <is>
          <t>HALLANDS LÄN</t>
        </is>
      </c>
      <c r="G157" t="inlineStr">
        <is>
          <t>HALMSTAD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46279</v>
      </c>
      <c r="F158" t="inlineStr">
        <is>
          <t>HALLANDS LÄN</t>
        </is>
      </c>
      <c r="G158" t="inlineStr">
        <is>
          <t>HALMSTAD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46279</v>
      </c>
      <c r="F159" t="inlineStr">
        <is>
          <t>HALLANDS LÄN</t>
        </is>
      </c>
      <c r="G159" t="inlineStr">
        <is>
          <t>HALMSTAD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46279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46279</v>
      </c>
      <c r="F161" t="inlineStr">
        <is>
          <t>HALLANDS LÄN</t>
        </is>
      </c>
      <c r="G161" t="inlineStr">
        <is>
          <t>HALMSTAD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46279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45750</v>
      </c>
      <c r="E163" s="1" t="n">
        <v>46279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46279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44642</v>
      </c>
      <c r="E165" s="1" t="n">
        <v>46279</v>
      </c>
      <c r="F165" t="inlineStr">
        <is>
          <t>HALLANDS LÄN</t>
        </is>
      </c>
      <c r="G165" t="inlineStr">
        <is>
          <t>HALMSTAD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45769</v>
      </c>
      <c r="E166" s="1" t="n">
        <v>46279</v>
      </c>
      <c r="F166" t="inlineStr">
        <is>
          <t>HALLANDS LÄN</t>
        </is>
      </c>
      <c r="G166" t="inlineStr">
        <is>
          <t>HALMSTAD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46279</v>
      </c>
      <c r="F167" t="inlineStr">
        <is>
          <t>HALLANDS LÄN</t>
        </is>
      </c>
      <c r="G167" t="inlineStr">
        <is>
          <t>HALMSTAD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46279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46279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46279</v>
      </c>
      <c r="F170" t="inlineStr">
        <is>
          <t>HALLANDS LÄN</t>
        </is>
      </c>
      <c r="G170" t="inlineStr">
        <is>
          <t>HALMSTAD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46279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46279</v>
      </c>
      <c r="F172" t="inlineStr">
        <is>
          <t>HALLANDS LÄN</t>
        </is>
      </c>
      <c r="G172" t="inlineStr">
        <is>
          <t>HALMSTAD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46279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46279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46279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46279</v>
      </c>
      <c r="F176" t="inlineStr">
        <is>
          <t>HALLANDS LÄN</t>
        </is>
      </c>
      <c r="G176" t="inlineStr">
        <is>
          <t>HALMSTAD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45006</v>
      </c>
      <c r="E177" s="1" t="n">
        <v>46279</v>
      </c>
      <c r="F177" t="inlineStr">
        <is>
          <t>HALLANDS LÄN</t>
        </is>
      </c>
      <c r="G177" t="inlineStr">
        <is>
          <t>HALMSTAD</t>
        </is>
      </c>
      <c r="H177" t="inlineStr">
        <is>
          <t>Bergvik skog väst AB</t>
        </is>
      </c>
      <c r="I177" t="n">
        <v>8.6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46279</v>
      </c>
      <c r="F178" t="inlineStr">
        <is>
          <t>HALLANDS LÄN</t>
        </is>
      </c>
      <c r="G178" t="inlineStr">
        <is>
          <t>HALMSTAD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46279</v>
      </c>
      <c r="F179" t="inlineStr">
        <is>
          <t>HALLANDS LÄN</t>
        </is>
      </c>
      <c r="G179" t="inlineStr">
        <is>
          <t>HALMSTAD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46279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46279</v>
      </c>
      <c r="F181" t="inlineStr">
        <is>
          <t>HALLANDS LÄN</t>
        </is>
      </c>
      <c r="G181" t="inlineStr">
        <is>
          <t>HALMSTAD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45740</v>
      </c>
      <c r="E182" s="1" t="n">
        <v>46279</v>
      </c>
      <c r="F182" t="inlineStr">
        <is>
          <t>HALLANDS LÄN</t>
        </is>
      </c>
      <c r="G182" t="inlineStr">
        <is>
          <t>HALMSTAD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45854</v>
      </c>
      <c r="E183" s="1" t="n">
        <v>46279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46279</v>
      </c>
      <c r="F184" t="inlineStr">
        <is>
          <t>HALLANDS LÄN</t>
        </is>
      </c>
      <c r="G184" t="inlineStr">
        <is>
          <t>HALMSTAD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46279</v>
      </c>
      <c r="F185" t="inlineStr">
        <is>
          <t>HALLANDS LÄN</t>
        </is>
      </c>
      <c r="G185" t="inlineStr">
        <is>
          <t>HALMSTAD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46279</v>
      </c>
      <c r="F186" t="inlineStr">
        <is>
          <t>HALLANDS LÄN</t>
        </is>
      </c>
      <c r="G186" t="inlineStr">
        <is>
          <t>HALMSTAD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46279</v>
      </c>
      <c r="F187" t="inlineStr">
        <is>
          <t>HALLANDS LÄN</t>
        </is>
      </c>
      <c r="G187" t="inlineStr">
        <is>
          <t>HALMSTAD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46279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46279</v>
      </c>
      <c r="F189" t="inlineStr">
        <is>
          <t>HALLANDS LÄN</t>
        </is>
      </c>
      <c r="G189" t="inlineStr">
        <is>
          <t>HALMSTAD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46279</v>
      </c>
      <c r="F190" t="inlineStr">
        <is>
          <t>HALLANDS LÄN</t>
        </is>
      </c>
      <c r="G190" t="inlineStr">
        <is>
          <t>HALMSTAD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46279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45260</v>
      </c>
      <c r="E192" s="1" t="n">
        <v>46279</v>
      </c>
      <c r="F192" t="inlineStr">
        <is>
          <t>HALLANDS LÄN</t>
        </is>
      </c>
      <c r="G192" t="inlineStr">
        <is>
          <t>HALMSTAD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45493</v>
      </c>
      <c r="E193" s="1" t="n">
        <v>46279</v>
      </c>
      <c r="F193" t="inlineStr">
        <is>
          <t>HALLANDS LÄN</t>
        </is>
      </c>
      <c r="G193" t="inlineStr">
        <is>
          <t>HALMSTAD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46279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46279</v>
      </c>
      <c r="F195" t="inlineStr">
        <is>
          <t>HALLANDS LÄN</t>
        </is>
      </c>
      <c r="G195" t="inlineStr">
        <is>
          <t>HALMSTAD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46279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46279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45797</v>
      </c>
      <c r="E198" s="1" t="n">
        <v>46279</v>
      </c>
      <c r="F198" t="inlineStr">
        <is>
          <t>HALLANDS LÄN</t>
        </is>
      </c>
      <c r="G198" t="inlineStr">
        <is>
          <t>HALMSTAD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46279</v>
      </c>
      <c r="F199" t="inlineStr">
        <is>
          <t>HALLANDS LÄN</t>
        </is>
      </c>
      <c r="G199" t="inlineStr">
        <is>
          <t>HALMSTAD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46279</v>
      </c>
      <c r="F200" t="inlineStr">
        <is>
          <t>HALLANDS LÄN</t>
        </is>
      </c>
      <c r="G200" t="inlineStr">
        <is>
          <t>HALMSTAD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46279</v>
      </c>
      <c r="F201" t="inlineStr">
        <is>
          <t>HALLANDS LÄN</t>
        </is>
      </c>
      <c r="G201" t="inlineStr">
        <is>
          <t>HALMSTAD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45692</v>
      </c>
      <c r="E202" s="1" t="n">
        <v>46279</v>
      </c>
      <c r="F202" t="inlineStr">
        <is>
          <t>HALLANDS LÄN</t>
        </is>
      </c>
      <c r="G202" t="inlineStr">
        <is>
          <t>HALMSTAD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46279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53550-2022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46279</v>
      </c>
      <c r="F204" t="inlineStr">
        <is>
          <t>HALLANDS LÄN</t>
        </is>
      </c>
      <c r="G204" t="inlineStr">
        <is>
          <t>HALMSTAD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46279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46279</v>
      </c>
      <c r="F206" t="inlineStr">
        <is>
          <t>HALLANDS LÄN</t>
        </is>
      </c>
      <c r="G206" t="inlineStr">
        <is>
          <t>HALMSTAD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46279</v>
      </c>
      <c r="F207" t="inlineStr">
        <is>
          <t>HALLANDS LÄN</t>
        </is>
      </c>
      <c r="G207" t="inlineStr">
        <is>
          <t>HALMSTAD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44699</v>
      </c>
      <c r="E208" s="1" t="n">
        <v>46279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46279</v>
      </c>
      <c r="F209" t="inlineStr">
        <is>
          <t>HALLANDS LÄN</t>
        </is>
      </c>
      <c r="G209" t="inlineStr">
        <is>
          <t>HALMSTAD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44580</v>
      </c>
      <c r="E210" s="1" t="n">
        <v>46279</v>
      </c>
      <c r="F210" t="inlineStr">
        <is>
          <t>HALLANDS LÄN</t>
        </is>
      </c>
      <c r="G210" t="inlineStr">
        <is>
          <t>HALMSTAD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45642</v>
      </c>
      <c r="E211" s="1" t="n">
        <v>46279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46279</v>
      </c>
      <c r="F212" t="inlineStr">
        <is>
          <t>HALLANDS LÄN</t>
        </is>
      </c>
      <c r="G212" t="inlineStr">
        <is>
          <t>HALMSTAD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45311</v>
      </c>
      <c r="E213" s="1" t="n">
        <v>46279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44621</v>
      </c>
      <c r="E214" s="1" t="n">
        <v>46279</v>
      </c>
      <c r="F214" t="inlineStr">
        <is>
          <t>HALLANDS LÄN</t>
        </is>
      </c>
      <c r="G214" t="inlineStr">
        <is>
          <t>HALMSTAD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45000</v>
      </c>
      <c r="E215" s="1" t="n">
        <v>46279</v>
      </c>
      <c r="F215" t="inlineStr">
        <is>
          <t>HALLANDS LÄN</t>
        </is>
      </c>
      <c r="G215" t="inlineStr">
        <is>
          <t>HALMSTAD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46279</v>
      </c>
      <c r="F216" t="inlineStr">
        <is>
          <t>HALLANDS LÄN</t>
        </is>
      </c>
      <c r="G216" t="inlineStr">
        <is>
          <t>HALMSTAD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46279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45266</v>
      </c>
      <c r="E218" s="1" t="n">
        <v>46279</v>
      </c>
      <c r="F218" t="inlineStr">
        <is>
          <t>HALLANDS LÄN</t>
        </is>
      </c>
      <c r="G218" t="inlineStr">
        <is>
          <t>HALMSTAD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46279</v>
      </c>
      <c r="F219" t="inlineStr">
        <is>
          <t>HALLANDS LÄN</t>
        </is>
      </c>
      <c r="G219" t="inlineStr">
        <is>
          <t>HALMSTAD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46279</v>
      </c>
      <c r="F220" t="inlineStr">
        <is>
          <t>HALLANDS LÄN</t>
        </is>
      </c>
      <c r="G220" t="inlineStr">
        <is>
          <t>HALMSTAD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46279</v>
      </c>
      <c r="F221" t="inlineStr">
        <is>
          <t>HALLANDS LÄN</t>
        </is>
      </c>
      <c r="G221" t="inlineStr">
        <is>
          <t>HALMSTAD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46279</v>
      </c>
      <c r="F222" t="inlineStr">
        <is>
          <t>HALLANDS LÄN</t>
        </is>
      </c>
      <c r="G222" t="inlineStr">
        <is>
          <t>HALMSTAD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24087-2023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46279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45750</v>
      </c>
      <c r="E224" s="1" t="n">
        <v>46279</v>
      </c>
      <c r="F224" t="inlineStr">
        <is>
          <t>HALLANDS LÄN</t>
        </is>
      </c>
      <c r="G224" t="inlineStr">
        <is>
          <t>HALMSTAD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46279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46279</v>
      </c>
      <c r="F226" t="inlineStr">
        <is>
          <t>HALLANDS LÄN</t>
        </is>
      </c>
      <c r="G226" t="inlineStr">
        <is>
          <t>HALMSTAD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46279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46279</v>
      </c>
      <c r="F228" t="inlineStr">
        <is>
          <t>HALLANDS LÄN</t>
        </is>
      </c>
      <c r="G228" t="inlineStr">
        <is>
          <t>HALMSTAD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46279</v>
      </c>
      <c r="F229" t="inlineStr">
        <is>
          <t>HALLANDS LÄN</t>
        </is>
      </c>
      <c r="G229" t="inlineStr">
        <is>
          <t>HALMSTAD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46279</v>
      </c>
      <c r="F230" t="inlineStr">
        <is>
          <t>HALLANDS LÄN</t>
        </is>
      </c>
      <c r="G230" t="inlineStr">
        <is>
          <t>HALMSTAD</t>
        </is>
      </c>
      <c r="H230" t="inlineStr">
        <is>
          <t>Övriga statliga verk och myndigheter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46279</v>
      </c>
      <c r="F231" t="inlineStr">
        <is>
          <t>HALLANDS LÄN</t>
        </is>
      </c>
      <c r="G231" t="inlineStr">
        <is>
          <t>HALMSTAD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46279</v>
      </c>
      <c r="F232" t="inlineStr">
        <is>
          <t>HALLANDS LÄN</t>
        </is>
      </c>
      <c r="G232" t="inlineStr">
        <is>
          <t>HALMSTAD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46279</v>
      </c>
      <c r="F233" t="inlineStr">
        <is>
          <t>HALLANDS LÄN</t>
        </is>
      </c>
      <c r="G233" t="inlineStr">
        <is>
          <t>HALMSTAD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45172</v>
      </c>
      <c r="E234" s="1" t="n">
        <v>46279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46279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45876</v>
      </c>
      <c r="E236" s="1" t="n">
        <v>46279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46279</v>
      </c>
      <c r="F237" t="inlineStr">
        <is>
          <t>HALLANDS LÄN</t>
        </is>
      </c>
      <c r="G237" t="inlineStr">
        <is>
          <t>HALMSTAD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46279</v>
      </c>
      <c r="F238" t="inlineStr">
        <is>
          <t>HALLANDS LÄN</t>
        </is>
      </c>
      <c r="G238" t="inlineStr">
        <is>
          <t>HALMSTAD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46279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51302-2021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44461</v>
      </c>
      <c r="E240" s="1" t="n">
        <v>46279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46279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46279</v>
      </c>
      <c r="F242" t="inlineStr">
        <is>
          <t>HALLANDS LÄN</t>
        </is>
      </c>
      <c r="G242" t="inlineStr">
        <is>
          <t>HALMSTAD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46279</v>
      </c>
      <c r="F243" t="inlineStr">
        <is>
          <t>HALLANDS LÄN</t>
        </is>
      </c>
      <c r="G243" t="inlineStr">
        <is>
          <t>HALMSTAD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46279</v>
      </c>
      <c r="F244" t="inlineStr">
        <is>
          <t>HALLANDS LÄN</t>
        </is>
      </c>
      <c r="G244" t="inlineStr">
        <is>
          <t>HALMSTAD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46279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46279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46279</v>
      </c>
      <c r="F247" t="inlineStr">
        <is>
          <t>HALLANDS LÄN</t>
        </is>
      </c>
      <c r="G247" t="inlineStr">
        <is>
          <t>HALMSTAD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46279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45610</v>
      </c>
      <c r="E249" s="1" t="n">
        <v>46279</v>
      </c>
      <c r="F249" t="inlineStr">
        <is>
          <t>HALLANDS LÄN</t>
        </is>
      </c>
      <c r="G249" t="inlineStr">
        <is>
          <t>HALMSTAD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46279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46279</v>
      </c>
      <c r="F251" t="inlineStr">
        <is>
          <t>HALLANDS LÄN</t>
        </is>
      </c>
      <c r="G251" t="inlineStr">
        <is>
          <t>HALMSTAD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46279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44880</v>
      </c>
      <c r="E253" s="1" t="n">
        <v>46279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46279</v>
      </c>
      <c r="F254" t="inlineStr">
        <is>
          <t>HALLANDS LÄN</t>
        </is>
      </c>
      <c r="G254" t="inlineStr">
        <is>
          <t>HALMSTAD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46279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46279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46279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46279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46279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46279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46279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46279</v>
      </c>
      <c r="F262" t="inlineStr">
        <is>
          <t>HALLANDS LÄN</t>
        </is>
      </c>
      <c r="G262" t="inlineStr">
        <is>
          <t>HALMSTAD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46279</v>
      </c>
      <c r="F263" t="inlineStr">
        <is>
          <t>HALLANDS LÄN</t>
        </is>
      </c>
      <c r="G263" t="inlineStr">
        <is>
          <t>HALMSTAD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46279</v>
      </c>
      <c r="F264" t="inlineStr">
        <is>
          <t>HALLANDS LÄN</t>
        </is>
      </c>
      <c r="G264" t="inlineStr">
        <is>
          <t>HALMSTAD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44823</v>
      </c>
      <c r="E265" s="1" t="n">
        <v>46279</v>
      </c>
      <c r="F265" t="inlineStr">
        <is>
          <t>HALLANDS LÄN</t>
        </is>
      </c>
      <c r="G265" t="inlineStr">
        <is>
          <t>HALMSTAD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46279</v>
      </c>
      <c r="F266" t="inlineStr">
        <is>
          <t>HALLANDS LÄN</t>
        </is>
      </c>
      <c r="G266" t="inlineStr">
        <is>
          <t>HALMSTAD</t>
        </is>
      </c>
      <c r="H266" t="inlineStr">
        <is>
          <t>Bergvik skog väst AB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46279</v>
      </c>
      <c r="F267" t="inlineStr">
        <is>
          <t>HALLANDS LÄN</t>
        </is>
      </c>
      <c r="G267" t="inlineStr">
        <is>
          <t>HALMSTAD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46279</v>
      </c>
      <c r="F268" t="inlineStr">
        <is>
          <t>HALLANDS LÄN</t>
        </is>
      </c>
      <c r="G268" t="inlineStr">
        <is>
          <t>HALMSTAD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46279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46279</v>
      </c>
      <c r="F270" t="inlineStr">
        <is>
          <t>HALLANDS LÄN</t>
        </is>
      </c>
      <c r="G270" t="inlineStr">
        <is>
          <t>HALMSTAD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46279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46279</v>
      </c>
      <c r="F272" t="inlineStr">
        <is>
          <t>HALLANDS LÄN</t>
        </is>
      </c>
      <c r="G272" t="inlineStr">
        <is>
          <t>HALMSTAD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46279</v>
      </c>
      <c r="F273" t="inlineStr">
        <is>
          <t>HALLANDS LÄN</t>
        </is>
      </c>
      <c r="G273" t="inlineStr">
        <is>
          <t>HALMSTAD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44482</v>
      </c>
      <c r="E274" s="1" t="n">
        <v>46279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46279</v>
      </c>
      <c r="F275" t="inlineStr">
        <is>
          <t>HALLANDS LÄN</t>
        </is>
      </c>
      <c r="G275" t="inlineStr">
        <is>
          <t>HALMSTAD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46279</v>
      </c>
      <c r="F276" t="inlineStr">
        <is>
          <t>HALLANDS LÄN</t>
        </is>
      </c>
      <c r="G276" t="inlineStr">
        <is>
          <t>HALMSTAD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44827</v>
      </c>
      <c r="E277" s="1" t="n">
        <v>46279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46279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45229</v>
      </c>
      <c r="E279" s="1" t="n">
        <v>46279</v>
      </c>
      <c r="F279" t="inlineStr">
        <is>
          <t>HALLANDS LÄN</t>
        </is>
      </c>
      <c r="G279" t="inlineStr">
        <is>
          <t>HALMSTAD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46279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46279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46279</v>
      </c>
      <c r="F282" t="inlineStr">
        <is>
          <t>HALLANDS LÄN</t>
        </is>
      </c>
      <c r="G282" t="inlineStr">
        <is>
          <t>HALMSTAD</t>
        </is>
      </c>
      <c r="H282" t="inlineStr">
        <is>
          <t>Kyrkan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46279</v>
      </c>
      <c r="F283" t="inlineStr">
        <is>
          <t>HALLANDS LÄN</t>
        </is>
      </c>
      <c r="G283" t="inlineStr">
        <is>
          <t>HALMSTAD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44885</v>
      </c>
      <c r="E284" s="1" t="n">
        <v>46279</v>
      </c>
      <c r="F284" t="inlineStr">
        <is>
          <t>HALLANDS LÄN</t>
        </is>
      </c>
      <c r="G284" t="inlineStr">
        <is>
          <t>HALMSTAD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46279</v>
      </c>
      <c r="F285" t="inlineStr">
        <is>
          <t>HALLANDS LÄN</t>
        </is>
      </c>
      <c r="G285" t="inlineStr">
        <is>
          <t>HALMSTAD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46279</v>
      </c>
      <c r="F286" t="inlineStr">
        <is>
          <t>HALLANDS LÄN</t>
        </is>
      </c>
      <c r="G286" t="inlineStr">
        <is>
          <t>HALMSTAD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46279</v>
      </c>
      <c r="F287" t="inlineStr">
        <is>
          <t>HALLANDS LÄN</t>
        </is>
      </c>
      <c r="G287" t="inlineStr">
        <is>
          <t>HALMSTAD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46279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46279</v>
      </c>
      <c r="F289" t="inlineStr">
        <is>
          <t>HALLANDS LÄN</t>
        </is>
      </c>
      <c r="G289" t="inlineStr">
        <is>
          <t>HALMSTAD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46279</v>
      </c>
      <c r="F290" t="inlineStr">
        <is>
          <t>HALLANDS LÄN</t>
        </is>
      </c>
      <c r="G290" t="inlineStr">
        <is>
          <t>HALMSTAD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46279</v>
      </c>
      <c r="F291" t="inlineStr">
        <is>
          <t>HALLANDS LÄN</t>
        </is>
      </c>
      <c r="G291" t="inlineStr">
        <is>
          <t>HALMSTAD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44845</v>
      </c>
      <c r="E292" s="1" t="n">
        <v>46279</v>
      </c>
      <c r="F292" t="inlineStr">
        <is>
          <t>HALLANDS LÄN</t>
        </is>
      </c>
      <c r="G292" t="inlineStr">
        <is>
          <t>HALMSTAD</t>
        </is>
      </c>
      <c r="H292" t="inlineStr">
        <is>
          <t>Kyrkan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46279</v>
      </c>
      <c r="F293" t="inlineStr">
        <is>
          <t>HALLANDS LÄN</t>
        </is>
      </c>
      <c r="G293" t="inlineStr">
        <is>
          <t>HALMSTAD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46279</v>
      </c>
      <c r="F294" t="inlineStr">
        <is>
          <t>HALLANDS LÄN</t>
        </is>
      </c>
      <c r="G294" t="inlineStr">
        <is>
          <t>HALMSTAD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46279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46279</v>
      </c>
      <c r="F296" t="inlineStr">
        <is>
          <t>HALLANDS LÄN</t>
        </is>
      </c>
      <c r="G296" t="inlineStr">
        <is>
          <t>HALMSTAD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45729</v>
      </c>
      <c r="E297" s="1" t="n">
        <v>46279</v>
      </c>
      <c r="F297" t="inlineStr">
        <is>
          <t>HALLANDS LÄN</t>
        </is>
      </c>
      <c r="G297" t="inlineStr">
        <is>
          <t>HALMSTAD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46279</v>
      </c>
      <c r="F298" t="inlineStr">
        <is>
          <t>HALLANDS LÄN</t>
        </is>
      </c>
      <c r="G298" t="inlineStr">
        <is>
          <t>HALMSTAD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46279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46279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46279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46279</v>
      </c>
      <c r="F302" t="inlineStr">
        <is>
          <t>HALLANDS LÄN</t>
        </is>
      </c>
      <c r="G302" t="inlineStr">
        <is>
          <t>HALMSTAD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46279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46279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46279</v>
      </c>
      <c r="F305" t="inlineStr">
        <is>
          <t>HALLANDS LÄN</t>
        </is>
      </c>
      <c r="G305" t="inlineStr">
        <is>
          <t>HALMSTAD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46279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66311-2021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44518</v>
      </c>
      <c r="E307" s="1" t="n">
        <v>46279</v>
      </c>
      <c r="F307" t="inlineStr">
        <is>
          <t>HALLANDS LÄN</t>
        </is>
      </c>
      <c r="G307" t="inlineStr">
        <is>
          <t>HALMSTAD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46279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45692</v>
      </c>
      <c r="E309" s="1" t="n">
        <v>46279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46279</v>
      </c>
      <c r="F310" t="inlineStr">
        <is>
          <t>HALLANDS LÄN</t>
        </is>
      </c>
      <c r="G310" t="inlineStr">
        <is>
          <t>HALMSTAD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46279</v>
      </c>
      <c r="F311" t="inlineStr">
        <is>
          <t>HALLANDS LÄN</t>
        </is>
      </c>
      <c r="G311" t="inlineStr">
        <is>
          <t>HALMSTAD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46279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46279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46279</v>
      </c>
      <c r="F314" t="inlineStr">
        <is>
          <t>HALLANDS LÄN</t>
        </is>
      </c>
      <c r="G314" t="inlineStr">
        <is>
          <t>HALMSTAD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46279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46279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41836-2024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46279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46279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29865-2025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46279</v>
      </c>
      <c r="F319" t="inlineStr">
        <is>
          <t>HALLANDS LÄN</t>
        </is>
      </c>
      <c r="G319" t="inlineStr">
        <is>
          <t>HALMSTAD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46279</v>
      </c>
      <c r="F320" t="inlineStr">
        <is>
          <t>HALLANDS LÄN</t>
        </is>
      </c>
      <c r="G320" t="inlineStr">
        <is>
          <t>HALMSTAD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74038-2021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44557</v>
      </c>
      <c r="E321" s="1" t="n">
        <v>46279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46279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46057</v>
      </c>
      <c r="E323" s="1" t="n">
        <v>46279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46279</v>
      </c>
      <c r="F324" t="inlineStr">
        <is>
          <t>HALLANDS LÄN</t>
        </is>
      </c>
      <c r="G324" t="inlineStr">
        <is>
          <t>HALMSTAD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46279</v>
      </c>
      <c r="F325" t="inlineStr">
        <is>
          <t>HALLANDS LÄN</t>
        </is>
      </c>
      <c r="G325" t="inlineStr">
        <is>
          <t>HALMSTAD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46279</v>
      </c>
      <c r="F326" t="inlineStr">
        <is>
          <t>HALLANDS LÄN</t>
        </is>
      </c>
      <c r="G326" t="inlineStr">
        <is>
          <t>HALMSTAD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46279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46279</v>
      </c>
      <c r="F328" t="inlineStr">
        <is>
          <t>HALLANDS LÄN</t>
        </is>
      </c>
      <c r="G328" t="inlineStr">
        <is>
          <t>HALMSTAD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45302</v>
      </c>
      <c r="E329" s="1" t="n">
        <v>46279</v>
      </c>
      <c r="F329" t="inlineStr">
        <is>
          <t>HALLANDS LÄN</t>
        </is>
      </c>
      <c r="G329" t="inlineStr">
        <is>
          <t>HALMSTAD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45156</v>
      </c>
      <c r="E330" s="1" t="n">
        <v>46279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46279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40730-2023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46279</v>
      </c>
      <c r="F332" t="inlineStr">
        <is>
          <t>HALLANDS LÄN</t>
        </is>
      </c>
      <c r="G332" t="inlineStr">
        <is>
          <t>HALMSTAD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46279</v>
      </c>
      <c r="F333" t="inlineStr">
        <is>
          <t>HALLANDS LÄN</t>
        </is>
      </c>
      <c r="G333" t="inlineStr">
        <is>
          <t>HALMSTAD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46279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46279</v>
      </c>
      <c r="F335" t="inlineStr">
        <is>
          <t>HALLANDS LÄN</t>
        </is>
      </c>
      <c r="G335" t="inlineStr">
        <is>
          <t>HALMSTAD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46279</v>
      </c>
      <c r="F336" t="inlineStr">
        <is>
          <t>HALLANDS LÄN</t>
        </is>
      </c>
      <c r="G336" t="inlineStr">
        <is>
          <t>HALMSTAD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44594</v>
      </c>
      <c r="E337" s="1" t="n">
        <v>46279</v>
      </c>
      <c r="F337" t="inlineStr">
        <is>
          <t>HALLANDS LÄN</t>
        </is>
      </c>
      <c r="G337" t="inlineStr">
        <is>
          <t>HALMSTAD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44628</v>
      </c>
      <c r="E338" s="1" t="n">
        <v>46279</v>
      </c>
      <c r="F338" t="inlineStr">
        <is>
          <t>HALLANDS LÄN</t>
        </is>
      </c>
      <c r="G338" t="inlineStr">
        <is>
          <t>HALMSTAD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46279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46279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46279</v>
      </c>
      <c r="F341" t="inlineStr">
        <is>
          <t>HALLANDS LÄN</t>
        </is>
      </c>
      <c r="G341" t="inlineStr">
        <is>
          <t>HALMSTAD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46279</v>
      </c>
      <c r="F342" t="inlineStr">
        <is>
          <t>HALLANDS LÄN</t>
        </is>
      </c>
      <c r="G342" t="inlineStr">
        <is>
          <t>HALMSTAD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45660</v>
      </c>
      <c r="E343" s="1" t="n">
        <v>46279</v>
      </c>
      <c r="F343" t="inlineStr">
        <is>
          <t>HALLANDS LÄN</t>
        </is>
      </c>
      <c r="G343" t="inlineStr">
        <is>
          <t>HALMSTAD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46279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46279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46279</v>
      </c>
      <c r="F346" t="inlineStr">
        <is>
          <t>HALLANDS LÄN</t>
        </is>
      </c>
      <c r="G346" t="inlineStr">
        <is>
          <t>HALMSTAD</t>
        </is>
      </c>
      <c r="H346" t="inlineStr">
        <is>
          <t>Kommuner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46279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23299-2026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46279</v>
      </c>
      <c r="F348" t="inlineStr">
        <is>
          <t>HALLANDS LÄN</t>
        </is>
      </c>
      <c r="G348" t="inlineStr">
        <is>
          <t>HALMSTAD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45217</v>
      </c>
      <c r="E349" s="1" t="n">
        <v>46279</v>
      </c>
      <c r="F349" t="inlineStr">
        <is>
          <t>HALLANDS LÄN</t>
        </is>
      </c>
      <c r="G349" t="inlineStr">
        <is>
          <t>HALMSTAD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46279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46279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46279</v>
      </c>
      <c r="F352" t="inlineStr">
        <is>
          <t>HALLANDS LÄN</t>
        </is>
      </c>
      <c r="G352" t="inlineStr">
        <is>
          <t>HALMSTAD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44721</v>
      </c>
      <c r="E353" s="1" t="n">
        <v>46279</v>
      </c>
      <c r="F353" t="inlineStr">
        <is>
          <t>HALLANDS LÄN</t>
        </is>
      </c>
      <c r="G353" t="inlineStr">
        <is>
          <t>HALMSTAD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46279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46279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46279</v>
      </c>
      <c r="F356" t="inlineStr">
        <is>
          <t>HALLANDS LÄN</t>
        </is>
      </c>
      <c r="G356" t="inlineStr">
        <is>
          <t>HALMSTAD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46279</v>
      </c>
      <c r="F357" t="inlineStr">
        <is>
          <t>HALLANDS LÄN</t>
        </is>
      </c>
      <c r="G357" t="inlineStr">
        <is>
          <t>HALMSTAD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44662</v>
      </c>
      <c r="E358" s="1" t="n">
        <v>46279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46279</v>
      </c>
      <c r="F359" t="inlineStr">
        <is>
          <t>HALLANDS LÄN</t>
        </is>
      </c>
      <c r="G359" t="inlineStr">
        <is>
          <t>HALMSTAD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46279</v>
      </c>
      <c r="F360" t="inlineStr">
        <is>
          <t>HALLANDS LÄN</t>
        </is>
      </c>
      <c r="G360" t="inlineStr">
        <is>
          <t>HALMSTAD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46168</v>
      </c>
      <c r="E361" s="1" t="n">
        <v>46279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23772-2022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44722</v>
      </c>
      <c r="E362" s="1" t="n">
        <v>46279</v>
      </c>
      <c r="F362" t="inlineStr">
        <is>
          <t>HALLANDS LÄN</t>
        </is>
      </c>
      <c r="G362" t="inlineStr">
        <is>
          <t>HALMSTAD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46279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46279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46279</v>
      </c>
      <c r="F365" t="inlineStr">
        <is>
          <t>HALLANDS LÄN</t>
        </is>
      </c>
      <c r="G365" t="inlineStr">
        <is>
          <t>HALMSTAD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46279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48859-2023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46279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46279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46279</v>
      </c>
      <c r="F369" t="inlineStr">
        <is>
          <t>HALLANDS LÄN</t>
        </is>
      </c>
      <c r="G369" t="inlineStr">
        <is>
          <t>HALMSTAD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46279</v>
      </c>
      <c r="F370" t="inlineStr">
        <is>
          <t>HALLANDS LÄN</t>
        </is>
      </c>
      <c r="G370" t="inlineStr">
        <is>
          <t>HALMSTAD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46279</v>
      </c>
      <c r="F371" t="inlineStr">
        <is>
          <t>HALLANDS LÄN</t>
        </is>
      </c>
      <c r="G371" t="inlineStr">
        <is>
          <t>HALMSTAD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46279</v>
      </c>
      <c r="F372" t="inlineStr">
        <is>
          <t>HALLANDS LÄN</t>
        </is>
      </c>
      <c r="G372" t="inlineStr">
        <is>
          <t>HALMSTAD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44742</v>
      </c>
      <c r="E373" s="1" t="n">
        <v>46279</v>
      </c>
      <c r="F373" t="inlineStr">
        <is>
          <t>HALLANDS LÄN</t>
        </is>
      </c>
      <c r="G373" t="inlineStr">
        <is>
          <t>HALMSTAD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45183</v>
      </c>
      <c r="E374" s="1" t="n">
        <v>46279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45238</v>
      </c>
      <c r="E375" s="1" t="n">
        <v>46279</v>
      </c>
      <c r="F375" t="inlineStr">
        <is>
          <t>HALLANDS LÄN</t>
        </is>
      </c>
      <c r="G375" t="inlineStr">
        <is>
          <t>HALMSTAD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45239</v>
      </c>
      <c r="E376" s="1" t="n">
        <v>46279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46173</v>
      </c>
      <c r="E377" s="1" t="n">
        <v>46279</v>
      </c>
      <c r="F377" t="inlineStr">
        <is>
          <t>HALLANDS LÄN</t>
        </is>
      </c>
      <c r="G377" t="inlineStr">
        <is>
          <t>HALMSTAD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46173</v>
      </c>
      <c r="E378" s="1" t="n">
        <v>46279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46279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46279</v>
      </c>
      <c r="F380" t="inlineStr">
        <is>
          <t>HALLANDS LÄN</t>
        </is>
      </c>
      <c r="G380" t="inlineStr">
        <is>
          <t>HALMSTAD</t>
        </is>
      </c>
      <c r="I380" t="n">
        <v>17.8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46279</v>
      </c>
      <c r="F381" t="inlineStr">
        <is>
          <t>HALLANDS LÄN</t>
        </is>
      </c>
      <c r="G381" t="inlineStr">
        <is>
          <t>HALMSTAD</t>
        </is>
      </c>
      <c r="I381" t="n">
        <v>12.6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46279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60323-2022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46279</v>
      </c>
      <c r="F383" t="inlineStr">
        <is>
          <t>HALLANDS LÄN</t>
        </is>
      </c>
      <c r="G383" t="inlineStr">
        <is>
          <t>HALMSTAD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46279</v>
      </c>
      <c r="F384" t="inlineStr">
        <is>
          <t>HALLANDS LÄN</t>
        </is>
      </c>
      <c r="G384" t="inlineStr">
        <is>
          <t>HALMSTAD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46279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45126</v>
      </c>
      <c r="E386" s="1" t="n">
        <v>46279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46279</v>
      </c>
      <c r="F387" t="inlineStr">
        <is>
          <t>HALLANDS LÄN</t>
        </is>
      </c>
      <c r="G387" t="inlineStr">
        <is>
          <t>HALMSTAD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46279</v>
      </c>
      <c r="F388" t="inlineStr">
        <is>
          <t>HALLANDS LÄN</t>
        </is>
      </c>
      <c r="G388" t="inlineStr">
        <is>
          <t>HALMSTAD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46279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46279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46279</v>
      </c>
      <c r="F391" t="inlineStr">
        <is>
          <t>HALLANDS LÄN</t>
        </is>
      </c>
      <c r="G391" t="inlineStr">
        <is>
          <t>HALMSTAD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46279</v>
      </c>
      <c r="F392" t="inlineStr">
        <is>
          <t>HALLANDS LÄN</t>
        </is>
      </c>
      <c r="G392" t="inlineStr">
        <is>
          <t>HALMSTAD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46279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46279</v>
      </c>
      <c r="F394" t="inlineStr">
        <is>
          <t>HALLANDS LÄN</t>
        </is>
      </c>
      <c r="G394" t="inlineStr">
        <is>
          <t>HALMSTAD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46279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46279</v>
      </c>
      <c r="F396" t="inlineStr">
        <is>
          <t>HALLANDS LÄN</t>
        </is>
      </c>
      <c r="G396" t="inlineStr">
        <is>
          <t>HALMSTAD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46279</v>
      </c>
      <c r="F397" t="inlineStr">
        <is>
          <t>HALLANDS LÄN</t>
        </is>
      </c>
      <c r="G397" t="inlineStr">
        <is>
          <t>HALMSTAD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46279</v>
      </c>
      <c r="F398" t="inlineStr">
        <is>
          <t>HALLANDS LÄN</t>
        </is>
      </c>
      <c r="G398" t="inlineStr">
        <is>
          <t>HALMSTAD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46279</v>
      </c>
      <c r="F399" t="inlineStr">
        <is>
          <t>HALLANDS LÄN</t>
        </is>
      </c>
      <c r="G399" t="inlineStr">
        <is>
          <t>HALMSTAD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46279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46279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60394-2023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46279</v>
      </c>
      <c r="F402" t="inlineStr">
        <is>
          <t>HALLANDS LÄN</t>
        </is>
      </c>
      <c r="G402" t="inlineStr">
        <is>
          <t>HALMSTAD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46279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46279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46279</v>
      </c>
      <c r="F405" t="inlineStr">
        <is>
          <t>HALLANDS LÄN</t>
        </is>
      </c>
      <c r="G405" t="inlineStr">
        <is>
          <t>HALMSTAD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27205-2026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46279</v>
      </c>
      <c r="F406" t="inlineStr">
        <is>
          <t>HALLANDS LÄN</t>
        </is>
      </c>
      <c r="G406" t="inlineStr">
        <is>
          <t>HALMSTAD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45279</v>
      </c>
      <c r="E407" s="1" t="n">
        <v>46279</v>
      </c>
      <c r="F407" t="inlineStr">
        <is>
          <t>HALLANDS LÄN</t>
        </is>
      </c>
      <c r="G407" t="inlineStr">
        <is>
          <t>HALMSTAD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46279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46279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46279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46279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46279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46279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28538-2026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46279</v>
      </c>
      <c r="F414" t="inlineStr">
        <is>
          <t>HALLANDS LÄN</t>
        </is>
      </c>
      <c r="G414" t="inlineStr">
        <is>
          <t>HALMSTAD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46279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46279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46279</v>
      </c>
      <c r="F417" t="inlineStr">
        <is>
          <t>HALLANDS LÄN</t>
        </is>
      </c>
      <c r="G417" t="inlineStr">
        <is>
          <t>HALMSTAD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57037-2021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46279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46279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19468-2024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46279</v>
      </c>
      <c r="F420" t="inlineStr">
        <is>
          <t>HALLANDS LÄN</t>
        </is>
      </c>
      <c r="G420" t="inlineStr">
        <is>
          <t>HALMSTAD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62766-2023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45268</v>
      </c>
      <c r="E421" s="1" t="n">
        <v>46279</v>
      </c>
      <c r="F421" t="inlineStr">
        <is>
          <t>HALLANDS LÄN</t>
        </is>
      </c>
      <c r="G421" t="inlineStr">
        <is>
          <t>HALMSTAD</t>
        </is>
      </c>
      <c r="H421" t="inlineStr">
        <is>
          <t>Sveaskog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46279</v>
      </c>
      <c r="F422" t="inlineStr">
        <is>
          <t>HALLANDS LÄN</t>
        </is>
      </c>
      <c r="G422" t="inlineStr">
        <is>
          <t>HALMSTAD</t>
        </is>
      </c>
      <c r="I422" t="n">
        <v>8.4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53763-2022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44875</v>
      </c>
      <c r="E423" s="1" t="n">
        <v>46279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44595</v>
      </c>
      <c r="E424" s="1" t="n">
        <v>46279</v>
      </c>
      <c r="F424" t="inlineStr">
        <is>
          <t>HALLANDS LÄN</t>
        </is>
      </c>
      <c r="G424" t="inlineStr">
        <is>
          <t>HALMSTAD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45404</v>
      </c>
      <c r="E425" s="1" t="n">
        <v>46279</v>
      </c>
      <c r="F425" t="inlineStr">
        <is>
          <t>HALLANDS LÄN</t>
        </is>
      </c>
      <c r="G425" t="inlineStr">
        <is>
          <t>HALMSTAD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64231-2023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46279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41612-2022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44827</v>
      </c>
      <c r="E427" s="1" t="n">
        <v>46279</v>
      </c>
      <c r="F427" t="inlineStr">
        <is>
          <t>HALLANDS LÄN</t>
        </is>
      </c>
      <c r="G427" t="inlineStr">
        <is>
          <t>HALMSTAD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46279</v>
      </c>
      <c r="F428" t="inlineStr">
        <is>
          <t>HALLANDS LÄN</t>
        </is>
      </c>
      <c r="G428" t="inlineStr">
        <is>
          <t>HALMSTAD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46279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46279</v>
      </c>
      <c r="F430" t="inlineStr">
        <is>
          <t>HALLANDS LÄN</t>
        </is>
      </c>
      <c r="G430" t="inlineStr">
        <is>
          <t>HALMSTAD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44806</v>
      </c>
      <c r="E431" s="1" t="n">
        <v>46279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44691</v>
      </c>
      <c r="E432" s="1" t="n">
        <v>46279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46279</v>
      </c>
      <c r="F433" t="inlineStr">
        <is>
          <t>HALLANDS LÄN</t>
        </is>
      </c>
      <c r="G433" t="inlineStr">
        <is>
          <t>HALMSTAD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57013-2021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46279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57021-2021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46279</v>
      </c>
      <c r="F435" t="inlineStr">
        <is>
          <t>HALLANDS LÄN</t>
        </is>
      </c>
      <c r="G435" t="inlineStr">
        <is>
          <t>HALMSTAD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52469-2021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44466</v>
      </c>
      <c r="E436" s="1" t="n">
        <v>46279</v>
      </c>
      <c r="F436" t="inlineStr">
        <is>
          <t>HALLANDS LÄN</t>
        </is>
      </c>
      <c r="G436" t="inlineStr">
        <is>
          <t>HALMSTAD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46279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46279</v>
      </c>
      <c r="F438" t="inlineStr">
        <is>
          <t>HALLANDS LÄN</t>
        </is>
      </c>
      <c r="G438" t="inlineStr">
        <is>
          <t>HALMSTAD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16646-2024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45408</v>
      </c>
      <c r="E439" s="1" t="n">
        <v>46279</v>
      </c>
      <c r="F439" t="inlineStr">
        <is>
          <t>HALLANDS LÄN</t>
        </is>
      </c>
      <c r="G439" t="inlineStr">
        <is>
          <t>HALMSTAD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46279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45216</v>
      </c>
      <c r="E441" s="1" t="n">
        <v>46279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46279</v>
      </c>
      <c r="F442" t="inlineStr">
        <is>
          <t>HALLANDS LÄN</t>
        </is>
      </c>
      <c r="G442" t="inlineStr">
        <is>
          <t>HALMSTAD</t>
        </is>
      </c>
      <c r="H442" t="inlineStr">
        <is>
          <t>Kommuner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22419-2022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44713</v>
      </c>
      <c r="E443" s="1" t="n">
        <v>46279</v>
      </c>
      <c r="F443" t="inlineStr">
        <is>
          <t>HALLANDS LÄN</t>
        </is>
      </c>
      <c r="G443" t="inlineStr">
        <is>
          <t>HALMSTAD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46279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46279</v>
      </c>
      <c r="F445" t="inlineStr">
        <is>
          <t>HALLANDS LÄN</t>
        </is>
      </c>
      <c r="G445" t="inlineStr">
        <is>
          <t>HALMSTAD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46279</v>
      </c>
      <c r="F446" t="inlineStr">
        <is>
          <t>HALLANDS LÄN</t>
        </is>
      </c>
      <c r="G446" t="inlineStr">
        <is>
          <t>HALMSTAD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45049</v>
      </c>
      <c r="E447" s="1" t="n">
        <v>46279</v>
      </c>
      <c r="F447" t="inlineStr">
        <is>
          <t>HALLANDS LÄN</t>
        </is>
      </c>
      <c r="G447" t="inlineStr">
        <is>
          <t>HALMSTAD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46279</v>
      </c>
      <c r="F448" t="inlineStr">
        <is>
          <t>HALLANDS LÄN</t>
        </is>
      </c>
      <c r="G448" t="inlineStr">
        <is>
          <t>HALMSTAD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46279</v>
      </c>
      <c r="F449" t="inlineStr">
        <is>
          <t>HALLANDS LÄN</t>
        </is>
      </c>
      <c r="G449" t="inlineStr">
        <is>
          <t>HALMSTAD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46279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46279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46279</v>
      </c>
      <c r="F452" t="inlineStr">
        <is>
          <t>HALLANDS LÄN</t>
        </is>
      </c>
      <c r="G452" t="inlineStr">
        <is>
          <t>HALMSTAD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10263-2022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44622</v>
      </c>
      <c r="E453" s="1" t="n">
        <v>46279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46279</v>
      </c>
      <c r="F454" t="inlineStr">
        <is>
          <t>HALLANDS LÄN</t>
        </is>
      </c>
      <c r="G454" t="inlineStr">
        <is>
          <t>HALMSTAD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46279</v>
      </c>
      <c r="F455" t="inlineStr">
        <is>
          <t>HALLANDS LÄN</t>
        </is>
      </c>
      <c r="G455" t="inlineStr">
        <is>
          <t>HALMSTAD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46279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54008-2023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45231</v>
      </c>
      <c r="E457" s="1" t="n">
        <v>46279</v>
      </c>
      <c r="F457" t="inlineStr">
        <is>
          <t>HALLANDS LÄN</t>
        </is>
      </c>
      <c r="G457" t="inlineStr">
        <is>
          <t>HALMSTAD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62170-2023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45267</v>
      </c>
      <c r="E458" s="1" t="n">
        <v>46279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44852</v>
      </c>
      <c r="E459" s="1" t="n">
        <v>46279</v>
      </c>
      <c r="F459" t="inlineStr">
        <is>
          <t>HALLANDS LÄN</t>
        </is>
      </c>
      <c r="G459" t="inlineStr">
        <is>
          <t>HALMSTAD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46279</v>
      </c>
      <c r="F460" t="inlineStr">
        <is>
          <t>HALLANDS LÄN</t>
        </is>
      </c>
      <c r="G460" t="inlineStr">
        <is>
          <t>HALMSTAD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46279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46279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46279</v>
      </c>
      <c r="F463" t="inlineStr">
        <is>
          <t>HALLANDS LÄN</t>
        </is>
      </c>
      <c r="G463" t="inlineStr">
        <is>
          <t>HALMSTAD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44974</v>
      </c>
      <c r="E464" s="1" t="n">
        <v>46279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45323</v>
      </c>
      <c r="E465" s="1" t="n">
        <v>46279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46279</v>
      </c>
      <c r="F466" t="inlineStr">
        <is>
          <t>HALLANDS LÄN</t>
        </is>
      </c>
      <c r="G466" t="inlineStr">
        <is>
          <t>HALMSTAD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46279</v>
      </c>
      <c r="F467" t="inlineStr">
        <is>
          <t>HALLANDS LÄN</t>
        </is>
      </c>
      <c r="G467" t="inlineStr">
        <is>
          <t>HALMSTAD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22146-2022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46279</v>
      </c>
      <c r="F468" t="inlineStr">
        <is>
          <t>HALLANDS LÄN</t>
        </is>
      </c>
      <c r="G468" t="inlineStr">
        <is>
          <t>HALMSTAD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46279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46279</v>
      </c>
      <c r="F470" t="inlineStr">
        <is>
          <t>HALLANDS LÄN</t>
        </is>
      </c>
      <c r="G470" t="inlineStr">
        <is>
          <t>HALMSTAD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46279</v>
      </c>
      <c r="F471" t="inlineStr">
        <is>
          <t>HALLANDS LÄN</t>
        </is>
      </c>
      <c r="G471" t="inlineStr">
        <is>
          <t>HALMSTAD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46279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46279</v>
      </c>
      <c r="F473" t="inlineStr">
        <is>
          <t>HALLANDS LÄN</t>
        </is>
      </c>
      <c r="G473" t="inlineStr">
        <is>
          <t>HALMSTAD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46279</v>
      </c>
      <c r="F474" t="inlineStr">
        <is>
          <t>HALLANDS LÄN</t>
        </is>
      </c>
      <c r="G474" t="inlineStr">
        <is>
          <t>HALMSTAD</t>
        </is>
      </c>
      <c r="H474" t="inlineStr">
        <is>
          <t>Kommuner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46279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46279</v>
      </c>
      <c r="F476" t="inlineStr">
        <is>
          <t>HALLANDS LÄN</t>
        </is>
      </c>
      <c r="G476" t="inlineStr">
        <is>
          <t>HALMSTAD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56028-2023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45240</v>
      </c>
      <c r="E477" s="1" t="n">
        <v>46279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46279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45279</v>
      </c>
      <c r="E479" s="1" t="n">
        <v>46279</v>
      </c>
      <c r="F479" t="inlineStr">
        <is>
          <t>HALLANDS LÄN</t>
        </is>
      </c>
      <c r="G479" t="inlineStr">
        <is>
          <t>HALMSTAD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46279</v>
      </c>
      <c r="F480" t="inlineStr">
        <is>
          <t>HALLANDS LÄN</t>
        </is>
      </c>
      <c r="G480" t="inlineStr">
        <is>
          <t>HALMSTAD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46279</v>
      </c>
      <c r="F481" t="inlineStr">
        <is>
          <t>HALLANDS LÄN</t>
        </is>
      </c>
      <c r="G481" t="inlineStr">
        <is>
          <t>HALMSTAD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46279</v>
      </c>
      <c r="F482" t="inlineStr">
        <is>
          <t>HALLANDS LÄN</t>
        </is>
      </c>
      <c r="G482" t="inlineStr">
        <is>
          <t>HALMSTAD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35185-2026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46260</v>
      </c>
      <c r="E483" s="1" t="n">
        <v>46279</v>
      </c>
      <c r="F483" t="inlineStr">
        <is>
          <t>HALLANDS LÄN</t>
        </is>
      </c>
      <c r="G483" t="inlineStr">
        <is>
          <t>HALMSTAD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46265</v>
      </c>
      <c r="E484" s="1" t="n">
        <v>46279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45251</v>
      </c>
      <c r="E485" s="1" t="n">
        <v>46279</v>
      </c>
      <c r="F485" t="inlineStr">
        <is>
          <t>HALLANDS LÄN</t>
        </is>
      </c>
      <c r="G485" t="inlineStr">
        <is>
          <t>HALMSTAD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45196</v>
      </c>
      <c r="E486" s="1" t="n">
        <v>46279</v>
      </c>
      <c r="F486" t="inlineStr">
        <is>
          <t>HALLANDS LÄN</t>
        </is>
      </c>
      <c r="G486" t="inlineStr">
        <is>
          <t>HALMSTAD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46279</v>
      </c>
      <c r="F487" t="inlineStr">
        <is>
          <t>HALLANDS LÄN</t>
        </is>
      </c>
      <c r="G487" t="inlineStr">
        <is>
          <t>HALMSTAD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46279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46279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46279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46279</v>
      </c>
      <c r="F491" t="inlineStr">
        <is>
          <t>HALLANDS LÄN</t>
        </is>
      </c>
      <c r="G491" t="inlineStr">
        <is>
          <t>HALMSTAD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45065</v>
      </c>
      <c r="E492" s="1" t="n">
        <v>46279</v>
      </c>
      <c r="F492" t="inlineStr">
        <is>
          <t>HALLANDS LÄN</t>
        </is>
      </c>
      <c r="G492" t="inlineStr">
        <is>
          <t>HALMSTAD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46279</v>
      </c>
      <c r="F493" t="inlineStr">
        <is>
          <t>HALLANDS LÄN</t>
        </is>
      </c>
      <c r="G493" t="inlineStr">
        <is>
          <t>HALMSTAD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46279</v>
      </c>
      <c r="F494" t="inlineStr">
        <is>
          <t>HALLANDS LÄN</t>
        </is>
      </c>
      <c r="G494" t="inlineStr">
        <is>
          <t>HALMSTAD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46279</v>
      </c>
      <c r="F495" t="inlineStr">
        <is>
          <t>HALLANDS LÄN</t>
        </is>
      </c>
      <c r="G495" t="inlineStr">
        <is>
          <t>HALMSTAD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46279</v>
      </c>
      <c r="F496" t="inlineStr">
        <is>
          <t>HALLANDS LÄN</t>
        </is>
      </c>
      <c r="G496" t="inlineStr">
        <is>
          <t>HALMSTAD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46279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46279</v>
      </c>
      <c r="F498" t="inlineStr">
        <is>
          <t>HALLANDS LÄN</t>
        </is>
      </c>
      <c r="G498" t="inlineStr">
        <is>
          <t>HALMSTAD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46279</v>
      </c>
      <c r="F499" t="inlineStr">
        <is>
          <t>HALLANDS LÄN</t>
        </is>
      </c>
      <c r="G499" t="inlineStr">
        <is>
          <t>HALMSTAD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46274</v>
      </c>
      <c r="E500" s="1" t="n">
        <v>46279</v>
      </c>
      <c r="F500" t="inlineStr">
        <is>
          <t>HALLANDS LÄN</t>
        </is>
      </c>
      <c r="G500" t="inlineStr">
        <is>
          <t>HALMSTAD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45170</v>
      </c>
      <c r="E501" s="1" t="n">
        <v>46279</v>
      </c>
      <c r="F501" t="inlineStr">
        <is>
          <t>HALLANDS LÄN</t>
        </is>
      </c>
      <c r="G501" t="inlineStr">
        <is>
          <t>HALMSTAD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60032-2023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45258</v>
      </c>
      <c r="E502" s="1" t="n">
        <v>46279</v>
      </c>
      <c r="F502" t="inlineStr">
        <is>
          <t>HALLANDS LÄN</t>
        </is>
      </c>
      <c r="G502" t="inlineStr">
        <is>
          <t>HALMSTAD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66730-2021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44520</v>
      </c>
      <c r="E503" s="1" t="n">
        <v>46279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45680</v>
      </c>
      <c r="E504" s="1" t="n">
        <v>46279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46274</v>
      </c>
      <c r="E505" s="1" t="n">
        <v>46279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45329</v>
      </c>
      <c r="E506" s="1" t="n">
        <v>46279</v>
      </c>
      <c r="F506" t="inlineStr">
        <is>
          <t>HALLANDS LÄN</t>
        </is>
      </c>
      <c r="G506" t="inlineStr">
        <is>
          <t>HALMSTAD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45734</v>
      </c>
      <c r="E507" s="1" t="n">
        <v>46279</v>
      </c>
      <c r="F507" t="inlineStr">
        <is>
          <t>HALLANDS LÄN</t>
        </is>
      </c>
      <c r="G507" t="inlineStr">
        <is>
          <t>HALMSTAD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46279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46279</v>
      </c>
      <c r="F509" t="inlineStr">
        <is>
          <t>HALLANDS LÄN</t>
        </is>
      </c>
      <c r="G509" t="inlineStr">
        <is>
          <t>HALMSTAD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45415</v>
      </c>
      <c r="E510" s="1" t="n">
        <v>46279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46276</v>
      </c>
      <c r="E511" s="1" t="n">
        <v>46279</v>
      </c>
      <c r="F511" t="inlineStr">
        <is>
          <t>HALLANDS LÄN</t>
        </is>
      </c>
      <c r="G511" t="inlineStr">
        <is>
          <t>HALMSTAD</t>
        </is>
      </c>
      <c r="I511" t="n">
        <v>13.4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46276</v>
      </c>
      <c r="E512" s="1" t="n">
        <v>46279</v>
      </c>
      <c r="F512" t="inlineStr">
        <is>
          <t>HALLANDS LÄN</t>
        </is>
      </c>
      <c r="G512" t="inlineStr">
        <is>
          <t>HALMSTAD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45607</v>
      </c>
      <c r="E513" s="1" t="n">
        <v>46279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46279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40418-2024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46279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46754-2024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45583</v>
      </c>
      <c r="E516" s="1" t="n">
        <v>46279</v>
      </c>
      <c r="F516" t="inlineStr">
        <is>
          <t>HALLANDS LÄN</t>
        </is>
      </c>
      <c r="G516" t="inlineStr">
        <is>
          <t>HALMSTAD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45792</v>
      </c>
      <c r="E517" s="1" t="n">
        <v>46279</v>
      </c>
      <c r="F517" t="inlineStr">
        <is>
          <t>HALLANDS LÄN</t>
        </is>
      </c>
      <c r="G517" t="inlineStr">
        <is>
          <t>HALMSTAD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46279</v>
      </c>
      <c r="F518" t="inlineStr">
        <is>
          <t>HALLANDS LÄN</t>
        </is>
      </c>
      <c r="G518" t="inlineStr">
        <is>
          <t>HALMSTAD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45694</v>
      </c>
      <c r="E519" s="1" t="n">
        <v>46279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45627</v>
      </c>
      <c r="E520" s="1" t="n">
        <v>46279</v>
      </c>
      <c r="F520" t="inlineStr">
        <is>
          <t>HALLANDS LÄN</t>
        </is>
      </c>
      <c r="G520" t="inlineStr">
        <is>
          <t>HALMSTAD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46279</v>
      </c>
      <c r="F521" t="inlineStr">
        <is>
          <t>HALLANDS LÄN</t>
        </is>
      </c>
      <c r="G521" t="inlineStr">
        <is>
          <t>HALMSTAD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44677</v>
      </c>
      <c r="E522" s="1" t="n">
        <v>46279</v>
      </c>
      <c r="F522" t="inlineStr">
        <is>
          <t>HALLANDS LÄN</t>
        </is>
      </c>
      <c r="G522" t="inlineStr">
        <is>
          <t>HALMSTAD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46279</v>
      </c>
      <c r="F523" t="inlineStr">
        <is>
          <t>HALLANDS LÄN</t>
        </is>
      </c>
      <c r="G523" t="inlineStr">
        <is>
          <t>HALMSTAD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45716</v>
      </c>
      <c r="E524" s="1" t="n">
        <v>46279</v>
      </c>
      <c r="F524" t="inlineStr">
        <is>
          <t>HALLANDS LÄN</t>
        </is>
      </c>
      <c r="G524" t="inlineStr">
        <is>
          <t>HALMSTAD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45226</v>
      </c>
      <c r="E525" s="1" t="n">
        <v>46279</v>
      </c>
      <c r="F525" t="inlineStr">
        <is>
          <t>HALLANDS LÄN</t>
        </is>
      </c>
      <c r="G525" t="inlineStr">
        <is>
          <t>HALMSTAD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45797</v>
      </c>
      <c r="E526" s="1" t="n">
        <v>46279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46279</v>
      </c>
      <c r="F527" t="inlineStr">
        <is>
          <t>HALLANDS LÄN</t>
        </is>
      </c>
      <c r="G527" t="inlineStr">
        <is>
          <t>HALMSTAD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46279</v>
      </c>
      <c r="F528" t="inlineStr">
        <is>
          <t>HALLANDS LÄN</t>
        </is>
      </c>
      <c r="G528" t="inlineStr">
        <is>
          <t>HALMSTAD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45359</v>
      </c>
      <c r="E529" s="1" t="n">
        <v>46279</v>
      </c>
      <c r="F529" t="inlineStr">
        <is>
          <t>HALLANDS LÄN</t>
        </is>
      </c>
      <c r="G529" t="inlineStr">
        <is>
          <t>HALMSTAD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46279</v>
      </c>
      <c r="F530" t="inlineStr">
        <is>
          <t>HALLANDS LÄN</t>
        </is>
      </c>
      <c r="G530" t="inlineStr">
        <is>
          <t>HALMSTAD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2307-2020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44132</v>
      </c>
      <c r="E531" s="1" t="n">
        <v>46279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572-2022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44592</v>
      </c>
      <c r="E532" s="1" t="n">
        <v>46279</v>
      </c>
      <c r="F532" t="inlineStr">
        <is>
          <t>HALLANDS LÄN</t>
        </is>
      </c>
      <c r="G532" t="inlineStr">
        <is>
          <t>HALMSTAD</t>
        </is>
      </c>
      <c r="H532" t="inlineStr">
        <is>
          <t>Kyrkan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46279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4158-2022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44767</v>
      </c>
      <c r="E534" s="1" t="n">
        <v>46279</v>
      </c>
      <c r="F534" t="inlineStr">
        <is>
          <t>HALLANDS LÄN</t>
        </is>
      </c>
      <c r="G534" t="inlineStr">
        <is>
          <t>HALMSTAD</t>
        </is>
      </c>
      <c r="H534" t="inlineStr">
        <is>
          <t>Kommuner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2905-2023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45171</v>
      </c>
      <c r="E535" s="1" t="n">
        <v>46279</v>
      </c>
      <c r="F535" t="inlineStr">
        <is>
          <t>HALLANDS LÄN</t>
        </is>
      </c>
      <c r="G535" t="inlineStr">
        <is>
          <t>HALMSTAD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7296-2021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44469</v>
      </c>
      <c r="E536" s="1" t="n">
        <v>46279</v>
      </c>
      <c r="F536" t="inlineStr">
        <is>
          <t>HALLANDS LÄN</t>
        </is>
      </c>
      <c r="G536" t="inlineStr">
        <is>
          <t>HALMSTAD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108-2025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45672</v>
      </c>
      <c r="E537" s="1" t="n">
        <v>46279</v>
      </c>
      <c r="F537" t="inlineStr">
        <is>
          <t>HALLANDS LÄN</t>
        </is>
      </c>
      <c r="G537" t="inlineStr">
        <is>
          <t>HALMSTAD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1074-2025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45750</v>
      </c>
      <c r="E538" s="1" t="n">
        <v>46279</v>
      </c>
      <c r="F538" t="inlineStr">
        <is>
          <t>HALLANDS LÄN</t>
        </is>
      </c>
      <c r="G538" t="inlineStr">
        <is>
          <t>HALMSTAD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5037-2024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45636</v>
      </c>
      <c r="E539" s="1" t="n">
        <v>46279</v>
      </c>
      <c r="F539" t="inlineStr">
        <is>
          <t>HALLANDS LÄN</t>
        </is>
      </c>
      <c r="G539" t="inlineStr">
        <is>
          <t>HALMSTAD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865-2025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45734</v>
      </c>
      <c r="E540" s="1" t="n">
        <v>46279</v>
      </c>
      <c r="F540" t="inlineStr">
        <is>
          <t>HALLANDS LÄN</t>
        </is>
      </c>
      <c r="G540" t="inlineStr">
        <is>
          <t>HALMSTAD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801-2025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45729</v>
      </c>
      <c r="E541" s="1" t="n">
        <v>46279</v>
      </c>
      <c r="F541" t="inlineStr">
        <is>
          <t>HALLANDS LÄN</t>
        </is>
      </c>
      <c r="G541" t="inlineStr">
        <is>
          <t>HALMSTAD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678-2025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45716</v>
      </c>
      <c r="E542" s="1" t="n">
        <v>46279</v>
      </c>
      <c r="F542" t="inlineStr">
        <is>
          <t>HALLANDS LÄN</t>
        </is>
      </c>
      <c r="G542" t="inlineStr">
        <is>
          <t>HALMSTAD</t>
        </is>
      </c>
      <c r="I542" t="n">
        <v>14.5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1503-2026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46163</v>
      </c>
      <c r="E543" s="1" t="n">
        <v>46279</v>
      </c>
      <c r="F543" t="inlineStr">
        <is>
          <t>HALLANDS LÄN</t>
        </is>
      </c>
      <c r="G543" t="inlineStr">
        <is>
          <t>HALMSTAD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2118-2026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46244</v>
      </c>
      <c r="E544" s="1" t="n">
        <v>46279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2016-2026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46212</v>
      </c>
      <c r="E545" s="1" t="n">
        <v>46279</v>
      </c>
      <c r="F545" t="inlineStr">
        <is>
          <t>HALLANDS LÄN</t>
        </is>
      </c>
      <c r="G545" t="inlineStr">
        <is>
          <t>HALMSTAD</t>
        </is>
      </c>
      <c r="I545" t="n">
        <v>18.8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2026-09-14T02:16:23Z</dcterms:created>
  <dcterms:modified xmlns:dcterms="http://purl.org/dc/terms/" xmlns:xsi="http://www.w3.org/2001/XMLSchema-instance" xsi:type="dcterms:W3CDTF">2026-09-14T02:16:23Z</dcterms:modified>
</cp:coreProperties>
</file>
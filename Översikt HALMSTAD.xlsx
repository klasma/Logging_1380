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46284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46284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46284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46284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46284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46284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46284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46284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46284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46284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46284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46284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46284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46284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46284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46284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46284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40045-2025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46284</v>
      </c>
      <c r="F34" t="inlineStr">
        <is>
          <t>HALLANDS LÄN</t>
        </is>
      </c>
      <c r="G34" t="inlineStr">
        <is>
          <t>HALMSTAD</t>
        </is>
      </c>
      <c r="I34" t="n">
        <v>1.4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Kambräken
Platt fjädermossa</t>
        </is>
      </c>
      <c r="W34">
        <f>HYPERLINK("https://klasma.github.io/Logging_1380/artfynd/A 40045-2025 artfynd.xlsx", "A 40045-2025")</f>
        <v/>
      </c>
      <c r="X34">
        <f>HYPERLINK("https://klasma.github.io/Logging_1380/kartor/A 40045-2025 karta.png", "A 40045-2025")</f>
        <v/>
      </c>
      <c r="Y34">
        <f>HYPERLINK("https://klasma.github.io/Logging_1380/kartor_geotiff/A 40045-2025 georefererad karta.tif", "A 40045-2025")</f>
        <v/>
      </c>
      <c r="AA34">
        <f>HYPERLINK("https://klasma.github.io/Logging_1380/klagomål/A 40045-2025 FSC-klagomål.docx", "A 40045-2025")</f>
        <v/>
      </c>
      <c r="AB34">
        <f>HYPERLINK("https://klasma.github.io/Logging_1380/klagomålsmail/A 40045-2025 FSC-klagomål mail.docx", "A 40045-2025")</f>
        <v/>
      </c>
      <c r="AC34">
        <f>HYPERLINK("https://klasma.github.io/Logging_1380/tillsyn/A 40045-2025 tillsynsbegäran.docx", "A 40045-2025")</f>
        <v/>
      </c>
      <c r="AD34">
        <f>HYPERLINK("https://klasma.github.io/Logging_1380/tillsynsmail/A 40045-2025 tillsynsbegäran mail.docx", "A 40045-2025")</f>
        <v/>
      </c>
    </row>
    <row r="35" ht="15" customHeight="1">
      <c r="A35" t="inlineStr">
        <is>
          <t>A 25250-2026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46175</v>
      </c>
      <c r="E35" s="1" t="n">
        <v>46284</v>
      </c>
      <c r="F35" t="inlineStr">
        <is>
          <t>HALLANDS LÄN</t>
        </is>
      </c>
      <c r="G35" t="inlineStr">
        <is>
          <t>HALMSTAD</t>
        </is>
      </c>
      <c r="I35" t="n">
        <v>3.6</v>
      </c>
      <c r="J35" t="n">
        <v>0</v>
      </c>
      <c r="K35" t="n">
        <v>1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Skogsalm
Tibast</t>
        </is>
      </c>
      <c r="W35">
        <f>HYPERLINK("https://klasma.github.io/Logging_1380/artfynd/A 25250-2026 artfynd.xlsx", "A 25250-2026")</f>
        <v/>
      </c>
      <c r="X35">
        <f>HYPERLINK("https://klasma.github.io/Logging_1380/kartor/A 25250-2026 karta.png", "A 25250-2026")</f>
        <v/>
      </c>
      <c r="Y35">
        <f>HYPERLINK("https://klasma.github.io/Logging_1380/kartor_geotiff/A 25250-2026 georefererad karta.tif", "A 25250-2026")</f>
        <v/>
      </c>
      <c r="AA35">
        <f>HYPERLINK("https://klasma.github.io/Logging_1380/klagomål/A 25250-2026 FSC-klagomål.docx", "A 25250-2026")</f>
        <v/>
      </c>
      <c r="AB35">
        <f>HYPERLINK("https://klasma.github.io/Logging_1380/klagomålsmail/A 25250-2026 FSC-klagomål mail.docx", "A 25250-2026")</f>
        <v/>
      </c>
      <c r="AC35">
        <f>HYPERLINK("https://klasma.github.io/Logging_1380/tillsyn/A 25250-2026 tillsynsbegäran.docx", "A 25250-2026")</f>
        <v/>
      </c>
      <c r="AD35">
        <f>HYPERLINK("https://klasma.github.io/Logging_1380/tillsynsmail/A 25250-2026 tillsynsbegäran mail.docx", "A 25250-2026")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46284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46284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46284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46284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46284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46284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46284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46284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46284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46284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46284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46284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40659-2023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40659-2023 artfynd.xlsx", "A 40659-2023")</f>
        <v/>
      </c>
      <c r="X50">
        <f>HYPERLINK("https://klasma.github.io/Logging_1380/kartor/A 40659-2023 karta.png", "A 40659-2023")</f>
        <v/>
      </c>
      <c r="Y50">
        <f>HYPERLINK("https://klasma.github.io/Logging_1380/kartor_geotiff/A 40659-2023 georefererad karta.tif", "A 40659-2023")</f>
        <v/>
      </c>
      <c r="AA50">
        <f>HYPERLINK("https://klasma.github.io/Logging_1380/klagomål/A 40659-2023 FSC-klagomål.docx", "A 40659-2023")</f>
        <v/>
      </c>
      <c r="AB50">
        <f>HYPERLINK("https://klasma.github.io/Logging_1380/klagomålsmail/A 40659-2023 FSC-klagomål mail.docx", "A 40659-2023")</f>
        <v/>
      </c>
      <c r="AC50">
        <f>HYPERLINK("https://klasma.github.io/Logging_1380/tillsyn/A 40659-2023 tillsynsbegäran.docx", "A 40659-2023")</f>
        <v/>
      </c>
      <c r="AD50">
        <f>HYPERLINK("https://klasma.github.io/Logging_1380/tillsynsmail/A 40659-2023 tillsynsbegäran mail.docx", "A 40659-2023")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46284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21626-2026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46284</v>
      </c>
      <c r="F52" t="inlineStr">
        <is>
          <t>HALLANDS LÄN</t>
        </is>
      </c>
      <c r="G52" t="inlineStr">
        <is>
          <t>HALMSTAD</t>
        </is>
      </c>
      <c r="I52" t="n">
        <v>9.6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21626-2026 artfynd.xlsx", "A 21626-2026")</f>
        <v/>
      </c>
      <c r="X52">
        <f>HYPERLINK("https://klasma.github.io/Logging_1380/kartor/A 21626-2026 karta.png", "A 21626-2026")</f>
        <v/>
      </c>
      <c r="Y52">
        <f>HYPERLINK("https://klasma.github.io/Logging_1380/kartor_geotiff/A 21626-2026 georefererad karta.tif", "A 21626-2026")</f>
        <v/>
      </c>
      <c r="AA52">
        <f>HYPERLINK("https://klasma.github.io/Logging_1380/klagomål/A 21626-2026 FSC-klagomål.docx", "A 21626-2026")</f>
        <v/>
      </c>
      <c r="AB52">
        <f>HYPERLINK("https://klasma.github.io/Logging_1380/klagomålsmail/A 21626-2026 FSC-klagomål mail.docx", "A 21626-2026")</f>
        <v/>
      </c>
      <c r="AC52">
        <f>HYPERLINK("https://klasma.github.io/Logging_1380/tillsyn/A 21626-2026 tillsynsbegäran.docx", "A 21626-2026")</f>
        <v/>
      </c>
      <c r="AD52">
        <f>HYPERLINK("https://klasma.github.io/Logging_1380/tillsynsmail/A 21626-2026 tillsynsbegäran mail.docx", "A 21626-2026")</f>
        <v/>
      </c>
    </row>
    <row r="53" ht="15" customHeight="1">
      <c r="A53" t="inlineStr">
        <is>
          <t>A 5530-2025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45692</v>
      </c>
      <c r="E53" s="1" t="n">
        <v>46284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Igelkott</t>
        </is>
      </c>
      <c r="W53">
        <f>HYPERLINK("https://klasma.github.io/Logging_1380/artfynd/A 5530-2025 artfynd.xlsx", "A 5530-2025")</f>
        <v/>
      </c>
      <c r="X53">
        <f>HYPERLINK("https://klasma.github.io/Logging_1380/kartor/A 5530-2025 karta.png", "A 5530-2025")</f>
        <v/>
      </c>
      <c r="Y53">
        <f>HYPERLINK("https://klasma.github.io/Logging_1380/kartor_geotiff/A 5530-2025 georefererad karta.tif", "A 5530-2025")</f>
        <v/>
      </c>
      <c r="AA53">
        <f>HYPERLINK("https://klasma.github.io/Logging_1380/klagomål/A 5530-2025 FSC-klagomål.docx", "A 5530-2025")</f>
        <v/>
      </c>
      <c r="AB53">
        <f>HYPERLINK("https://klasma.github.io/Logging_1380/klagomålsmail/A 5530-2025 FSC-klagomål mail.docx", "A 5530-2025")</f>
        <v/>
      </c>
      <c r="AC53">
        <f>HYPERLINK("https://klasma.github.io/Logging_1380/tillsyn/A 5530-2025 tillsynsbegäran.docx", "A 5530-2025")</f>
        <v/>
      </c>
      <c r="AD53">
        <f>HYPERLINK("https://klasma.github.io/Logging_1380/tillsynsmail/A 5530-2025 tillsynsbegäran mail.docx", "A 5530-2025")</f>
        <v/>
      </c>
    </row>
    <row r="54" ht="15" customHeight="1">
      <c r="A54" t="inlineStr">
        <is>
          <t>A 17266-2023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45035</v>
      </c>
      <c r="E54" s="1" t="n">
        <v>46284</v>
      </c>
      <c r="F54" t="inlineStr">
        <is>
          <t>HALLANDS LÄN</t>
        </is>
      </c>
      <c r="G54" t="inlineStr">
        <is>
          <t>HALMSTAD</t>
        </is>
      </c>
      <c r="I54" t="n">
        <v>1.1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HYPERLINK("https://klasma.github.io/Logging_1380/artfynd/A 17266-2023 artfynd.xlsx", "A 17266-2023")</f>
        <v/>
      </c>
      <c r="X54">
        <f>HYPERLINK("https://klasma.github.io/Logging_1380/kartor/A 17266-2023 karta.png", "A 17266-2023")</f>
        <v/>
      </c>
      <c r="Y54">
        <f>HYPERLINK("https://klasma.github.io/Logging_1380/kartor_geotiff/A 17266-2023 georefererad karta.tif", "A 17266-2023")</f>
        <v/>
      </c>
      <c r="AA54">
        <f>HYPERLINK("https://klasma.github.io/Logging_1380/klagomål/A 17266-2023 FSC-klagomål.docx", "A 17266-2023")</f>
        <v/>
      </c>
      <c r="AB54">
        <f>HYPERLINK("https://klasma.github.io/Logging_1380/klagomålsmail/A 17266-2023 FSC-klagomål mail.docx", "A 17266-2023")</f>
        <v/>
      </c>
      <c r="AC54">
        <f>HYPERLINK("https://klasma.github.io/Logging_1380/tillsyn/A 17266-2023 tillsynsbegäran.docx", "A 17266-2023")</f>
        <v/>
      </c>
      <c r="AD54">
        <f>HYPERLINK("https://klasma.github.io/Logging_1380/tillsynsmail/A 17266-2023 tillsynsbegäran mail.docx", "A 17266-2023")</f>
        <v/>
      </c>
    </row>
    <row r="55" ht="15" customHeight="1">
      <c r="A55" t="inlineStr">
        <is>
          <t>A 22842-2022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44715</v>
      </c>
      <c r="E55" s="1" t="n">
        <v>46284</v>
      </c>
      <c r="F55" t="inlineStr">
        <is>
          <t>HALLANDS LÄN</t>
        </is>
      </c>
      <c r="G55" t="inlineStr">
        <is>
          <t>HALMSTAD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Spillkråka</t>
        </is>
      </c>
      <c r="W55">
        <f>HYPERLINK("https://klasma.github.io/Logging_1380/artfynd/A 22842-2022 artfynd.xlsx", "A 22842-2022")</f>
        <v/>
      </c>
      <c r="X55">
        <f>HYPERLINK("https://klasma.github.io/Logging_1380/kartor/A 22842-2022 karta.png", "A 22842-2022")</f>
        <v/>
      </c>
      <c r="Y55">
        <f>HYPERLINK("https://klasma.github.io/Logging_1380/kartor_geotiff/A 22842-2022 georefererad karta.tif", "A 22842-2022")</f>
        <v/>
      </c>
      <c r="AA55">
        <f>HYPERLINK("https://klasma.github.io/Logging_1380/klagomål/A 22842-2022 FSC-klagomål.docx", "A 22842-2022")</f>
        <v/>
      </c>
      <c r="AB55">
        <f>HYPERLINK("https://klasma.github.io/Logging_1380/klagomålsmail/A 22842-2022 FSC-klagomål mail.docx", "A 22842-2022")</f>
        <v/>
      </c>
      <c r="AC55">
        <f>HYPERLINK("https://klasma.github.io/Logging_1380/tillsyn/A 22842-2022 tillsynsbegäran.docx", "A 22842-2022")</f>
        <v/>
      </c>
      <c r="AD55">
        <f>HYPERLINK("https://klasma.github.io/Logging_1380/tillsynsmail/A 22842-2022 tillsynsbegäran mail.docx", "A 22842-2022")</f>
        <v/>
      </c>
      <c r="AE55">
        <f>HYPERLINK("https://klasma.github.io/Logging_1380/fåglar/A 22842-2022 prioriterade fågelarter.docx", "A 22842-2022")</f>
        <v/>
      </c>
    </row>
    <row r="56" ht="15" customHeight="1">
      <c r="A56" t="inlineStr">
        <is>
          <t>A 21483-2024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45441</v>
      </c>
      <c r="E56" s="1" t="n">
        <v>46284</v>
      </c>
      <c r="F56" t="inlineStr">
        <is>
          <t>HALLANDS LÄN</t>
        </is>
      </c>
      <c r="G56" t="inlineStr">
        <is>
          <t>HALMSTAD</t>
        </is>
      </c>
      <c r="I56" t="n">
        <v>0.8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21483-2024 artfynd.xlsx", "A 21483-2024")</f>
        <v/>
      </c>
      <c r="X56">
        <f>HYPERLINK("https://klasma.github.io/Logging_1380/kartor/A 21483-2024 karta.png", "A 21483-2024")</f>
        <v/>
      </c>
      <c r="Y56">
        <f>HYPERLINK("https://klasma.github.io/Logging_1380/kartor_geotiff/A 21483-2024 georefererad karta.tif", "A 21483-2024")</f>
        <v/>
      </c>
      <c r="AA56">
        <f>HYPERLINK("https://klasma.github.io/Logging_1380/klagomål/A 21483-2024 FSC-klagomål.docx", "A 21483-2024")</f>
        <v/>
      </c>
      <c r="AB56">
        <f>HYPERLINK("https://klasma.github.io/Logging_1380/klagomålsmail/A 21483-2024 FSC-klagomål mail.docx", "A 21483-2024")</f>
        <v/>
      </c>
      <c r="AC56">
        <f>HYPERLINK("https://klasma.github.io/Logging_1380/tillsyn/A 21483-2024 tillsynsbegäran.docx", "A 21483-2024")</f>
        <v/>
      </c>
      <c r="AD56">
        <f>HYPERLINK("https://klasma.github.io/Logging_1380/tillsynsmail/A 21483-2024 tillsynsbegäran mail.docx", "A 21483-2024")</f>
        <v/>
      </c>
    </row>
    <row r="57" ht="15" customHeight="1">
      <c r="A57" t="inlineStr">
        <is>
          <t>A 9045-2026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46069</v>
      </c>
      <c r="E57" s="1" t="n">
        <v>46284</v>
      </c>
      <c r="F57" t="inlineStr">
        <is>
          <t>HALLANDS LÄN</t>
        </is>
      </c>
      <c r="G57" t="inlineStr">
        <is>
          <t>HALMSTAD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HYPERLINK("https://klasma.github.io/Logging_1380/artfynd/A 9045-2026 artfynd.xlsx", "A 9045-2026")</f>
        <v/>
      </c>
      <c r="X57">
        <f>HYPERLINK("https://klasma.github.io/Logging_1380/kartor/A 9045-2026 karta.png", "A 9045-2026")</f>
        <v/>
      </c>
      <c r="Y57">
        <f>HYPERLINK("https://klasma.github.io/Logging_1380/kartor_geotiff/A 9045-2026 georefererad karta.tif", "A 9045-2026")</f>
        <v/>
      </c>
      <c r="AA57">
        <f>HYPERLINK("https://klasma.github.io/Logging_1380/klagomål/A 9045-2026 FSC-klagomål.docx", "A 9045-2026")</f>
        <v/>
      </c>
      <c r="AB57">
        <f>HYPERLINK("https://klasma.github.io/Logging_1380/klagomålsmail/A 9045-2026 FSC-klagomål mail.docx", "A 9045-2026")</f>
        <v/>
      </c>
      <c r="AC57">
        <f>HYPERLINK("https://klasma.github.io/Logging_1380/tillsyn/A 9045-2026 tillsynsbegäran.docx", "A 9045-2026")</f>
        <v/>
      </c>
      <c r="AD57">
        <f>HYPERLINK("https://klasma.github.io/Logging_1380/tillsynsmail/A 9045-2026 tillsynsbegäran mail.docx", "A 9045-2026")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46284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23305-2026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46284</v>
      </c>
      <c r="F59" t="inlineStr">
        <is>
          <t>HALLANDS LÄN</t>
        </is>
      </c>
      <c r="G59" t="inlineStr">
        <is>
          <t>HALMSTAD</t>
        </is>
      </c>
      <c r="I59" t="n">
        <v>1.6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23305-2026 artfynd.xlsx", "A 23305-2026")</f>
        <v/>
      </c>
      <c r="X59">
        <f>HYPERLINK("https://klasma.github.io/Logging_1380/kartor/A 23305-2026 karta.png", "A 23305-2026")</f>
        <v/>
      </c>
      <c r="Y59">
        <f>HYPERLINK("https://klasma.github.io/Logging_1380/kartor_geotiff/A 23305-2026 georefererad karta.tif", "A 23305-2026")</f>
        <v/>
      </c>
      <c r="AA59">
        <f>HYPERLINK("https://klasma.github.io/Logging_1380/klagomål/A 23305-2026 FSC-klagomål.docx", "A 23305-2026")</f>
        <v/>
      </c>
      <c r="AB59">
        <f>HYPERLINK("https://klasma.github.io/Logging_1380/klagomålsmail/A 23305-2026 FSC-klagomål mail.docx", "A 23305-2026")</f>
        <v/>
      </c>
      <c r="AC59">
        <f>HYPERLINK("https://klasma.github.io/Logging_1380/tillsyn/A 23305-2026 tillsynsbegäran.docx", "A 23305-2026")</f>
        <v/>
      </c>
      <c r="AD59">
        <f>HYPERLINK("https://klasma.github.io/Logging_1380/tillsynsmail/A 23305-2026 tillsynsbegäran mail.docx", "A 23305-2026")</f>
        <v/>
      </c>
    </row>
    <row r="60" ht="15" customHeight="1">
      <c r="A60" t="inlineStr">
        <is>
          <t>A 25382-2026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46284</v>
      </c>
      <c r="F60" t="inlineStr">
        <is>
          <t>HALLANDS LÄN</t>
        </is>
      </c>
      <c r="G60" t="inlineStr">
        <is>
          <t>HALMSTAD</t>
        </is>
      </c>
      <c r="I60" t="n">
        <v>10.9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HYPERLINK("https://klasma.github.io/Logging_1380/artfynd/A 25382-2026 artfynd.xlsx", "A 25382-2026")</f>
        <v/>
      </c>
      <c r="X60">
        <f>HYPERLINK("https://klasma.github.io/Logging_1380/kartor/A 25382-2026 karta.png", "A 25382-2026")</f>
        <v/>
      </c>
      <c r="Y60">
        <f>HYPERLINK("https://klasma.github.io/Logging_1380/kartor_geotiff/A 25382-2026 georefererad karta.tif", "A 25382-2026")</f>
        <v/>
      </c>
      <c r="AA60">
        <f>HYPERLINK("https://klasma.github.io/Logging_1380/klagomål/A 25382-2026 FSC-klagomål.docx", "A 25382-2026")</f>
        <v/>
      </c>
      <c r="AB60">
        <f>HYPERLINK("https://klasma.github.io/Logging_1380/klagomålsmail/A 25382-2026 FSC-klagomål mail.docx", "A 25382-2026")</f>
        <v/>
      </c>
      <c r="AC60">
        <f>HYPERLINK("https://klasma.github.io/Logging_1380/tillsyn/A 25382-2026 tillsynsbegäran.docx", "A 25382-2026")</f>
        <v/>
      </c>
      <c r="AD60">
        <f>HYPERLINK("https://klasma.github.io/Logging_1380/tillsynsmail/A 25382-2026 tillsynsbegäran mail.docx", "A 25382-2026")</f>
        <v/>
      </c>
    </row>
    <row r="61" ht="15" customHeight="1">
      <c r="A61" t="inlineStr">
        <is>
          <t>A 25887-2026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46284</v>
      </c>
      <c r="F61" t="inlineStr">
        <is>
          <t>HALLANDS LÄN</t>
        </is>
      </c>
      <c r="G61" t="inlineStr">
        <is>
          <t>HALMSTAD</t>
        </is>
      </c>
      <c r="I61" t="n">
        <v>14.9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snok</t>
        </is>
      </c>
      <c r="W61">
        <f>HYPERLINK("https://klasma.github.io/Logging_1380/artfynd/A 25887-2026 artfynd.xlsx", "A 25887-2026")</f>
        <v/>
      </c>
      <c r="X61">
        <f>HYPERLINK("https://klasma.github.io/Logging_1380/kartor/A 25887-2026 karta.png", "A 25887-2026")</f>
        <v/>
      </c>
      <c r="Y61">
        <f>HYPERLINK("https://klasma.github.io/Logging_1380/kartor_geotiff/A 25887-2026 georefererad karta.tif", "A 25887-2026")</f>
        <v/>
      </c>
      <c r="AA61">
        <f>HYPERLINK("https://klasma.github.io/Logging_1380/klagomål/A 25887-2026 FSC-klagomål.docx", "A 25887-2026")</f>
        <v/>
      </c>
      <c r="AB61">
        <f>HYPERLINK("https://klasma.github.io/Logging_1380/klagomålsmail/A 25887-2026 FSC-klagomål mail.docx", "A 25887-2026")</f>
        <v/>
      </c>
      <c r="AC61">
        <f>HYPERLINK("https://klasma.github.io/Logging_1380/tillsyn/A 25887-2026 tillsynsbegäran.docx", "A 25887-2026")</f>
        <v/>
      </c>
      <c r="AD61">
        <f>HYPERLINK("https://klasma.github.io/Logging_1380/tillsynsmail/A 25887-2026 tillsynsbegäran mail.docx", "A 25887-2026")</f>
        <v/>
      </c>
    </row>
    <row r="62" ht="15" customHeight="1">
      <c r="A62" t="inlineStr">
        <is>
          <t>A 46505-2025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46284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46505-2025 artfynd.xlsx", "A 46505-2025")</f>
        <v/>
      </c>
      <c r="X62">
        <f>HYPERLINK("https://klasma.github.io/Logging_1380/kartor/A 46505-2025 karta.png", "A 46505-2025")</f>
        <v/>
      </c>
      <c r="Y62">
        <f>HYPERLINK("https://klasma.github.io/Logging_1380/kartor_geotiff/A 46505-2025 georefererad karta.tif", "A 46505-2025")</f>
        <v/>
      </c>
      <c r="AA62">
        <f>HYPERLINK("https://klasma.github.io/Logging_1380/klagomål/A 46505-2025 FSC-klagomål.docx", "A 46505-2025")</f>
        <v/>
      </c>
      <c r="AB62">
        <f>HYPERLINK("https://klasma.github.io/Logging_1380/klagomålsmail/A 46505-2025 FSC-klagomål mail.docx", "A 46505-2025")</f>
        <v/>
      </c>
      <c r="AC62">
        <f>HYPERLINK("https://klasma.github.io/Logging_1380/tillsyn/A 46505-2025 tillsynsbegäran.docx", "A 46505-2025")</f>
        <v/>
      </c>
      <c r="AD62">
        <f>HYPERLINK("https://klasma.github.io/Logging_1380/tillsynsmail/A 46505-2025 tillsynsbegäran mail.docx", "A 46505-2025")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46284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46284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26330-2026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46284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HYPERLINK("https://klasma.github.io/Logging_1380/artfynd/A 26330-2026 artfynd.xlsx", "A 26330-2026")</f>
        <v/>
      </c>
      <c r="X65">
        <f>HYPERLINK("https://klasma.github.io/Logging_1380/kartor/A 26330-2026 karta.png", "A 26330-2026")</f>
        <v/>
      </c>
      <c r="Y65">
        <f>HYPERLINK("https://klasma.github.io/Logging_1380/kartor_geotiff/A 26330-2026 georefererad karta.tif", "A 26330-2026")</f>
        <v/>
      </c>
      <c r="AA65">
        <f>HYPERLINK("https://klasma.github.io/Logging_1380/klagomål/A 26330-2026 FSC-klagomål.docx", "A 26330-2026")</f>
        <v/>
      </c>
      <c r="AB65">
        <f>HYPERLINK("https://klasma.github.io/Logging_1380/klagomålsmail/A 26330-2026 FSC-klagomål mail.docx", "A 26330-2026")</f>
        <v/>
      </c>
      <c r="AC65">
        <f>HYPERLINK("https://klasma.github.io/Logging_1380/tillsyn/A 26330-2026 tillsynsbegäran.docx", "A 26330-2026")</f>
        <v/>
      </c>
      <c r="AD65">
        <f>HYPERLINK("https://klasma.github.io/Logging_1380/tillsynsmail/A 26330-2026 tillsynsbegäran mail.docx", "A 26330-2026")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46284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53797-2024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46284</v>
      </c>
      <c r="F67" t="inlineStr">
        <is>
          <t>HALLANDS LÄN</t>
        </is>
      </c>
      <c r="G67" t="inlineStr">
        <is>
          <t>HALMSTAD</t>
        </is>
      </c>
      <c r="I67" t="n">
        <v>3.5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Dvärglin</t>
        </is>
      </c>
      <c r="W67">
        <f>HYPERLINK("https://klasma.github.io/Logging_1380/artfynd/A 53797-2024 artfynd.xlsx", "A 53797-2024")</f>
        <v/>
      </c>
      <c r="X67">
        <f>HYPERLINK("https://klasma.github.io/Logging_1380/kartor/A 53797-2024 karta.png", "A 53797-2024")</f>
        <v/>
      </c>
      <c r="Y67">
        <f>HYPERLINK("https://klasma.github.io/Logging_1380/kartor_geotiff/A 53797-2024 georefererad karta.tif", "A 53797-2024")</f>
        <v/>
      </c>
      <c r="AA67">
        <f>HYPERLINK("https://klasma.github.io/Logging_1380/klagomål/A 53797-2024 FSC-klagomål.docx", "A 53797-2024")</f>
        <v/>
      </c>
      <c r="AB67">
        <f>HYPERLINK("https://klasma.github.io/Logging_1380/klagomålsmail/A 53797-2024 FSC-klagomål mail.docx", "A 53797-2024")</f>
        <v/>
      </c>
      <c r="AC67">
        <f>HYPERLINK("https://klasma.github.io/Logging_1380/tillsyn/A 53797-2024 tillsynsbegäran.docx", "A 53797-2024")</f>
        <v/>
      </c>
      <c r="AD67">
        <f>HYPERLINK("https://klasma.github.io/Logging_1380/tillsynsmail/A 53797-2024 tillsynsbegäran mail.docx", "A 53797-2024")</f>
        <v/>
      </c>
    </row>
    <row r="68" ht="15" customHeight="1">
      <c r="A68" t="inlineStr">
        <is>
          <t>A 6775-2026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46284</v>
      </c>
      <c r="F68" t="inlineStr">
        <is>
          <t>HALLANDS LÄN</t>
        </is>
      </c>
      <c r="G68" t="inlineStr">
        <is>
          <t>HALMSTAD</t>
        </is>
      </c>
      <c r="I68" t="n">
        <v>8.199999999999999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Barbastell</t>
        </is>
      </c>
      <c r="W68">
        <f>HYPERLINK("https://klasma.github.io/Logging_1380/artfynd/A 6775-2026 artfynd.xlsx", "A 6775-2026")</f>
        <v/>
      </c>
      <c r="X68">
        <f>HYPERLINK("https://klasma.github.io/Logging_1380/kartor/A 6775-2026 karta.png", "A 6775-2026")</f>
        <v/>
      </c>
      <c r="Y68">
        <f>HYPERLINK("https://klasma.github.io/Logging_1380/kartor_geotiff/A 6775-2026 georefererad karta.tif", "A 6775-2026")</f>
        <v/>
      </c>
      <c r="AA68">
        <f>HYPERLINK("https://klasma.github.io/Logging_1380/klagomål/A 6775-2026 FSC-klagomål.docx", "A 6775-2026")</f>
        <v/>
      </c>
      <c r="AB68">
        <f>HYPERLINK("https://klasma.github.io/Logging_1380/klagomålsmail/A 6775-2026 FSC-klagomål mail.docx", "A 6775-2026")</f>
        <v/>
      </c>
      <c r="AC68">
        <f>HYPERLINK("https://klasma.github.io/Logging_1380/tillsyn/A 6775-2026 tillsynsbegäran.docx", "A 6775-2026")</f>
        <v/>
      </c>
      <c r="AD68">
        <f>HYPERLINK("https://klasma.github.io/Logging_1380/tillsynsmail/A 6775-2026 tillsynsbegäran mail.docx", "A 6775-2026")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46284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46284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21488-2024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46284</v>
      </c>
      <c r="F71" t="inlineStr">
        <is>
          <t>HALLANDS LÄN</t>
        </is>
      </c>
      <c r="G71" t="inlineStr">
        <is>
          <t>HALMSTAD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21488-2024 artfynd.xlsx", "A 21488-2024")</f>
        <v/>
      </c>
      <c r="X71">
        <f>HYPERLINK("https://klasma.github.io/Logging_1380/kartor/A 21488-2024 karta.png", "A 21488-2024")</f>
        <v/>
      </c>
      <c r="Y71">
        <f>HYPERLINK("https://klasma.github.io/Logging_1380/kartor_geotiff/A 21488-2024 georefererad karta.tif", "A 21488-2024")</f>
        <v/>
      </c>
      <c r="AA71">
        <f>HYPERLINK("https://klasma.github.io/Logging_1380/klagomål/A 21488-2024 FSC-klagomål.docx", "A 21488-2024")</f>
        <v/>
      </c>
      <c r="AB71">
        <f>HYPERLINK("https://klasma.github.io/Logging_1380/klagomålsmail/A 21488-2024 FSC-klagomål mail.docx", "A 21488-2024")</f>
        <v/>
      </c>
      <c r="AC71">
        <f>HYPERLINK("https://klasma.github.io/Logging_1380/tillsyn/A 21488-2024 tillsynsbegäran.docx", "A 21488-2024")</f>
        <v/>
      </c>
      <c r="AD71">
        <f>HYPERLINK("https://klasma.github.io/Logging_1380/tillsynsmail/A 21488-2024 tillsynsbegäran mail.docx", "A 21488-2024")</f>
        <v/>
      </c>
    </row>
    <row r="72" ht="15" customHeight="1">
      <c r="A72" t="inlineStr">
        <is>
          <t>A 27386-2025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46284</v>
      </c>
      <c r="F72" t="inlineStr">
        <is>
          <t>HALLANDS LÄN</t>
        </is>
      </c>
      <c r="G72" t="inlineStr">
        <is>
          <t>HALMSTAD</t>
        </is>
      </c>
      <c r="I72" t="n">
        <v>8.5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27386-2025 artfynd.xlsx", "A 27386-2025")</f>
        <v/>
      </c>
      <c r="X72">
        <f>HYPERLINK("https://klasma.github.io/Logging_1380/kartor/A 27386-2025 karta.png", "A 27386-2025")</f>
        <v/>
      </c>
      <c r="Y72">
        <f>HYPERLINK("https://klasma.github.io/Logging_1380/kartor_geotiff/A 27386-2025 georefererad karta.tif", "A 27386-2025")</f>
        <v/>
      </c>
      <c r="AA72">
        <f>HYPERLINK("https://klasma.github.io/Logging_1380/klagomål/A 27386-2025 FSC-klagomål.docx", "A 27386-2025")</f>
        <v/>
      </c>
      <c r="AB72">
        <f>HYPERLINK("https://klasma.github.io/Logging_1380/klagomålsmail/A 27386-2025 FSC-klagomål mail.docx", "A 27386-2025")</f>
        <v/>
      </c>
      <c r="AC72">
        <f>HYPERLINK("https://klasma.github.io/Logging_1380/tillsyn/A 27386-2025 tillsynsbegäran.docx", "A 27386-2025")</f>
        <v/>
      </c>
      <c r="AD72">
        <f>HYPERLINK("https://klasma.github.io/Logging_1380/tillsynsmail/A 27386-2025 tillsynsbegäran mail.docx", "A 27386-2025")</f>
        <v/>
      </c>
    </row>
    <row r="73" ht="15" customHeight="1">
      <c r="A73" t="inlineStr">
        <is>
          <t>A 32822-2025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46284</v>
      </c>
      <c r="F73" t="inlineStr">
        <is>
          <t>HALLANDS LÄN</t>
        </is>
      </c>
      <c r="G73" t="inlineStr">
        <is>
          <t>HALMSTAD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32822-2025 artfynd.xlsx", "A 32822-2025")</f>
        <v/>
      </c>
      <c r="X73">
        <f>HYPERLINK("https://klasma.github.io/Logging_1380/kartor/A 32822-2025 karta.png", "A 32822-2025")</f>
        <v/>
      </c>
      <c r="Y73">
        <f>HYPERLINK("https://klasma.github.io/Logging_1380/kartor_geotiff/A 32822-2025 georefererad karta.tif", "A 32822-2025")</f>
        <v/>
      </c>
      <c r="AA73">
        <f>HYPERLINK("https://klasma.github.io/Logging_1380/klagomål/A 32822-2025 FSC-klagomål.docx", "A 32822-2025")</f>
        <v/>
      </c>
      <c r="AB73">
        <f>HYPERLINK("https://klasma.github.io/Logging_1380/klagomålsmail/A 32822-2025 FSC-klagomål mail.docx", "A 32822-2025")</f>
        <v/>
      </c>
      <c r="AC73">
        <f>HYPERLINK("https://klasma.github.io/Logging_1380/tillsyn/A 32822-2025 tillsynsbegäran.docx", "A 32822-2025")</f>
        <v/>
      </c>
      <c r="AD73">
        <f>HYPERLINK("https://klasma.github.io/Logging_1380/tillsynsmail/A 32822-2025 tillsynsbegäran mail.docx", "A 32822-2025")</f>
        <v/>
      </c>
    </row>
    <row r="74" ht="15" customHeight="1">
      <c r="A74" t="inlineStr">
        <is>
          <t>A 10063-2022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46284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10063-2022 artfynd.xlsx", "A 10063-2022")</f>
        <v/>
      </c>
      <c r="X74">
        <f>HYPERLINK("https://klasma.github.io/Logging_1380/kartor/A 10063-2022 karta.png", "A 10063-2022")</f>
        <v/>
      </c>
      <c r="Y74">
        <f>HYPERLINK("https://klasma.github.io/Logging_1380/kartor_geotiff/A 10063-2022 georefererad karta.tif", "A 10063-2022")</f>
        <v/>
      </c>
      <c r="AA74">
        <f>HYPERLINK("https://klasma.github.io/Logging_1380/klagomål/A 10063-2022 FSC-klagomål.docx", "A 10063-2022")</f>
        <v/>
      </c>
      <c r="AB74">
        <f>HYPERLINK("https://klasma.github.io/Logging_1380/klagomålsmail/A 10063-2022 FSC-klagomål mail.docx", "A 10063-2022")</f>
        <v/>
      </c>
      <c r="AC74">
        <f>HYPERLINK("https://klasma.github.io/Logging_1380/tillsyn/A 10063-2022 tillsynsbegäran.docx", "A 10063-2022")</f>
        <v/>
      </c>
      <c r="AD74">
        <f>HYPERLINK("https://klasma.github.io/Logging_1380/tillsynsmail/A 10063-2022 tillsynsbegäran mail.docx", "A 10063-2022")</f>
        <v/>
      </c>
    </row>
    <row r="75" ht="15" customHeight="1">
      <c r="A75" t="inlineStr">
        <is>
          <t>A 5240-2025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46284</v>
      </c>
      <c r="F75" t="inlineStr">
        <is>
          <t>HALLANDS LÄN</t>
        </is>
      </c>
      <c r="G75" t="inlineStr">
        <is>
          <t>HALMSTAD</t>
        </is>
      </c>
      <c r="I75" t="n">
        <v>8.300000000000001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Mussellav</t>
        </is>
      </c>
      <c r="W75">
        <f>HYPERLINK("https://klasma.github.io/Logging_1380/artfynd/A 5240-2025 artfynd.xlsx", "A 5240-2025")</f>
        <v/>
      </c>
      <c r="X75">
        <f>HYPERLINK("https://klasma.github.io/Logging_1380/kartor/A 5240-2025 karta.png", "A 5240-2025")</f>
        <v/>
      </c>
      <c r="Y75">
        <f>HYPERLINK("https://klasma.github.io/Logging_1380/kartor_geotiff/A 5240-2025 georefererad karta.tif", "A 5240-2025")</f>
        <v/>
      </c>
      <c r="AA75">
        <f>HYPERLINK("https://klasma.github.io/Logging_1380/klagomål/A 5240-2025 FSC-klagomål.docx", "A 5240-2025")</f>
        <v/>
      </c>
      <c r="AB75">
        <f>HYPERLINK("https://klasma.github.io/Logging_1380/klagomålsmail/A 5240-2025 FSC-klagomål mail.docx", "A 5240-2025")</f>
        <v/>
      </c>
      <c r="AC75">
        <f>HYPERLINK("https://klasma.github.io/Logging_1380/tillsyn/A 5240-2025 tillsynsbegäran.docx", "A 5240-2025")</f>
        <v/>
      </c>
      <c r="AD75">
        <f>HYPERLINK("https://klasma.github.io/Logging_1380/tillsynsmail/A 5240-2025 tillsynsbegäran mail.docx", "A 5240-2025")</f>
        <v/>
      </c>
    </row>
    <row r="76" ht="15" customHeight="1">
      <c r="A76" t="inlineStr">
        <is>
          <t>A 20419-2022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44699</v>
      </c>
      <c r="E76" s="1" t="n">
        <v>46284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20419-2022 artfynd.xlsx", "A 20419-2022")</f>
        <v/>
      </c>
      <c r="X76">
        <f>HYPERLINK("https://klasma.github.io/Logging_1380/kartor/A 20419-2022 karta.png", "A 20419-2022")</f>
        <v/>
      </c>
      <c r="Y76">
        <f>HYPERLINK("https://klasma.github.io/Logging_1380/kartor_geotiff/A 20419-2022 georefererad karta.tif", "A 20419-2022")</f>
        <v/>
      </c>
      <c r="AA76">
        <f>HYPERLINK("https://klasma.github.io/Logging_1380/klagomål/A 20419-2022 FSC-klagomål.docx", "A 20419-2022")</f>
        <v/>
      </c>
      <c r="AB76">
        <f>HYPERLINK("https://klasma.github.io/Logging_1380/klagomålsmail/A 20419-2022 FSC-klagomål mail.docx", "A 20419-2022")</f>
        <v/>
      </c>
      <c r="AC76">
        <f>HYPERLINK("https://klasma.github.io/Logging_1380/tillsyn/A 20419-2022 tillsynsbegäran.docx", "A 20419-2022")</f>
        <v/>
      </c>
      <c r="AD76">
        <f>HYPERLINK("https://klasma.github.io/Logging_1380/tillsynsmail/A 20419-2022 tillsynsbegäran mail.docx", "A 20419-2022")</f>
        <v/>
      </c>
    </row>
    <row r="77" ht="15" customHeight="1">
      <c r="A77" t="inlineStr">
        <is>
          <t>A 24383-2023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46284</v>
      </c>
      <c r="F77" t="inlineStr">
        <is>
          <t>HALLANDS LÄN</t>
        </is>
      </c>
      <c r="G77" t="inlineStr">
        <is>
          <t>HALMSTAD</t>
        </is>
      </c>
      <c r="I77" t="n">
        <v>3.2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24383-2023 artfynd.xlsx", "A 24383-2023")</f>
        <v/>
      </c>
      <c r="X77">
        <f>HYPERLINK("https://klasma.github.io/Logging_1380/kartor/A 24383-2023 karta.png", "A 24383-2023")</f>
        <v/>
      </c>
      <c r="Y77">
        <f>HYPERLINK("https://klasma.github.io/Logging_1380/kartor_geotiff/A 24383-2023 georefererad karta.tif", "A 24383-2023")</f>
        <v/>
      </c>
      <c r="AA77">
        <f>HYPERLINK("https://klasma.github.io/Logging_1380/klagomål/A 24383-2023 FSC-klagomål.docx", "A 24383-2023")</f>
        <v/>
      </c>
      <c r="AB77">
        <f>HYPERLINK("https://klasma.github.io/Logging_1380/klagomålsmail/A 24383-2023 FSC-klagomål mail.docx", "A 24383-2023")</f>
        <v/>
      </c>
      <c r="AC77">
        <f>HYPERLINK("https://klasma.github.io/Logging_1380/tillsyn/A 24383-2023 tillsynsbegäran.docx", "A 24383-2023")</f>
        <v/>
      </c>
      <c r="AD77">
        <f>HYPERLINK("https://klasma.github.io/Logging_1380/tillsynsmail/A 24383-2023 tillsynsbegäran mail.docx", "A 24383-2023")</f>
        <v/>
      </c>
    </row>
    <row r="78" ht="15" customHeight="1">
      <c r="A78" t="inlineStr">
        <is>
          <t>A 19588-2023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46284</v>
      </c>
      <c r="F78" t="inlineStr">
        <is>
          <t>HALLANDS LÄN</t>
        </is>
      </c>
      <c r="G78" t="inlineStr">
        <is>
          <t>HALMSTAD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Ljungögontröst</t>
        </is>
      </c>
      <c r="W78">
        <f>HYPERLINK("https://klasma.github.io/Logging_1380/artfynd/A 19588-2023 artfynd.xlsx", "A 19588-2023")</f>
        <v/>
      </c>
      <c r="X78">
        <f>HYPERLINK("https://klasma.github.io/Logging_1380/kartor/A 19588-2023 karta.png", "A 19588-2023")</f>
        <v/>
      </c>
      <c r="Y78">
        <f>HYPERLINK("https://klasma.github.io/Logging_1380/kartor_geotiff/A 19588-2023 georefererad karta.tif", "A 19588-2023")</f>
        <v/>
      </c>
      <c r="AA78">
        <f>HYPERLINK("https://klasma.github.io/Logging_1380/klagomål/A 19588-2023 FSC-klagomål.docx", "A 19588-2023")</f>
        <v/>
      </c>
      <c r="AB78">
        <f>HYPERLINK("https://klasma.github.io/Logging_1380/klagomålsmail/A 19588-2023 FSC-klagomål mail.docx", "A 19588-2023")</f>
        <v/>
      </c>
      <c r="AC78">
        <f>HYPERLINK("https://klasma.github.io/Logging_1380/tillsyn/A 19588-2023 tillsynsbegäran.docx", "A 19588-2023")</f>
        <v/>
      </c>
      <c r="AD78">
        <f>HYPERLINK("https://klasma.github.io/Logging_1380/tillsynsmail/A 19588-2023 tillsynsbegäran mail.docx", "A 19588-2023")</f>
        <v/>
      </c>
    </row>
    <row r="79" ht="15" customHeight="1">
      <c r="A79" t="inlineStr">
        <is>
          <t>A 16387-2023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46284</v>
      </c>
      <c r="F79" t="inlineStr">
        <is>
          <t>HALLANDS LÄN</t>
        </is>
      </c>
      <c r="G79" t="inlineStr">
        <is>
          <t>HALMSTAD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HYPERLINK("https://klasma.github.io/Logging_1380/artfynd/A 16387-2023 artfynd.xlsx", "A 16387-2023")</f>
        <v/>
      </c>
      <c r="X79">
        <f>HYPERLINK("https://klasma.github.io/Logging_1380/kartor/A 16387-2023 karta.png", "A 16387-2023")</f>
        <v/>
      </c>
      <c r="Y79">
        <f>HYPERLINK("https://klasma.github.io/Logging_1380/kartor_geotiff/A 16387-2023 georefererad karta.tif", "A 16387-2023")</f>
        <v/>
      </c>
      <c r="AA79">
        <f>HYPERLINK("https://klasma.github.io/Logging_1380/klagomål/A 16387-2023 FSC-klagomål.docx", "A 16387-2023")</f>
        <v/>
      </c>
      <c r="AB79">
        <f>HYPERLINK("https://klasma.github.io/Logging_1380/klagomålsmail/A 16387-2023 FSC-klagomål mail.docx", "A 16387-2023")</f>
        <v/>
      </c>
      <c r="AC79">
        <f>HYPERLINK("https://klasma.github.io/Logging_1380/tillsyn/A 16387-2023 tillsynsbegäran.docx", "A 16387-2023")</f>
        <v/>
      </c>
      <c r="AD79">
        <f>HYPERLINK("https://klasma.github.io/Logging_1380/tillsynsmail/A 16387-2023 tillsynsbegäran mail.docx", "A 16387-2023")</f>
        <v/>
      </c>
      <c r="AE79">
        <f>HYPERLINK("https://klasma.github.io/Logging_1380/fåglar/A 16387-2023 prioriterade fågelarter.docx", "A 16387-2023")</f>
        <v/>
      </c>
    </row>
    <row r="80" ht="15" customHeight="1">
      <c r="A80" t="inlineStr">
        <is>
          <t>A 37139-2025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46284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Kornknutmossa</t>
        </is>
      </c>
      <c r="W80">
        <f>HYPERLINK("https://klasma.github.io/Logging_1380/artfynd/A 37139-2025 artfynd.xlsx", "A 37139-2025")</f>
        <v/>
      </c>
      <c r="X80">
        <f>HYPERLINK("https://klasma.github.io/Logging_1380/kartor/A 37139-2025 karta.png", "A 37139-2025")</f>
        <v/>
      </c>
      <c r="Y80">
        <f>HYPERLINK("https://klasma.github.io/Logging_1380/kartor_geotiff/A 37139-2025 georefererad karta.tif", "A 37139-2025")</f>
        <v/>
      </c>
      <c r="AA80">
        <f>HYPERLINK("https://klasma.github.io/Logging_1380/klagomål/A 37139-2025 FSC-klagomål.docx", "A 37139-2025")</f>
        <v/>
      </c>
      <c r="AB80">
        <f>HYPERLINK("https://klasma.github.io/Logging_1380/klagomålsmail/A 37139-2025 FSC-klagomål mail.docx", "A 37139-2025")</f>
        <v/>
      </c>
      <c r="AC80">
        <f>HYPERLINK("https://klasma.github.io/Logging_1380/tillsyn/A 37139-2025 tillsynsbegäran.docx", "A 37139-2025")</f>
        <v/>
      </c>
      <c r="AD80">
        <f>HYPERLINK("https://klasma.github.io/Logging_1380/tillsynsmail/A 37139-2025 tillsynsbegäran mail.docx", "A 37139-2025")</f>
        <v/>
      </c>
    </row>
    <row r="81" ht="15" customHeight="1">
      <c r="A81" t="inlineStr">
        <is>
          <t>A 38318-2025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45883</v>
      </c>
      <c r="E81" s="1" t="n">
        <v>46284</v>
      </c>
      <c r="F81" t="inlineStr">
        <is>
          <t>HALLANDS LÄN</t>
        </is>
      </c>
      <c r="G81" t="inlineStr">
        <is>
          <t>HALMSTAD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HYPERLINK("https://klasma.github.io/Logging_1380/artfynd/A 38318-2025 artfynd.xlsx", "A 38318-2025")</f>
        <v/>
      </c>
      <c r="X81">
        <f>HYPERLINK("https://klasma.github.io/Logging_1380/kartor/A 38318-2025 karta.png", "A 38318-2025")</f>
        <v/>
      </c>
      <c r="Y81">
        <f>HYPERLINK("https://klasma.github.io/Logging_1380/kartor_geotiff/A 38318-2025 georefererad karta.tif", "A 38318-2025")</f>
        <v/>
      </c>
      <c r="AA81">
        <f>HYPERLINK("https://klasma.github.io/Logging_1380/klagomål/A 38318-2025 FSC-klagomål.docx", "A 38318-2025")</f>
        <v/>
      </c>
      <c r="AB81">
        <f>HYPERLINK("https://klasma.github.io/Logging_1380/klagomålsmail/A 38318-2025 FSC-klagomål mail.docx", "A 38318-2025")</f>
        <v/>
      </c>
      <c r="AC81">
        <f>HYPERLINK("https://klasma.github.io/Logging_1380/tillsyn/A 38318-2025 tillsynsbegäran.docx", "A 38318-2025")</f>
        <v/>
      </c>
      <c r="AD81">
        <f>HYPERLINK("https://klasma.github.io/Logging_1380/tillsynsmail/A 38318-2025 tillsynsbegäran mail.docx", "A 38318-2025")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46284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46284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46284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46284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46284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46284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46284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46284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46284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46284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46284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46284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46284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46284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46284</v>
      </c>
      <c r="F96" t="inlineStr">
        <is>
          <t>HALLANDS LÄN</t>
        </is>
      </c>
      <c r="G96" t="inlineStr">
        <is>
          <t>HALMSTAD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70834-2021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46284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46284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46284</v>
      </c>
      <c r="F99" t="inlineStr">
        <is>
          <t>HALLANDS LÄN</t>
        </is>
      </c>
      <c r="G99" t="inlineStr">
        <is>
          <t>HALMSTAD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46284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46284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46284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46284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46284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46284</v>
      </c>
      <c r="F105" t="inlineStr">
        <is>
          <t>HALLANDS LÄN</t>
        </is>
      </c>
      <c r="G105" t="inlineStr">
        <is>
          <t>HALMSTAD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46284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46284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46284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46284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46284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46284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46284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46284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53763-2022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44875</v>
      </c>
      <c r="E114" s="1" t="n">
        <v>46284</v>
      </c>
      <c r="F114" t="inlineStr">
        <is>
          <t>HALLANDS LÄN</t>
        </is>
      </c>
      <c r="G114" t="inlineStr">
        <is>
          <t>HALMSTAD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46284</v>
      </c>
      <c r="F115" t="inlineStr">
        <is>
          <t>HALLANDS LÄN</t>
        </is>
      </c>
      <c r="G115" t="inlineStr">
        <is>
          <t>HALMSTAD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46284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45630</v>
      </c>
      <c r="E117" s="1" t="n">
        <v>46284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52820-2024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46284</v>
      </c>
      <c r="F118" t="inlineStr">
        <is>
          <t>HALLANDS LÄN</t>
        </is>
      </c>
      <c r="G118" t="inlineStr">
        <is>
          <t>HALMSTAD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45183</v>
      </c>
      <c r="E119" s="1" t="n">
        <v>46284</v>
      </c>
      <c r="F119" t="inlineStr">
        <is>
          <t>HALLANDS LÄN</t>
        </is>
      </c>
      <c r="G119" t="inlineStr">
        <is>
          <t>HALMSTAD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46284</v>
      </c>
      <c r="F120" t="inlineStr">
        <is>
          <t>HALLANDS LÄN</t>
        </is>
      </c>
      <c r="G120" t="inlineStr">
        <is>
          <t>HALMSTAD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61853-2023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45265</v>
      </c>
      <c r="E121" s="1" t="n">
        <v>46284</v>
      </c>
      <c r="F121" t="inlineStr">
        <is>
          <t>HALLANDS LÄN</t>
        </is>
      </c>
      <c r="G121" t="inlineStr">
        <is>
          <t>HALMSTAD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46284</v>
      </c>
      <c r="F122" t="inlineStr">
        <is>
          <t>HALLANDS LÄN</t>
        </is>
      </c>
      <c r="G122" t="inlineStr">
        <is>
          <t>HALMSTAD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46284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46284</v>
      </c>
      <c r="F124" t="inlineStr">
        <is>
          <t>HALLANDS LÄN</t>
        </is>
      </c>
      <c r="G124" t="inlineStr">
        <is>
          <t>HALMSTAD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46284</v>
      </c>
      <c r="F125" t="inlineStr">
        <is>
          <t>HALLANDS LÄN</t>
        </is>
      </c>
      <c r="G125" t="inlineStr">
        <is>
          <t>HALMSTAD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51302-2021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46284</v>
      </c>
      <c r="F126" t="inlineStr">
        <is>
          <t>HALLANDS LÄN</t>
        </is>
      </c>
      <c r="G126" t="inlineStr">
        <is>
          <t>HALMSTAD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46284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46284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46284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46284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46284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46284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57037-2021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46284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46284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46284</v>
      </c>
      <c r="F135" t="inlineStr">
        <is>
          <t>HALLANDS LÄN</t>
        </is>
      </c>
      <c r="G135" t="inlineStr">
        <is>
          <t>HALMSTAD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46284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46284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46284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44823</v>
      </c>
      <c r="E139" s="1" t="n">
        <v>46284</v>
      </c>
      <c r="F139" t="inlineStr">
        <is>
          <t>HALLANDS LÄN</t>
        </is>
      </c>
      <c r="G139" t="inlineStr">
        <is>
          <t>HALMSTAD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46284</v>
      </c>
      <c r="F140" t="inlineStr">
        <is>
          <t>HALLANDS LÄN</t>
        </is>
      </c>
      <c r="G140" t="inlineStr">
        <is>
          <t>HALMSTAD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44691</v>
      </c>
      <c r="E141" s="1" t="n">
        <v>46284</v>
      </c>
      <c r="F141" t="inlineStr">
        <is>
          <t>HALLANDS LÄN</t>
        </is>
      </c>
      <c r="G141" t="inlineStr">
        <is>
          <t>HALMSTAD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46284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46284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46284</v>
      </c>
      <c r="F144" t="inlineStr">
        <is>
          <t>HALLANDS LÄN</t>
        </is>
      </c>
      <c r="G144" t="inlineStr">
        <is>
          <t>HALMSTAD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46284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46284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46284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46284</v>
      </c>
      <c r="F148" t="inlineStr">
        <is>
          <t>HALLANDS LÄN</t>
        </is>
      </c>
      <c r="G148" t="inlineStr">
        <is>
          <t>HALMSTAD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46284</v>
      </c>
      <c r="F149" t="inlineStr">
        <is>
          <t>HALLANDS LÄN</t>
        </is>
      </c>
      <c r="G149" t="inlineStr">
        <is>
          <t>HALMSTAD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46284</v>
      </c>
      <c r="F150" t="inlineStr">
        <is>
          <t>HALLANDS LÄN</t>
        </is>
      </c>
      <c r="G150" t="inlineStr">
        <is>
          <t>HALMSTAD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46284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45302</v>
      </c>
      <c r="E152" s="1" t="n">
        <v>46284</v>
      </c>
      <c r="F152" t="inlineStr">
        <is>
          <t>HALLANDS LÄN</t>
        </is>
      </c>
      <c r="G152" t="inlineStr">
        <is>
          <t>HALMSTAD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45065</v>
      </c>
      <c r="E153" s="1" t="n">
        <v>46284</v>
      </c>
      <c r="F153" t="inlineStr">
        <is>
          <t>HALLANDS LÄN</t>
        </is>
      </c>
      <c r="G153" t="inlineStr">
        <is>
          <t>HALMSTAD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46284</v>
      </c>
      <c r="F154" t="inlineStr">
        <is>
          <t>HALLANDS LÄN</t>
        </is>
      </c>
      <c r="G154" t="inlineStr">
        <is>
          <t>HALMSTAD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46284</v>
      </c>
      <c r="F155" t="inlineStr">
        <is>
          <t>HALLANDS LÄN</t>
        </is>
      </c>
      <c r="G155" t="inlineStr">
        <is>
          <t>HALMSTAD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46284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46284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46284</v>
      </c>
      <c r="F158" t="inlineStr">
        <is>
          <t>HALLANDS LÄN</t>
        </is>
      </c>
      <c r="G158" t="inlineStr">
        <is>
          <t>HALMSTAD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46284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46284</v>
      </c>
      <c r="F160" t="inlineStr">
        <is>
          <t>HALLANDS LÄN</t>
        </is>
      </c>
      <c r="G160" t="inlineStr">
        <is>
          <t>HALMSTAD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46284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46284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45275</v>
      </c>
      <c r="E163" s="1" t="n">
        <v>46284</v>
      </c>
      <c r="F163" t="inlineStr">
        <is>
          <t>HALLANDS LÄN</t>
        </is>
      </c>
      <c r="G163" t="inlineStr">
        <is>
          <t>HALMSTAD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44885</v>
      </c>
      <c r="E164" s="1" t="n">
        <v>46284</v>
      </c>
      <c r="F164" t="inlineStr">
        <is>
          <t>HALLANDS LÄN</t>
        </is>
      </c>
      <c r="G164" t="inlineStr">
        <is>
          <t>HALMSTAD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44622</v>
      </c>
      <c r="E165" s="1" t="n">
        <v>46284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44885</v>
      </c>
      <c r="E166" s="1" t="n">
        <v>46284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45257</v>
      </c>
      <c r="E167" s="1" t="n">
        <v>46284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46284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46284</v>
      </c>
      <c r="F169" t="inlineStr">
        <is>
          <t>HALLANDS LÄN</t>
        </is>
      </c>
      <c r="G169" t="inlineStr">
        <is>
          <t>HALMSTAD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45415</v>
      </c>
      <c r="E170" s="1" t="n">
        <v>46284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45488</v>
      </c>
      <c r="E171" s="1" t="n">
        <v>46284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46284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45660</v>
      </c>
      <c r="E173" s="1" t="n">
        <v>46284</v>
      </c>
      <c r="F173" t="inlineStr">
        <is>
          <t>HALLANDS LÄN</t>
        </is>
      </c>
      <c r="G173" t="inlineStr">
        <is>
          <t>HALMSTAD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46284</v>
      </c>
      <c r="F174" t="inlineStr">
        <is>
          <t>HALLANDS LÄN</t>
        </is>
      </c>
      <c r="G174" t="inlineStr">
        <is>
          <t>HALMSTAD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46284</v>
      </c>
      <c r="F175" t="inlineStr">
        <is>
          <t>HALLANDS LÄN</t>
        </is>
      </c>
      <c r="G175" t="inlineStr">
        <is>
          <t>HALMSTAD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46284</v>
      </c>
      <c r="F176" t="inlineStr">
        <is>
          <t>HALLANDS LÄN</t>
        </is>
      </c>
      <c r="G176" t="inlineStr">
        <is>
          <t>HALMSTAD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45323</v>
      </c>
      <c r="E177" s="1" t="n">
        <v>46284</v>
      </c>
      <c r="F177" t="inlineStr">
        <is>
          <t>HALLANDS LÄN</t>
        </is>
      </c>
      <c r="G177" t="inlineStr">
        <is>
          <t>HALMSTAD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46284</v>
      </c>
      <c r="F178" t="inlineStr">
        <is>
          <t>HALLANDS LÄN</t>
        </is>
      </c>
      <c r="G178" t="inlineStr">
        <is>
          <t>HALMSTAD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46284</v>
      </c>
      <c r="F179" t="inlineStr">
        <is>
          <t>HALLANDS LÄN</t>
        </is>
      </c>
      <c r="G179" t="inlineStr">
        <is>
          <t>HALMSTAD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45692</v>
      </c>
      <c r="E180" s="1" t="n">
        <v>46284</v>
      </c>
      <c r="F180" t="inlineStr">
        <is>
          <t>HALLANDS LÄN</t>
        </is>
      </c>
      <c r="G180" t="inlineStr">
        <is>
          <t>HALMSTAD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46284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46284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46284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46284</v>
      </c>
      <c r="F184" t="inlineStr">
        <is>
          <t>HALLANDS LÄN</t>
        </is>
      </c>
      <c r="G184" t="inlineStr">
        <is>
          <t>HALMSTAD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46284</v>
      </c>
      <c r="F185" t="inlineStr">
        <is>
          <t>HALLANDS LÄN</t>
        </is>
      </c>
      <c r="G185" t="inlineStr">
        <is>
          <t>HALMSTAD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46284</v>
      </c>
      <c r="F186" t="inlineStr">
        <is>
          <t>HALLANDS LÄN</t>
        </is>
      </c>
      <c r="G186" t="inlineStr">
        <is>
          <t>HALMSTAD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46284</v>
      </c>
      <c r="F187" t="inlineStr">
        <is>
          <t>HALLANDS LÄN</t>
        </is>
      </c>
      <c r="G187" t="inlineStr">
        <is>
          <t>HALMSTAD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46284</v>
      </c>
      <c r="F188" t="inlineStr">
        <is>
          <t>HALLANDS LÄN</t>
        </is>
      </c>
      <c r="G188" t="inlineStr">
        <is>
          <t>HALMSTAD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46284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46284</v>
      </c>
      <c r="F190" t="inlineStr">
        <is>
          <t>HALLANDS LÄN</t>
        </is>
      </c>
      <c r="G190" t="inlineStr">
        <is>
          <t>HALMSTAD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46284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45316</v>
      </c>
      <c r="E192" s="1" t="n">
        <v>46284</v>
      </c>
      <c r="F192" t="inlineStr">
        <is>
          <t>HALLANDS LÄN</t>
        </is>
      </c>
      <c r="G192" t="inlineStr">
        <is>
          <t>HALMSTAD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46284</v>
      </c>
      <c r="F193" t="inlineStr">
        <is>
          <t>HALLANDS LÄN</t>
        </is>
      </c>
      <c r="G193" t="inlineStr">
        <is>
          <t>HALMSTAD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46284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46284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46284</v>
      </c>
      <c r="F196" t="inlineStr">
        <is>
          <t>HALLANDS LÄN</t>
        </is>
      </c>
      <c r="G196" t="inlineStr">
        <is>
          <t>HALMSTAD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46284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46284</v>
      </c>
      <c r="F198" t="inlineStr">
        <is>
          <t>HALLANDS LÄN</t>
        </is>
      </c>
      <c r="G198" t="inlineStr">
        <is>
          <t>HALMSTAD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46284</v>
      </c>
      <c r="F199" t="inlineStr">
        <is>
          <t>HALLANDS LÄN</t>
        </is>
      </c>
      <c r="G199" t="inlineStr">
        <is>
          <t>HALMSTAD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46284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46284</v>
      </c>
      <c r="F201" t="inlineStr">
        <is>
          <t>HALLANDS LÄN</t>
        </is>
      </c>
      <c r="G201" t="inlineStr">
        <is>
          <t>HALMSTAD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44662</v>
      </c>
      <c r="E202" s="1" t="n">
        <v>46284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22070-2022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46284</v>
      </c>
      <c r="F203" t="inlineStr">
        <is>
          <t>HALLANDS LÄN</t>
        </is>
      </c>
      <c r="G203" t="inlineStr">
        <is>
          <t>HALMSTAD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46284</v>
      </c>
      <c r="F204" t="inlineStr">
        <is>
          <t>HALLANDS LÄN</t>
        </is>
      </c>
      <c r="G204" t="inlineStr">
        <is>
          <t>HALMSTAD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45488</v>
      </c>
      <c r="E205" s="1" t="n">
        <v>46284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46284</v>
      </c>
      <c r="F206" t="inlineStr">
        <is>
          <t>HALLANDS LÄN</t>
        </is>
      </c>
      <c r="G206" t="inlineStr">
        <is>
          <t>HALMSTAD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46284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46284</v>
      </c>
      <c r="F208" t="inlineStr">
        <is>
          <t>HALLANDS LÄN</t>
        </is>
      </c>
      <c r="G208" t="inlineStr">
        <is>
          <t>HALMSTAD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46284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46284</v>
      </c>
      <c r="F210" t="inlineStr">
        <is>
          <t>HALLANDS LÄN</t>
        </is>
      </c>
      <c r="G210" t="inlineStr">
        <is>
          <t>HALMSTAD</t>
        </is>
      </c>
      <c r="H210" t="inlineStr">
        <is>
          <t>Övriga statliga verk och myndigheter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46284</v>
      </c>
      <c r="F211" t="inlineStr">
        <is>
          <t>HALLANDS LÄN</t>
        </is>
      </c>
      <c r="G211" t="inlineStr">
        <is>
          <t>HALMSTAD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46284</v>
      </c>
      <c r="F212" t="inlineStr">
        <is>
          <t>HALLANDS LÄN</t>
        </is>
      </c>
      <c r="G212" t="inlineStr">
        <is>
          <t>HALMSTAD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46284</v>
      </c>
      <c r="F213" t="inlineStr">
        <is>
          <t>HALLANDS LÄN</t>
        </is>
      </c>
      <c r="G213" t="inlineStr">
        <is>
          <t>HALMSTAD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42204-2024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46284</v>
      </c>
      <c r="F214" t="inlineStr">
        <is>
          <t>HALLANDS LÄN</t>
        </is>
      </c>
      <c r="G214" t="inlineStr">
        <is>
          <t>HALMSTAD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46284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46284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45636</v>
      </c>
      <c r="E217" s="1" t="n">
        <v>46284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46284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46284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46284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45555</v>
      </c>
      <c r="E221" s="1" t="n">
        <v>46284</v>
      </c>
      <c r="F221" t="inlineStr">
        <is>
          <t>HALLANDS LÄN</t>
        </is>
      </c>
      <c r="G221" t="inlineStr">
        <is>
          <t>HALMSTAD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46284</v>
      </c>
      <c r="F222" t="inlineStr">
        <is>
          <t>HALLANDS LÄN</t>
        </is>
      </c>
      <c r="G222" t="inlineStr">
        <is>
          <t>HALMSTAD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46284</v>
      </c>
      <c r="F223" t="inlineStr">
        <is>
          <t>HALLANDS LÄN</t>
        </is>
      </c>
      <c r="G223" t="inlineStr">
        <is>
          <t>HALMSTAD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46284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46284</v>
      </c>
      <c r="F225" t="inlineStr">
        <is>
          <t>HALLANDS LÄN</t>
        </is>
      </c>
      <c r="G225" t="inlineStr">
        <is>
          <t>HALMSTAD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46284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62766-2023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45268</v>
      </c>
      <c r="E227" s="1" t="n">
        <v>46284</v>
      </c>
      <c r="F227" t="inlineStr">
        <is>
          <t>HALLANDS LÄN</t>
        </is>
      </c>
      <c r="G227" t="inlineStr">
        <is>
          <t>HALMSTAD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46284</v>
      </c>
      <c r="F228" t="inlineStr">
        <is>
          <t>HALLANDS LÄN</t>
        </is>
      </c>
      <c r="G228" t="inlineStr">
        <is>
          <t>HALMSTAD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46284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46284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46284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44712</v>
      </c>
      <c r="E232" s="1" t="n">
        <v>46284</v>
      </c>
      <c r="F232" t="inlineStr">
        <is>
          <t>HALLANDS LÄN</t>
        </is>
      </c>
      <c r="G232" t="inlineStr">
        <is>
          <t>HALMSTAD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46284</v>
      </c>
      <c r="F233" t="inlineStr">
        <is>
          <t>HALLANDS LÄN</t>
        </is>
      </c>
      <c r="G233" t="inlineStr">
        <is>
          <t>HALMSTAD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46284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46284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46284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46284</v>
      </c>
      <c r="F237" t="inlineStr">
        <is>
          <t>HALLANDS LÄN</t>
        </is>
      </c>
      <c r="G237" t="inlineStr">
        <is>
          <t>HALMSTAD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44628</v>
      </c>
      <c r="E238" s="1" t="n">
        <v>46284</v>
      </c>
      <c r="F238" t="inlineStr">
        <is>
          <t>HALLANDS LÄN</t>
        </is>
      </c>
      <c r="G238" t="inlineStr">
        <is>
          <t>HALMSTAD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46284</v>
      </c>
      <c r="F239" t="inlineStr">
        <is>
          <t>HALLANDS LÄN</t>
        </is>
      </c>
      <c r="G239" t="inlineStr">
        <is>
          <t>HALMSTAD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46284</v>
      </c>
      <c r="F240" t="inlineStr">
        <is>
          <t>HALLANDS LÄN</t>
        </is>
      </c>
      <c r="G240" t="inlineStr">
        <is>
          <t>HALMSTAD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46284</v>
      </c>
      <c r="F241" t="inlineStr">
        <is>
          <t>HALLANDS LÄN</t>
        </is>
      </c>
      <c r="G241" t="inlineStr">
        <is>
          <t>HALMSTAD</t>
        </is>
      </c>
      <c r="H241" t="inlineStr">
        <is>
          <t>Kyrkan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46284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46284</v>
      </c>
      <c r="F243" t="inlineStr">
        <is>
          <t>HALLANDS LÄN</t>
        </is>
      </c>
      <c r="G243" t="inlineStr">
        <is>
          <t>HALMSTAD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74038-2021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44557</v>
      </c>
      <c r="E244" s="1" t="n">
        <v>46284</v>
      </c>
      <c r="F244" t="inlineStr">
        <is>
          <t>HALLANDS LÄN</t>
        </is>
      </c>
      <c r="G244" t="inlineStr">
        <is>
          <t>HALMSTAD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46284</v>
      </c>
      <c r="F245" t="inlineStr">
        <is>
          <t>HALLANDS LÄN</t>
        </is>
      </c>
      <c r="G245" t="inlineStr">
        <is>
          <t>HALMSTAD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46284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46284</v>
      </c>
      <c r="F247" t="inlineStr">
        <is>
          <t>HALLANDS LÄN</t>
        </is>
      </c>
      <c r="G247" t="inlineStr">
        <is>
          <t>HALMSTAD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46284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50791-2023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45217</v>
      </c>
      <c r="E249" s="1" t="n">
        <v>46284</v>
      </c>
      <c r="F249" t="inlineStr">
        <is>
          <t>HALLANDS LÄN</t>
        </is>
      </c>
      <c r="G249" t="inlineStr">
        <is>
          <t>HALMSTAD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46284</v>
      </c>
      <c r="F250" t="inlineStr">
        <is>
          <t>HALLANDS LÄN</t>
        </is>
      </c>
      <c r="G250" t="inlineStr">
        <is>
          <t>HALMSTAD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46284</v>
      </c>
      <c r="F251" t="inlineStr">
        <is>
          <t>HALLANDS LÄN</t>
        </is>
      </c>
      <c r="G251" t="inlineStr">
        <is>
          <t>HALMSTAD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46284</v>
      </c>
      <c r="F252" t="inlineStr">
        <is>
          <t>HALLANDS LÄN</t>
        </is>
      </c>
      <c r="G252" t="inlineStr">
        <is>
          <t>HALMSTAD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46284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46284</v>
      </c>
      <c r="F254" t="inlineStr">
        <is>
          <t>HALLANDS LÄN</t>
        </is>
      </c>
      <c r="G254" t="inlineStr">
        <is>
          <t>HALMSTAD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44607</v>
      </c>
      <c r="E255" s="1" t="n">
        <v>46284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46284</v>
      </c>
      <c r="F256" t="inlineStr">
        <is>
          <t>HALLANDS LÄN</t>
        </is>
      </c>
      <c r="G256" t="inlineStr">
        <is>
          <t>HALMSTAD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66311-2021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44518</v>
      </c>
      <c r="E257" s="1" t="n">
        <v>46284</v>
      </c>
      <c r="F257" t="inlineStr">
        <is>
          <t>HALLANDS LÄN</t>
        </is>
      </c>
      <c r="G257" t="inlineStr">
        <is>
          <t>HALMSTAD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66730-2021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44520</v>
      </c>
      <c r="E258" s="1" t="n">
        <v>46284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46284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46284</v>
      </c>
      <c r="F260" t="inlineStr">
        <is>
          <t>HALLANDS LÄN</t>
        </is>
      </c>
      <c r="G260" t="inlineStr">
        <is>
          <t>HALMSTAD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46284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46284</v>
      </c>
      <c r="F262" t="inlineStr">
        <is>
          <t>HALLANDS LÄN</t>
        </is>
      </c>
      <c r="G262" t="inlineStr">
        <is>
          <t>HALMSTAD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44610</v>
      </c>
      <c r="E263" s="1" t="n">
        <v>46284</v>
      </c>
      <c r="F263" t="inlineStr">
        <is>
          <t>HALLANDS LÄN</t>
        </is>
      </c>
      <c r="G263" t="inlineStr">
        <is>
          <t>HALMSTAD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44753</v>
      </c>
      <c r="E264" s="1" t="n">
        <v>46284</v>
      </c>
      <c r="F264" t="inlineStr">
        <is>
          <t>HALLANDS LÄN</t>
        </is>
      </c>
      <c r="G264" t="inlineStr">
        <is>
          <t>HALMSTAD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44721</v>
      </c>
      <c r="E265" s="1" t="n">
        <v>46284</v>
      </c>
      <c r="F265" t="inlineStr">
        <is>
          <t>HALLANDS LÄN</t>
        </is>
      </c>
      <c r="G265" t="inlineStr">
        <is>
          <t>HALMSTAD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46284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46284</v>
      </c>
      <c r="F267" t="inlineStr">
        <is>
          <t>HALLANDS LÄN</t>
        </is>
      </c>
      <c r="G267" t="inlineStr">
        <is>
          <t>HALMSTAD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44742</v>
      </c>
      <c r="E268" s="1" t="n">
        <v>46284</v>
      </c>
      <c r="F268" t="inlineStr">
        <is>
          <t>HALLANDS LÄN</t>
        </is>
      </c>
      <c r="G268" t="inlineStr">
        <is>
          <t>HALMSTAD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46284</v>
      </c>
      <c r="F269" t="inlineStr">
        <is>
          <t>HALLANDS LÄN</t>
        </is>
      </c>
      <c r="G269" t="inlineStr">
        <is>
          <t>HALMSTAD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46284</v>
      </c>
      <c r="F270" t="inlineStr">
        <is>
          <t>HALLANDS LÄN</t>
        </is>
      </c>
      <c r="G270" t="inlineStr">
        <is>
          <t>HALMSTAD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46284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46284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46284</v>
      </c>
      <c r="F273" t="inlineStr">
        <is>
          <t>HALLANDS LÄN</t>
        </is>
      </c>
      <c r="G273" t="inlineStr">
        <is>
          <t>HALMSTAD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46167</v>
      </c>
      <c r="E274" s="1" t="n">
        <v>46284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46284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44802</v>
      </c>
      <c r="E276" s="1" t="n">
        <v>46284</v>
      </c>
      <c r="F276" t="inlineStr">
        <is>
          <t>HALLANDS LÄN</t>
        </is>
      </c>
      <c r="G276" t="inlineStr">
        <is>
          <t>HALMSTAD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46284</v>
      </c>
      <c r="F277" t="inlineStr">
        <is>
          <t>HALLANDS LÄN</t>
        </is>
      </c>
      <c r="G277" t="inlineStr">
        <is>
          <t>HALMSTAD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62812-2025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46284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46284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46284</v>
      </c>
      <c r="F280" t="inlineStr">
        <is>
          <t>HALLANDS LÄN</t>
        </is>
      </c>
      <c r="G280" t="inlineStr">
        <is>
          <t>HALMSTAD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46284</v>
      </c>
      <c r="F281" t="inlineStr">
        <is>
          <t>HALLANDS LÄN</t>
        </is>
      </c>
      <c r="G281" t="inlineStr">
        <is>
          <t>HALMSTAD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46284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44595</v>
      </c>
      <c r="E283" s="1" t="n">
        <v>46284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46284</v>
      </c>
      <c r="F284" t="inlineStr">
        <is>
          <t>HALLANDS LÄN</t>
        </is>
      </c>
      <c r="G284" t="inlineStr">
        <is>
          <t>HALMSTAD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46284</v>
      </c>
      <c r="F285" t="inlineStr">
        <is>
          <t>HALLANDS LÄN</t>
        </is>
      </c>
      <c r="G285" t="inlineStr">
        <is>
          <t>HALMSTAD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46284</v>
      </c>
      <c r="F286" t="inlineStr">
        <is>
          <t>HALLANDS LÄN</t>
        </is>
      </c>
      <c r="G286" t="inlineStr">
        <is>
          <t>HALMSTAD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45259</v>
      </c>
      <c r="E287" s="1" t="n">
        <v>46284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46284</v>
      </c>
      <c r="F288" t="inlineStr">
        <is>
          <t>HALLANDS LÄN</t>
        </is>
      </c>
      <c r="G288" t="inlineStr">
        <is>
          <t>HALMSTAD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46284</v>
      </c>
      <c r="F289" t="inlineStr">
        <is>
          <t>HALLANDS LÄN</t>
        </is>
      </c>
      <c r="G289" t="inlineStr">
        <is>
          <t>HALMSTAD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44852</v>
      </c>
      <c r="E290" s="1" t="n">
        <v>46284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46284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46284</v>
      </c>
      <c r="F292" t="inlineStr">
        <is>
          <t>HALLANDS LÄN</t>
        </is>
      </c>
      <c r="G292" t="inlineStr">
        <is>
          <t>HALMSTAD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46173</v>
      </c>
      <c r="E293" s="1" t="n">
        <v>46284</v>
      </c>
      <c r="F293" t="inlineStr">
        <is>
          <t>HALLANDS LÄN</t>
        </is>
      </c>
      <c r="G293" t="inlineStr">
        <is>
          <t>HALMSTAD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45485</v>
      </c>
      <c r="E294" s="1" t="n">
        <v>46284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46284</v>
      </c>
      <c r="F295" t="inlineStr">
        <is>
          <t>HALLANDS LÄN</t>
        </is>
      </c>
      <c r="G295" t="inlineStr">
        <is>
          <t>HALMSTAD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46284</v>
      </c>
      <c r="F296" t="inlineStr">
        <is>
          <t>HALLANDS LÄN</t>
        </is>
      </c>
      <c r="G296" t="inlineStr">
        <is>
          <t>HALMSTAD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46284</v>
      </c>
      <c r="F297" t="inlineStr">
        <is>
          <t>HALLANDS LÄN</t>
        </is>
      </c>
      <c r="G297" t="inlineStr">
        <is>
          <t>HALMSTAD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46173</v>
      </c>
      <c r="E298" s="1" t="n">
        <v>46284</v>
      </c>
      <c r="F298" t="inlineStr">
        <is>
          <t>HALLANDS LÄN</t>
        </is>
      </c>
      <c r="G298" t="inlineStr">
        <is>
          <t>HALMSTAD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8142-2023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46284</v>
      </c>
      <c r="F299" t="inlineStr">
        <is>
          <t>HALLANDS LÄN</t>
        </is>
      </c>
      <c r="G299" t="inlineStr">
        <is>
          <t>HALMSTAD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31547-2022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44775</v>
      </c>
      <c r="E300" s="1" t="n">
        <v>46284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46284</v>
      </c>
      <c r="F301" t="inlineStr">
        <is>
          <t>HALLANDS LÄN</t>
        </is>
      </c>
      <c r="G301" t="inlineStr">
        <is>
          <t>HALMSTAD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46284</v>
      </c>
      <c r="F302" t="inlineStr">
        <is>
          <t>HALLANDS LÄN</t>
        </is>
      </c>
      <c r="G302" t="inlineStr">
        <is>
          <t>HALMSTAD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46284</v>
      </c>
      <c r="F303" t="inlineStr">
        <is>
          <t>HALLANDS LÄN</t>
        </is>
      </c>
      <c r="G303" t="inlineStr">
        <is>
          <t>HALMSTAD</t>
        </is>
      </c>
      <c r="I303" t="n">
        <v>17.8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46284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46284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46284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46284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46057</v>
      </c>
      <c r="E308" s="1" t="n">
        <v>46284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46284</v>
      </c>
      <c r="F309" t="inlineStr">
        <is>
          <t>HALLANDS LÄN</t>
        </is>
      </c>
      <c r="G309" t="inlineStr">
        <is>
          <t>HALMSTAD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46284</v>
      </c>
      <c r="F310" t="inlineStr">
        <is>
          <t>HALLANDS LÄN</t>
        </is>
      </c>
      <c r="G310" t="inlineStr">
        <is>
          <t>HALMSTAD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46284</v>
      </c>
      <c r="F311" t="inlineStr">
        <is>
          <t>HALLANDS LÄN</t>
        </is>
      </c>
      <c r="G311" t="inlineStr">
        <is>
          <t>HALMSTAD</t>
        </is>
      </c>
      <c r="I311" t="n">
        <v>12.6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37301-2023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46284</v>
      </c>
      <c r="F312" t="inlineStr">
        <is>
          <t>HALLANDS LÄN</t>
        </is>
      </c>
      <c r="G312" t="inlineStr">
        <is>
          <t>HALMSTAD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46284</v>
      </c>
      <c r="F313" t="inlineStr">
        <is>
          <t>HALLANDS LÄN</t>
        </is>
      </c>
      <c r="G313" t="inlineStr">
        <is>
          <t>HALMSTAD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46284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46284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46284</v>
      </c>
      <c r="F316" t="inlineStr">
        <is>
          <t>HALLANDS LÄN</t>
        </is>
      </c>
      <c r="G316" t="inlineStr">
        <is>
          <t>HALMSTAD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46284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46284</v>
      </c>
      <c r="F318" t="inlineStr">
        <is>
          <t>HALLANDS LÄN</t>
        </is>
      </c>
      <c r="G318" t="inlineStr">
        <is>
          <t>HALMSTAD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13594-2023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45006</v>
      </c>
      <c r="E319" s="1" t="n">
        <v>46284</v>
      </c>
      <c r="F319" t="inlineStr">
        <is>
          <t>HALLANDS LÄN</t>
        </is>
      </c>
      <c r="G319" t="inlineStr">
        <is>
          <t>HALMSTAD</t>
        </is>
      </c>
      <c r="H319" t="inlineStr">
        <is>
          <t>Bergvik skog väst AB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45660</v>
      </c>
      <c r="E320" s="1" t="n">
        <v>46284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46284</v>
      </c>
      <c r="F321" t="inlineStr">
        <is>
          <t>HALLANDS LÄN</t>
        </is>
      </c>
      <c r="G321" t="inlineStr">
        <is>
          <t>HALMSTAD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46284</v>
      </c>
      <c r="F322" t="inlineStr">
        <is>
          <t>HALLANDS LÄN</t>
        </is>
      </c>
      <c r="G322" t="inlineStr">
        <is>
          <t>HALMSTAD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46284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45217</v>
      </c>
      <c r="E324" s="1" t="n">
        <v>46284</v>
      </c>
      <c r="F324" t="inlineStr">
        <is>
          <t>HALLANDS LÄN</t>
        </is>
      </c>
      <c r="G324" t="inlineStr">
        <is>
          <t>HALMSTAD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46284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46284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46284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46284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46284</v>
      </c>
      <c r="F329" t="inlineStr">
        <is>
          <t>HALLANDS LÄN</t>
        </is>
      </c>
      <c r="G329" t="inlineStr">
        <is>
          <t>HALMSTAD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46284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46284</v>
      </c>
      <c r="F331" t="inlineStr">
        <is>
          <t>HALLANDS LÄN</t>
        </is>
      </c>
      <c r="G331" t="inlineStr">
        <is>
          <t>HALMSTAD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45627</v>
      </c>
      <c r="E332" s="1" t="n">
        <v>46284</v>
      </c>
      <c r="F332" t="inlineStr">
        <is>
          <t>HALLANDS LÄN</t>
        </is>
      </c>
      <c r="G332" t="inlineStr">
        <is>
          <t>HALMSTAD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45967</v>
      </c>
      <c r="E333" s="1" t="n">
        <v>46284</v>
      </c>
      <c r="F333" t="inlineStr">
        <is>
          <t>HALLANDS LÄN</t>
        </is>
      </c>
      <c r="G333" t="inlineStr">
        <is>
          <t>HALMSTAD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46284</v>
      </c>
      <c r="F334" t="inlineStr">
        <is>
          <t>HALLANDS LÄN</t>
        </is>
      </c>
      <c r="G334" t="inlineStr">
        <is>
          <t>HALMSTAD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46284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46284</v>
      </c>
      <c r="F336" t="inlineStr">
        <is>
          <t>HALLANDS LÄN</t>
        </is>
      </c>
      <c r="G336" t="inlineStr">
        <is>
          <t>HALMSTAD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46284</v>
      </c>
      <c r="F337" t="inlineStr">
        <is>
          <t>HALLANDS LÄN</t>
        </is>
      </c>
      <c r="G337" t="inlineStr">
        <is>
          <t>HALMSTAD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46284</v>
      </c>
      <c r="F338" t="inlineStr">
        <is>
          <t>HALLANDS LÄN</t>
        </is>
      </c>
      <c r="G338" t="inlineStr">
        <is>
          <t>HALMSTAD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46284</v>
      </c>
      <c r="F339" t="inlineStr">
        <is>
          <t>HALLANDS LÄN</t>
        </is>
      </c>
      <c r="G339" t="inlineStr">
        <is>
          <t>HALMSTAD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46284</v>
      </c>
      <c r="F340" t="inlineStr">
        <is>
          <t>HALLANDS LÄN</t>
        </is>
      </c>
      <c r="G340" t="inlineStr">
        <is>
          <t>HALMSTAD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46284</v>
      </c>
      <c r="F341" t="inlineStr">
        <is>
          <t>HALLANDS LÄN</t>
        </is>
      </c>
      <c r="G341" t="inlineStr">
        <is>
          <t>HALMSTAD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46284</v>
      </c>
      <c r="F342" t="inlineStr">
        <is>
          <t>HALLANDS LÄN</t>
        </is>
      </c>
      <c r="G342" t="inlineStr">
        <is>
          <t>HALMSTAD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46284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46284</v>
      </c>
      <c r="F344" t="inlineStr">
        <is>
          <t>HALLANDS LÄN</t>
        </is>
      </c>
      <c r="G344" t="inlineStr">
        <is>
          <t>HALMSTAD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45386</v>
      </c>
      <c r="E345" s="1" t="n">
        <v>46284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57013-2021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44482</v>
      </c>
      <c r="E346" s="1" t="n">
        <v>46284</v>
      </c>
      <c r="F346" t="inlineStr">
        <is>
          <t>HALLANDS LÄN</t>
        </is>
      </c>
      <c r="G346" t="inlineStr">
        <is>
          <t>HALMSTAD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44482</v>
      </c>
      <c r="E347" s="1" t="n">
        <v>46284</v>
      </c>
      <c r="F347" t="inlineStr">
        <is>
          <t>HALLANDS LÄN</t>
        </is>
      </c>
      <c r="G347" t="inlineStr">
        <is>
          <t>HALMSTAD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46284</v>
      </c>
      <c r="F348" t="inlineStr">
        <is>
          <t>HALLANDS LÄN</t>
        </is>
      </c>
      <c r="G348" t="inlineStr">
        <is>
          <t>HALMSTAD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44722</v>
      </c>
      <c r="E349" s="1" t="n">
        <v>46284</v>
      </c>
      <c r="F349" t="inlineStr">
        <is>
          <t>HALLANDS LÄN</t>
        </is>
      </c>
      <c r="G349" t="inlineStr">
        <is>
          <t>HALMSTAD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70720-2021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44537</v>
      </c>
      <c r="E350" s="1" t="n">
        <v>46284</v>
      </c>
      <c r="F350" t="inlineStr">
        <is>
          <t>HALLANDS LÄN</t>
        </is>
      </c>
      <c r="G350" t="inlineStr">
        <is>
          <t>HALMSTAD</t>
        </is>
      </c>
      <c r="H350" t="inlineStr">
        <is>
          <t>Kyrkan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44712</v>
      </c>
      <c r="E351" s="1" t="n">
        <v>46284</v>
      </c>
      <c r="F351" t="inlineStr">
        <is>
          <t>HALLANDS LÄN</t>
        </is>
      </c>
      <c r="G351" t="inlineStr">
        <is>
          <t>HALMSTAD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46284</v>
      </c>
      <c r="F352" t="inlineStr">
        <is>
          <t>HALLANDS LÄN</t>
        </is>
      </c>
      <c r="G352" t="inlineStr">
        <is>
          <t>HALMSTAD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46284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46284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45239</v>
      </c>
      <c r="E355" s="1" t="n">
        <v>46284</v>
      </c>
      <c r="F355" t="inlineStr">
        <is>
          <t>HALLANDS LÄN</t>
        </is>
      </c>
      <c r="G355" t="inlineStr">
        <is>
          <t>HALMSTAD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46284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46284</v>
      </c>
      <c r="F357" t="inlineStr">
        <is>
          <t>HALLANDS LÄN</t>
        </is>
      </c>
      <c r="G357" t="inlineStr">
        <is>
          <t>HALMSTAD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51192-2021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44461</v>
      </c>
      <c r="E358" s="1" t="n">
        <v>46284</v>
      </c>
      <c r="F358" t="inlineStr">
        <is>
          <t>HALLANDS LÄN</t>
        </is>
      </c>
      <c r="G358" t="inlineStr">
        <is>
          <t>HALMSTAD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46284</v>
      </c>
      <c r="F359" t="inlineStr">
        <is>
          <t>HALLANDS LÄN</t>
        </is>
      </c>
      <c r="G359" t="inlineStr">
        <is>
          <t>HALMSTAD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46284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46284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46284</v>
      </c>
      <c r="F362" t="inlineStr">
        <is>
          <t>HALLANDS LÄN</t>
        </is>
      </c>
      <c r="G362" t="inlineStr">
        <is>
          <t>HALMSTAD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46284</v>
      </c>
      <c r="F363" t="inlineStr">
        <is>
          <t>HALLANDS LÄN</t>
        </is>
      </c>
      <c r="G363" t="inlineStr">
        <is>
          <t>HALMSTAD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46284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46284</v>
      </c>
      <c r="F365" t="inlineStr">
        <is>
          <t>HALLANDS LÄN</t>
        </is>
      </c>
      <c r="G365" t="inlineStr">
        <is>
          <t>HALMSTAD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46284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46284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46106</v>
      </c>
      <c r="E368" s="1" t="n">
        <v>46284</v>
      </c>
      <c r="F368" t="inlineStr">
        <is>
          <t>HALLANDS LÄN</t>
        </is>
      </c>
      <c r="G368" t="inlineStr">
        <is>
          <t>HALMSTAD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46284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46284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46284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57031-2021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44482</v>
      </c>
      <c r="E372" s="1" t="n">
        <v>46284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46284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44922</v>
      </c>
      <c r="E374" s="1" t="n">
        <v>46284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46284</v>
      </c>
      <c r="F375" t="inlineStr">
        <is>
          <t>HALLANDS LÄN</t>
        </is>
      </c>
      <c r="G375" t="inlineStr">
        <is>
          <t>HALMSTAD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46284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46284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46284</v>
      </c>
      <c r="F378" t="inlineStr">
        <is>
          <t>HALLANDS LÄN</t>
        </is>
      </c>
      <c r="G378" t="inlineStr">
        <is>
          <t>HALMSTAD</t>
        </is>
      </c>
      <c r="H378" t="inlineStr">
        <is>
          <t>Kommuner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46284</v>
      </c>
      <c r="F379" t="inlineStr">
        <is>
          <t>HALLANDS LÄN</t>
        </is>
      </c>
      <c r="G379" t="inlineStr">
        <is>
          <t>HALMSTAD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46284</v>
      </c>
      <c r="F380" t="inlineStr">
        <is>
          <t>HALLANDS LÄN</t>
        </is>
      </c>
      <c r="G380" t="inlineStr">
        <is>
          <t>HALMSTAD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46284</v>
      </c>
      <c r="F381" t="inlineStr">
        <is>
          <t>HALLANDS LÄN</t>
        </is>
      </c>
      <c r="G381" t="inlineStr">
        <is>
          <t>HALMSTAD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46121</v>
      </c>
      <c r="E382" s="1" t="n">
        <v>46284</v>
      </c>
      <c r="F382" t="inlineStr">
        <is>
          <t>HALLANDS LÄN</t>
        </is>
      </c>
      <c r="G382" t="inlineStr">
        <is>
          <t>HALMSTAD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46284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46284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46284</v>
      </c>
      <c r="F385" t="inlineStr">
        <is>
          <t>HALLANDS LÄN</t>
        </is>
      </c>
      <c r="G385" t="inlineStr">
        <is>
          <t>HALMSTAD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45404</v>
      </c>
      <c r="E386" s="1" t="n">
        <v>46284</v>
      </c>
      <c r="F386" t="inlineStr">
        <is>
          <t>HALLANDS LÄN</t>
        </is>
      </c>
      <c r="G386" t="inlineStr">
        <is>
          <t>HALMSTAD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46284</v>
      </c>
      <c r="F387" t="inlineStr">
        <is>
          <t>HALLANDS LÄN</t>
        </is>
      </c>
      <c r="G387" t="inlineStr">
        <is>
          <t>HALMSTAD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44466</v>
      </c>
      <c r="E388" s="1" t="n">
        <v>46284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46284</v>
      </c>
      <c r="F389" t="inlineStr">
        <is>
          <t>HALLANDS LÄN</t>
        </is>
      </c>
      <c r="G389" t="inlineStr">
        <is>
          <t>HALMSTAD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46284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46284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46284</v>
      </c>
      <c r="F392" t="inlineStr">
        <is>
          <t>HALLANDS LÄN</t>
        </is>
      </c>
      <c r="G392" t="inlineStr">
        <is>
          <t>HALMSTAD</t>
        </is>
      </c>
      <c r="H392" t="inlineStr">
        <is>
          <t>Bergvik skog väst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40345-2023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46284</v>
      </c>
      <c r="F393" t="inlineStr">
        <is>
          <t>HALLANDS LÄN</t>
        </is>
      </c>
      <c r="G393" t="inlineStr">
        <is>
          <t>HALMSTAD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47668-2023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46284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46284</v>
      </c>
      <c r="F395" t="inlineStr">
        <is>
          <t>HALLANDS LÄN</t>
        </is>
      </c>
      <c r="G395" t="inlineStr">
        <is>
          <t>HALMSTAD</t>
        </is>
      </c>
      <c r="H395" t="inlineStr">
        <is>
          <t>Kommuner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46284</v>
      </c>
      <c r="F396" t="inlineStr">
        <is>
          <t>HALLANDS LÄN</t>
        </is>
      </c>
      <c r="G396" t="inlineStr">
        <is>
          <t>HALMSTAD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46284</v>
      </c>
      <c r="F397" t="inlineStr">
        <is>
          <t>HALLANDS LÄN</t>
        </is>
      </c>
      <c r="G397" t="inlineStr">
        <is>
          <t>HALMSTAD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46284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46284</v>
      </c>
      <c r="F399" t="inlineStr">
        <is>
          <t>HALLANDS LÄN</t>
        </is>
      </c>
      <c r="G399" t="inlineStr">
        <is>
          <t>HALMSTAD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46284</v>
      </c>
      <c r="F400" t="inlineStr">
        <is>
          <t>HALLANDS LÄN</t>
        </is>
      </c>
      <c r="G400" t="inlineStr">
        <is>
          <t>HALMSTAD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46284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58080-2024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46284</v>
      </c>
      <c r="F402" t="inlineStr">
        <is>
          <t>HALLANDS LÄN</t>
        </is>
      </c>
      <c r="G402" t="inlineStr">
        <is>
          <t>HALMSTAD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46284</v>
      </c>
      <c r="F403" t="inlineStr">
        <is>
          <t>HALLANDS LÄN</t>
        </is>
      </c>
      <c r="G403" t="inlineStr">
        <is>
          <t>HALMSTAD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46284</v>
      </c>
      <c r="F404" t="inlineStr">
        <is>
          <t>HALLANDS LÄN</t>
        </is>
      </c>
      <c r="G404" t="inlineStr">
        <is>
          <t>HALMSTAD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46284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46284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46284</v>
      </c>
      <c r="F407" t="inlineStr">
        <is>
          <t>HALLANDS LÄN</t>
        </is>
      </c>
      <c r="G407" t="inlineStr">
        <is>
          <t>HALMSTAD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46284</v>
      </c>
      <c r="F408" t="inlineStr">
        <is>
          <t>HALLANDS LÄN</t>
        </is>
      </c>
      <c r="G408" t="inlineStr">
        <is>
          <t>HALMSTAD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46284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46284</v>
      </c>
      <c r="F410" t="inlineStr">
        <is>
          <t>HALLANDS LÄN</t>
        </is>
      </c>
      <c r="G410" t="inlineStr">
        <is>
          <t>HALMSTAD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46284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46284</v>
      </c>
      <c r="F412" t="inlineStr">
        <is>
          <t>HALLANDS LÄN</t>
        </is>
      </c>
      <c r="G412" t="inlineStr">
        <is>
          <t>HALMSTAD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46284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46284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46284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45712</v>
      </c>
      <c r="E416" s="1" t="n">
        <v>46284</v>
      </c>
      <c r="F416" t="inlineStr">
        <is>
          <t>HALLANDS LÄN</t>
        </is>
      </c>
      <c r="G416" t="inlineStr">
        <is>
          <t>HALMSTAD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46254</v>
      </c>
      <c r="E417" s="1" t="n">
        <v>46284</v>
      </c>
      <c r="F417" t="inlineStr">
        <is>
          <t>HALLANDS LÄN</t>
        </is>
      </c>
      <c r="G417" t="inlineStr">
        <is>
          <t>HALMSTAD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44974</v>
      </c>
      <c r="E418" s="1" t="n">
        <v>46284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45450</v>
      </c>
      <c r="E419" s="1" t="n">
        <v>46284</v>
      </c>
      <c r="F419" t="inlineStr">
        <is>
          <t>HALLANDS LÄN</t>
        </is>
      </c>
      <c r="G419" t="inlineStr">
        <is>
          <t>HALMSTAD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46284</v>
      </c>
      <c r="F420" t="inlineStr">
        <is>
          <t>HALLANDS LÄN</t>
        </is>
      </c>
      <c r="G420" t="inlineStr">
        <is>
          <t>HALMSTAD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46259</v>
      </c>
      <c r="E421" s="1" t="n">
        <v>46284</v>
      </c>
      <c r="F421" t="inlineStr">
        <is>
          <t>HALLANDS LÄN</t>
        </is>
      </c>
      <c r="G421" t="inlineStr">
        <is>
          <t>HALMSTAD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46284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46259</v>
      </c>
      <c r="E423" s="1" t="n">
        <v>46284</v>
      </c>
      <c r="F423" t="inlineStr">
        <is>
          <t>HALLANDS LÄN</t>
        </is>
      </c>
      <c r="G423" t="inlineStr">
        <is>
          <t>HALMSTAD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46258</v>
      </c>
      <c r="E424" s="1" t="n">
        <v>46284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45429</v>
      </c>
      <c r="E425" s="1" t="n">
        <v>46284</v>
      </c>
      <c r="F425" t="inlineStr">
        <is>
          <t>HALLANDS LÄN</t>
        </is>
      </c>
      <c r="G425" t="inlineStr">
        <is>
          <t>HALMSTAD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45306</v>
      </c>
      <c r="E426" s="1" t="n">
        <v>46284</v>
      </c>
      <c r="F426" t="inlineStr">
        <is>
          <t>HALLANDS LÄN</t>
        </is>
      </c>
      <c r="G426" t="inlineStr">
        <is>
          <t>HALMSTAD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54114-2021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46284</v>
      </c>
      <c r="F427" t="inlineStr">
        <is>
          <t>HALLANDS LÄN</t>
        </is>
      </c>
      <c r="G427" t="inlineStr">
        <is>
          <t>HALMSTAD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41836-2024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45561</v>
      </c>
      <c r="E428" s="1" t="n">
        <v>46284</v>
      </c>
      <c r="F428" t="inlineStr">
        <is>
          <t>HALLANDS LÄN</t>
        </is>
      </c>
      <c r="G428" t="inlineStr">
        <is>
          <t>HALMSTAD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46284</v>
      </c>
      <c r="F429" t="inlineStr">
        <is>
          <t>HALLANDS LÄN</t>
        </is>
      </c>
      <c r="G429" t="inlineStr">
        <is>
          <t>HALMSTAD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46284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46284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46284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46284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35185-2026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46260</v>
      </c>
      <c r="E434" s="1" t="n">
        <v>46284</v>
      </c>
      <c r="F434" t="inlineStr">
        <is>
          <t>HALLANDS LÄN</t>
        </is>
      </c>
      <c r="G434" t="inlineStr">
        <is>
          <t>HALMSTAD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46284</v>
      </c>
      <c r="F435" t="inlineStr">
        <is>
          <t>HALLANDS LÄN</t>
        </is>
      </c>
      <c r="G435" t="inlineStr">
        <is>
          <t>HALMSTAD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45733</v>
      </c>
      <c r="E436" s="1" t="n">
        <v>46284</v>
      </c>
      <c r="F436" t="inlineStr">
        <is>
          <t>HALLANDS LÄN</t>
        </is>
      </c>
      <c r="G436" t="inlineStr">
        <is>
          <t>HALMSTAD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44775</v>
      </c>
      <c r="E437" s="1" t="n">
        <v>46284</v>
      </c>
      <c r="F437" t="inlineStr">
        <is>
          <t>HALLANDS LÄN</t>
        </is>
      </c>
      <c r="G437" t="inlineStr">
        <is>
          <t>HALMSTAD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45090</v>
      </c>
      <c r="E438" s="1" t="n">
        <v>46284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46284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46284</v>
      </c>
      <c r="F440" t="inlineStr">
        <is>
          <t>HALLANDS LÄN</t>
        </is>
      </c>
      <c r="G440" t="inlineStr">
        <is>
          <t>HALMSTAD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46284</v>
      </c>
      <c r="F441" t="inlineStr">
        <is>
          <t>HALLANDS LÄN</t>
        </is>
      </c>
      <c r="G441" t="inlineStr">
        <is>
          <t>HALMSTAD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46284</v>
      </c>
      <c r="F442" t="inlineStr">
        <is>
          <t>HALLANDS LÄN</t>
        </is>
      </c>
      <c r="G442" t="inlineStr">
        <is>
          <t>HALMSTAD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46284</v>
      </c>
      <c r="F443" t="inlineStr">
        <is>
          <t>HALLANDS LÄN</t>
        </is>
      </c>
      <c r="G443" t="inlineStr">
        <is>
          <t>HALMSTAD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46284</v>
      </c>
      <c r="F444" t="inlineStr">
        <is>
          <t>HALLANDS LÄN</t>
        </is>
      </c>
      <c r="G444" t="inlineStr">
        <is>
          <t>HALMSTAD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46284</v>
      </c>
      <c r="F445" t="inlineStr">
        <is>
          <t>HALLANDS LÄN</t>
        </is>
      </c>
      <c r="G445" t="inlineStr">
        <is>
          <t>HALMSTAD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46284</v>
      </c>
      <c r="F446" t="inlineStr">
        <is>
          <t>HALLANDS LÄN</t>
        </is>
      </c>
      <c r="G446" t="inlineStr">
        <is>
          <t>HALMSTAD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46284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46284</v>
      </c>
      <c r="F448" t="inlineStr">
        <is>
          <t>HALLANDS LÄN</t>
        </is>
      </c>
      <c r="G448" t="inlineStr">
        <is>
          <t>HALMSTAD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46754-2024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45583</v>
      </c>
      <c r="E449" s="1" t="n">
        <v>46284</v>
      </c>
      <c r="F449" t="inlineStr">
        <is>
          <t>HALLANDS LÄN</t>
        </is>
      </c>
      <c r="G449" t="inlineStr">
        <is>
          <t>HALMSTAD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46027</v>
      </c>
      <c r="E450" s="1" t="n">
        <v>46284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46284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46284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46284</v>
      </c>
      <c r="F453" t="inlineStr">
        <is>
          <t>HALLANDS LÄN</t>
        </is>
      </c>
      <c r="G453" t="inlineStr">
        <is>
          <t>HALMSTAD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46284</v>
      </c>
      <c r="F454" t="inlineStr">
        <is>
          <t>HALLANDS LÄN</t>
        </is>
      </c>
      <c r="G454" t="inlineStr">
        <is>
          <t>HALMSTAD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37586-2026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46276</v>
      </c>
      <c r="E455" s="1" t="n">
        <v>46284</v>
      </c>
      <c r="F455" t="inlineStr">
        <is>
          <t>HALLANDS LÄN</t>
        </is>
      </c>
      <c r="G455" t="inlineStr">
        <is>
          <t>HALMSTAD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46276</v>
      </c>
      <c r="E456" s="1" t="n">
        <v>46284</v>
      </c>
      <c r="F456" t="inlineStr">
        <is>
          <t>HALLANDS LÄN</t>
        </is>
      </c>
      <c r="G456" t="inlineStr">
        <is>
          <t>HALMSTAD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45747</v>
      </c>
      <c r="E457" s="1" t="n">
        <v>46284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45792</v>
      </c>
      <c r="E458" s="1" t="n">
        <v>46284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45694</v>
      </c>
      <c r="E459" s="1" t="n">
        <v>46284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44677</v>
      </c>
      <c r="E460" s="1" t="n">
        <v>46284</v>
      </c>
      <c r="F460" t="inlineStr">
        <is>
          <t>HALLANDS LÄN</t>
        </is>
      </c>
      <c r="G460" t="inlineStr">
        <is>
          <t>HALMSTAD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46284</v>
      </c>
      <c r="F461" t="inlineStr">
        <is>
          <t>HALLANDS LÄN</t>
        </is>
      </c>
      <c r="G461" t="inlineStr">
        <is>
          <t>HALMSTAD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45562</v>
      </c>
      <c r="E462" s="1" t="n">
        <v>46284</v>
      </c>
      <c r="F462" t="inlineStr">
        <is>
          <t>HALLANDS LÄN</t>
        </is>
      </c>
      <c r="G462" t="inlineStr">
        <is>
          <t>HALMSTAD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45797</v>
      </c>
      <c r="E463" s="1" t="n">
        <v>46284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46284</v>
      </c>
      <c r="F464" t="inlineStr">
        <is>
          <t>HALLANDS LÄN</t>
        </is>
      </c>
      <c r="G464" t="inlineStr">
        <is>
          <t>HALMSTAD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45316</v>
      </c>
      <c r="E465" s="1" t="n">
        <v>46284</v>
      </c>
      <c r="F465" t="inlineStr">
        <is>
          <t>HALLANDS LÄN</t>
        </is>
      </c>
      <c r="G465" t="inlineStr">
        <is>
          <t>HALMSTAD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45627</v>
      </c>
      <c r="E466" s="1" t="n">
        <v>46284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46284</v>
      </c>
      <c r="F467" t="inlineStr">
        <is>
          <t>HALLANDS LÄN</t>
        </is>
      </c>
      <c r="G467" t="inlineStr">
        <is>
          <t>HALMSTAD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45330</v>
      </c>
      <c r="E468" s="1" t="n">
        <v>46284</v>
      </c>
      <c r="F468" t="inlineStr">
        <is>
          <t>HALLANDS LÄN</t>
        </is>
      </c>
      <c r="G468" t="inlineStr">
        <is>
          <t>HALMSTAD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45359</v>
      </c>
      <c r="E469" s="1" t="n">
        <v>46284</v>
      </c>
      <c r="F469" t="inlineStr">
        <is>
          <t>HALLANDS LÄN</t>
        </is>
      </c>
      <c r="G469" t="inlineStr">
        <is>
          <t>HALMSTAD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27848-2025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45817</v>
      </c>
      <c r="E470" s="1" t="n">
        <v>46284</v>
      </c>
      <c r="F470" t="inlineStr">
        <is>
          <t>HALLANDS LÄN</t>
        </is>
      </c>
      <c r="G470" t="inlineStr">
        <is>
          <t>HALMSTAD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45642</v>
      </c>
      <c r="E471" s="1" t="n">
        <v>46284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45824</v>
      </c>
      <c r="E472" s="1" t="n">
        <v>46284</v>
      </c>
      <c r="F472" t="inlineStr">
        <is>
          <t>HALLANDS LÄN</t>
        </is>
      </c>
      <c r="G472" t="inlineStr">
        <is>
          <t>HALMSTAD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46284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11.2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46284</v>
      </c>
      <c r="F474" t="inlineStr">
        <is>
          <t>HALLANDS LÄN</t>
        </is>
      </c>
      <c r="G474" t="inlineStr">
        <is>
          <t>HALMSTAD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46284</v>
      </c>
      <c r="F475" t="inlineStr">
        <is>
          <t>HALLANDS LÄN</t>
        </is>
      </c>
      <c r="G475" t="inlineStr">
        <is>
          <t>HALMSTAD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46284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45831</v>
      </c>
      <c r="E477" s="1" t="n">
        <v>46284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45561</v>
      </c>
      <c r="E478" s="1" t="n">
        <v>46284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46284</v>
      </c>
      <c r="F479" t="inlineStr">
        <is>
          <t>HALLANDS LÄN</t>
        </is>
      </c>
      <c r="G479" t="inlineStr">
        <is>
          <t>HALMSTAD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45841</v>
      </c>
      <c r="E480" s="1" t="n">
        <v>46284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45708</v>
      </c>
      <c r="E481" s="1" t="n">
        <v>46284</v>
      </c>
      <c r="F481" t="inlineStr">
        <is>
          <t>HALLANDS LÄN</t>
        </is>
      </c>
      <c r="G481" t="inlineStr">
        <is>
          <t>HALMSTAD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45793</v>
      </c>
      <c r="E482" s="1" t="n">
        <v>46284</v>
      </c>
      <c r="F482" t="inlineStr">
        <is>
          <t>HALLANDS LÄN</t>
        </is>
      </c>
      <c r="G482" t="inlineStr">
        <is>
          <t>HALMSTAD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45846</v>
      </c>
      <c r="E483" s="1" t="n">
        <v>46284</v>
      </c>
      <c r="F483" t="inlineStr">
        <is>
          <t>HALLANDS LÄN</t>
        </is>
      </c>
      <c r="G483" t="inlineStr">
        <is>
          <t>HALMSTAD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45681</v>
      </c>
      <c r="E484" s="1" t="n">
        <v>46284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45854</v>
      </c>
      <c r="E485" s="1" t="n">
        <v>46284</v>
      </c>
      <c r="F485" t="inlineStr">
        <is>
          <t>HALLANDS LÄN</t>
        </is>
      </c>
      <c r="G485" t="inlineStr">
        <is>
          <t>HALMSTAD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45856</v>
      </c>
      <c r="E486" s="1" t="n">
        <v>46284</v>
      </c>
      <c r="F486" t="inlineStr">
        <is>
          <t>HALLANDS LÄN</t>
        </is>
      </c>
      <c r="G486" t="inlineStr">
        <is>
          <t>HALMSTAD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45750</v>
      </c>
      <c r="E487" s="1" t="n">
        <v>46284</v>
      </c>
      <c r="F487" t="inlineStr">
        <is>
          <t>HALLANDS LÄN</t>
        </is>
      </c>
      <c r="G487" t="inlineStr">
        <is>
          <t>HALMSTAD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46284</v>
      </c>
      <c r="F488" t="inlineStr">
        <is>
          <t>HALLANDS LÄN</t>
        </is>
      </c>
      <c r="G488" t="inlineStr">
        <is>
          <t>HALMSTAD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45493</v>
      </c>
      <c r="E489" s="1" t="n">
        <v>46284</v>
      </c>
      <c r="F489" t="inlineStr">
        <is>
          <t>HALLANDS LÄN</t>
        </is>
      </c>
      <c r="G489" t="inlineStr">
        <is>
          <t>HALMSTAD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40846-2023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45172</v>
      </c>
      <c r="E490" s="1" t="n">
        <v>46284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46284</v>
      </c>
      <c r="F491" t="inlineStr">
        <is>
          <t>HALLANDS LÄN</t>
        </is>
      </c>
      <c r="G491" t="inlineStr">
        <is>
          <t>HALMSTAD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44917</v>
      </c>
      <c r="E492" s="1" t="n">
        <v>46284</v>
      </c>
      <c r="F492" t="inlineStr">
        <is>
          <t>HALLANDS LÄN</t>
        </is>
      </c>
      <c r="G492" t="inlineStr">
        <is>
          <t>HALMSTAD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45079</v>
      </c>
      <c r="E493" s="1" t="n">
        <v>46284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46284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61778-2022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46284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46284</v>
      </c>
      <c r="F496" t="inlineStr">
        <is>
          <t>HALLANDS LÄN</t>
        </is>
      </c>
      <c r="G496" t="inlineStr">
        <is>
          <t>HALMSTAD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45229</v>
      </c>
      <c r="E497" s="1" t="n">
        <v>46284</v>
      </c>
      <c r="F497" t="inlineStr">
        <is>
          <t>HALLANDS LÄN</t>
        </is>
      </c>
      <c r="G497" t="inlineStr">
        <is>
          <t>HALMSTAD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53539-2022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44879</v>
      </c>
      <c r="E498" s="1" t="n">
        <v>46284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44879</v>
      </c>
      <c r="E499" s="1" t="n">
        <v>46284</v>
      </c>
      <c r="F499" t="inlineStr">
        <is>
          <t>HALLANDS LÄN</t>
        </is>
      </c>
      <c r="G499" t="inlineStr">
        <is>
          <t>HALMSTAD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46284</v>
      </c>
      <c r="F500" t="inlineStr">
        <is>
          <t>HALLANDS LÄN</t>
        </is>
      </c>
      <c r="G500" t="inlineStr">
        <is>
          <t>HALMSTAD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46295-2024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45581</v>
      </c>
      <c r="E501" s="1" t="n">
        <v>46284</v>
      </c>
      <c r="F501" t="inlineStr">
        <is>
          <t>HALLANDS LÄN</t>
        </is>
      </c>
      <c r="G501" t="inlineStr">
        <is>
          <t>HALMSTAD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46284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45001</v>
      </c>
      <c r="E503" s="1" t="n">
        <v>46284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44580</v>
      </c>
      <c r="E504" s="1" t="n">
        <v>46284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39274-2022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44817</v>
      </c>
      <c r="E505" s="1" t="n">
        <v>46284</v>
      </c>
      <c r="F505" t="inlineStr">
        <is>
          <t>HALLANDS LÄN</t>
        </is>
      </c>
      <c r="G505" t="inlineStr">
        <is>
          <t>HALMSTAD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2438-2024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45311</v>
      </c>
      <c r="E506" s="1" t="n">
        <v>46284</v>
      </c>
      <c r="F506" t="inlineStr">
        <is>
          <t>HALLANDS LÄN</t>
        </is>
      </c>
      <c r="G506" t="inlineStr">
        <is>
          <t>HALMSTAD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45266</v>
      </c>
      <c r="E507" s="1" t="n">
        <v>46284</v>
      </c>
      <c r="F507" t="inlineStr">
        <is>
          <t>HALLANDS LÄN</t>
        </is>
      </c>
      <c r="G507" t="inlineStr">
        <is>
          <t>HALMSTAD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46284</v>
      </c>
      <c r="F508" t="inlineStr">
        <is>
          <t>HALLANDS LÄN</t>
        </is>
      </c>
      <c r="G508" t="inlineStr">
        <is>
          <t>HALMSTAD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45692</v>
      </c>
      <c r="E509" s="1" t="n">
        <v>46284</v>
      </c>
      <c r="F509" t="inlineStr">
        <is>
          <t>HALLANDS LÄN</t>
        </is>
      </c>
      <c r="G509" t="inlineStr">
        <is>
          <t>HALMSTAD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13532-2023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45006</v>
      </c>
      <c r="E510" s="1" t="n">
        <v>46284</v>
      </c>
      <c r="F510" t="inlineStr">
        <is>
          <t>HALLANDS LÄN</t>
        </is>
      </c>
      <c r="G510" t="inlineStr">
        <is>
          <t>HALMSTAD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46284</v>
      </c>
      <c r="F511" t="inlineStr">
        <is>
          <t>HALLANDS LÄN</t>
        </is>
      </c>
      <c r="G511" t="inlineStr">
        <is>
          <t>HALMSTAD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46284</v>
      </c>
      <c r="F512" t="inlineStr">
        <is>
          <t>HALLANDS LÄN</t>
        </is>
      </c>
      <c r="G512" t="inlineStr">
        <is>
          <t>HALMSTAD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46284</v>
      </c>
      <c r="F513" t="inlineStr">
        <is>
          <t>HALLANDS LÄN</t>
        </is>
      </c>
      <c r="G513" t="inlineStr">
        <is>
          <t>HALMSTAD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10061-2022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44621</v>
      </c>
      <c r="E514" s="1" t="n">
        <v>46284</v>
      </c>
      <c r="F514" t="inlineStr">
        <is>
          <t>HALLANDS LÄN</t>
        </is>
      </c>
      <c r="G514" t="inlineStr">
        <is>
          <t>HALMSTAD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45099</v>
      </c>
      <c r="E515" s="1" t="n">
        <v>46284</v>
      </c>
      <c r="F515" t="inlineStr">
        <is>
          <t>HALLANDS LÄN</t>
        </is>
      </c>
      <c r="G515" t="inlineStr">
        <is>
          <t>HALMSTAD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16268-2025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45750</v>
      </c>
      <c r="E516" s="1" t="n">
        <v>46284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45357</v>
      </c>
      <c r="E517" s="1" t="n">
        <v>46284</v>
      </c>
      <c r="F517" t="inlineStr">
        <is>
          <t>HALLANDS LÄN</t>
        </is>
      </c>
      <c r="G517" t="inlineStr">
        <is>
          <t>HALMSTAD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45797</v>
      </c>
      <c r="E518" s="1" t="n">
        <v>46284</v>
      </c>
      <c r="F518" t="inlineStr">
        <is>
          <t>HALLANDS LÄN</t>
        </is>
      </c>
      <c r="G518" t="inlineStr">
        <is>
          <t>HALMSTAD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20414-2022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44699</v>
      </c>
      <c r="E519" s="1" t="n">
        <v>46284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45068</v>
      </c>
      <c r="E520" s="1" t="n">
        <v>46284</v>
      </c>
      <c r="F520" t="inlineStr">
        <is>
          <t>HALLANDS LÄN</t>
        </is>
      </c>
      <c r="G520" t="inlineStr">
        <is>
          <t>HALMSTAD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45581</v>
      </c>
      <c r="E521" s="1" t="n">
        <v>46284</v>
      </c>
      <c r="F521" t="inlineStr">
        <is>
          <t>HALLANDS LÄN</t>
        </is>
      </c>
      <c r="G521" t="inlineStr">
        <is>
          <t>HALMSTAD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45579</v>
      </c>
      <c r="E522" s="1" t="n">
        <v>46284</v>
      </c>
      <c r="F522" t="inlineStr">
        <is>
          <t>HALLANDS LÄN</t>
        </is>
      </c>
      <c r="G522" t="inlineStr">
        <is>
          <t>HALMSTAD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46284</v>
      </c>
      <c r="F523" t="inlineStr">
        <is>
          <t>HALLANDS LÄN</t>
        </is>
      </c>
      <c r="G523" t="inlineStr">
        <is>
          <t>HALMSTAD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46284</v>
      </c>
      <c r="F524" t="inlineStr">
        <is>
          <t>HALLANDS LÄN</t>
        </is>
      </c>
      <c r="G524" t="inlineStr">
        <is>
          <t>HALMSTAD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45874</v>
      </c>
      <c r="E525" s="1" t="n">
        <v>46284</v>
      </c>
      <c r="F525" t="inlineStr">
        <is>
          <t>HALLANDS LÄN</t>
        </is>
      </c>
      <c r="G525" t="inlineStr">
        <is>
          <t>HALMSTAD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45874</v>
      </c>
      <c r="E526" s="1" t="n">
        <v>46284</v>
      </c>
      <c r="F526" t="inlineStr">
        <is>
          <t>HALLANDS LÄN</t>
        </is>
      </c>
      <c r="G526" t="inlineStr">
        <is>
          <t>HALMSTAD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45876</v>
      </c>
      <c r="E527" s="1" t="n">
        <v>46284</v>
      </c>
      <c r="F527" t="inlineStr">
        <is>
          <t>HALLANDS LÄN</t>
        </is>
      </c>
      <c r="G527" t="inlineStr">
        <is>
          <t>HALMSTAD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37745-2025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45880</v>
      </c>
      <c r="E528" s="1" t="n">
        <v>46284</v>
      </c>
      <c r="F528" t="inlineStr">
        <is>
          <t>HALLANDS LÄN</t>
        </is>
      </c>
      <c r="G528" t="inlineStr">
        <is>
          <t>HALMSTAD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46284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46284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46284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46284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46284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46284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46284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46284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46284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46284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46284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46284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46284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46284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46284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2026-09-19T02:00:09Z</dcterms:created>
  <dcterms:modified xmlns:dcterms="http://purl.org/dc/terms/" xmlns:xsi="http://www.w3.org/2001/XMLSchema-instance" xsi:type="dcterms:W3CDTF">2026-09-19T02:00:09Z</dcterms:modified>
</cp:coreProperties>
</file>
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S 4927-2021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44417</v>
      </c>
      <c r="E7" s="1" t="n">
        <v>46237</v>
      </c>
      <c r="F7" t="inlineStr">
        <is>
          <t>HALLANDS LÄN</t>
        </is>
      </c>
      <c r="G7" t="inlineStr">
        <is>
          <t>HALMSTAD</t>
        </is>
      </c>
      <c r="I7" t="n">
        <v>323.2</v>
      </c>
      <c r="J7" t="n">
        <v>1</v>
      </c>
      <c r="K7" t="n">
        <v>4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7</v>
      </c>
      <c r="T7" t="n">
        <v>10</v>
      </c>
      <c r="U7" t="n">
        <v>8</v>
      </c>
      <c r="V7" s="2" t="inlineStr">
        <is>
          <t>Ljungögontröst
Borsttåg
Guldlockmossa
Kambräken
Kornknutmossa
Tibast
Mattlummer</t>
        </is>
      </c>
      <c r="W7">
        <f>HYPERLINK("https://klasma.github.io/Logging_1380/artfynd/S 4927-2021 artfynd.xlsx", "S 4927-2021")</f>
        <v/>
      </c>
      <c r="X7">
        <f>HYPERLINK("https://klasma.github.io/Logging_1380/kartor/S 4927-2021 karta.png", "S 4927-2021")</f>
        <v/>
      </c>
      <c r="Y7">
        <f>HYPERLINK("https://klasma.github.io/Logging_1380/kartor_geotiff/S 4927-2021 georefererad karta.tif", "S 4927-2021")</f>
        <v/>
      </c>
      <c r="AA7">
        <f>HYPERLINK("https://klasma.github.io/Logging_1380/klagomål/S 4927-2021 FSC-klagomål.docx", "S 4927-2021")</f>
        <v/>
      </c>
      <c r="AB7">
        <f>HYPERLINK("https://klasma.github.io/Logging_1380/klagomålsmail/S 4927-2021 FSC-klagomål mail.docx", "S 4927-2021")</f>
        <v/>
      </c>
      <c r="AC7">
        <f>HYPERLINK("https://klasma.github.io/Logging_1380/tillsyn/S 4927-2021 tillsynsbegäran.docx", "S 4927-2021")</f>
        <v/>
      </c>
      <c r="AD7">
        <f>HYPERLINK("https://klasma.github.io/Logging_1380/tillsynsmail/S 4927-2021 tillsynsbegäran mail.docx", "S 4927-2021")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46237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t="n">
        <v>3</v>
      </c>
      <c r="V8" s="2" t="inlineStr">
        <is>
          <t>Entita
Grönsångare
Järnsparv
Spillkråka
Kungsfågel
Sångsvan</t>
        </is>
      </c>
      <c r="W8">
        <f>HYPERLINK("https://klasma.github.io/Logging_1380/artfynd/A 48909-2023 artfynd.xlsx", "A 48909-2023")</f>
        <v/>
      </c>
      <c r="X8">
        <f>HYPERLINK("https://klasma.github.io/Logging_1380/kartor/A 48909-2023 karta.png", "A 48909-2023")</f>
        <v/>
      </c>
      <c r="Y8">
        <f>HYPERLINK("https://klasma.github.io/Logging_1380/kartor_geotiff/A 48909-2023 georefererad karta.tif", "A 48909-2023")</f>
        <v/>
      </c>
      <c r="AA8">
        <f>HYPERLINK("https://klasma.github.io/Logging_1380/klagomål/A 48909-2023 FSC-klagomål.docx", "A 48909-2023")</f>
        <v/>
      </c>
      <c r="AB8">
        <f>HYPERLINK("https://klasma.github.io/Logging_1380/klagomålsmail/A 48909-2023 FSC-klagomål mail.docx", "A 48909-2023")</f>
        <v/>
      </c>
      <c r="AC8">
        <f>HYPERLINK("https://klasma.github.io/Logging_1380/tillsyn/A 48909-2023 tillsynsbegäran.docx", "A 48909-2023")</f>
        <v/>
      </c>
      <c r="AD8">
        <f>HYPERLINK("https://klasma.github.io/Logging_1380/tillsynsmail/A 48909-2023 tillsynsbegäran mail.docx", "A 48909-2023")</f>
        <v/>
      </c>
      <c r="AE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46237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Dunmossa
Flikbålmossa
Blåmossa
Skuggmossa
Västlig hakmossa
Västlig husmossa</t>
        </is>
      </c>
      <c r="W9">
        <f>HYPERLINK("https://klasma.github.io/Logging_1380/artfynd/S 248-2025 artfynd.xlsx", "S 248-2025")</f>
        <v/>
      </c>
      <c r="X9">
        <f>HYPERLINK("https://klasma.github.io/Logging_1380/kartor/S 248-2025 karta.png", "S 248-2025")</f>
        <v/>
      </c>
      <c r="Y9">
        <f>HYPERLINK("https://klasma.github.io/Logging_1380/kartor_geotiff/S 248-2025 georefererad karta.tif", "S 248-2025")</f>
        <v/>
      </c>
      <c r="AA9">
        <f>HYPERLINK("https://klasma.github.io/Logging_1380/klagomål/S 248-2025 FSC-klagomål.docx", "S 248-2025")</f>
        <v/>
      </c>
      <c r="AB9">
        <f>HYPERLINK("https://klasma.github.io/Logging_1380/klagomålsmail/S 248-2025 FSC-klagomål mail.docx", "S 248-2025")</f>
        <v/>
      </c>
      <c r="AC9">
        <f>HYPERLINK("https://klasma.github.io/Logging_1380/tillsyn/S 248-2025 tillsynsbegäran.docx", "S 248-2025")</f>
        <v/>
      </c>
      <c r="AD9">
        <f>HYPERLINK("https://klasma.github.io/Logging_1380/tillsynsmail/S 248-2025 tillsynsbegäran mail.docx", "S 248-2025")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46237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46237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46237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46237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46237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46237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46237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46237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46237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46237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46237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46237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46237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46237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A 26108-2022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44734</v>
      </c>
      <c r="E26" s="1" t="n">
        <v>46237</v>
      </c>
      <c r="F26" t="inlineStr">
        <is>
          <t>HALLANDS LÄN</t>
        </is>
      </c>
      <c r="G26" t="inlineStr">
        <is>
          <t>HALMSTAD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Röd glada
Lopplummer (aggregat)</t>
        </is>
      </c>
      <c r="W26">
        <f>HYPERLINK("https://klasma.github.io/Logging_1380/artfynd/A 26108-2022 artfynd.xlsx", "A 26108-2022")</f>
        <v/>
      </c>
      <c r="X26">
        <f>HYPERLINK("https://klasma.github.io/Logging_1380/kartor/A 26108-2022 karta.png", "A 26108-2022")</f>
        <v/>
      </c>
      <c r="Y26">
        <f>HYPERLINK("https://klasma.github.io/Logging_1380/kartor_geotiff/A 26108-2022 georefererad karta.tif", "A 26108-2022")</f>
        <v/>
      </c>
      <c r="AA26">
        <f>HYPERLINK("https://klasma.github.io/Logging_1380/klagomål/A 26108-2022 FSC-klagomål.docx", "A 26108-2022")</f>
        <v/>
      </c>
      <c r="AB26">
        <f>HYPERLINK("https://klasma.github.io/Logging_1380/klagomålsmail/A 26108-2022 FSC-klagomål mail.docx", "A 26108-2022")</f>
        <v/>
      </c>
      <c r="AC26">
        <f>HYPERLINK("https://klasma.github.io/Logging_1380/tillsyn/A 26108-2022 tillsynsbegäran.docx", "A 26108-2022")</f>
        <v/>
      </c>
      <c r="AD26">
        <f>HYPERLINK("https://klasma.github.io/Logging_1380/tillsynsmail/A 26108-2022 tillsynsbegäran mail.docx", "A 26108-2022")</f>
        <v/>
      </c>
      <c r="AE26">
        <f>HYPERLINK("https://klasma.github.io/Logging_1380/fåglar/A 26108-2022 prioriterade fågelarter.docx", "A 26108-2022")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46237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46237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46237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46237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46237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46237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46237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46237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46237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46237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46237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46237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46237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46237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57025-2021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46237</v>
      </c>
      <c r="F42" t="inlineStr">
        <is>
          <t>HALLANDS LÄN</t>
        </is>
      </c>
      <c r="G42" t="inlineStr">
        <is>
          <t>HALMSTAD</t>
        </is>
      </c>
      <c r="I42" t="n">
        <v>5.6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Gulsparv</t>
        </is>
      </c>
      <c r="W42">
        <f>HYPERLINK("https://klasma.github.io/Logging_1380/artfynd/A 57025-2021 artfynd.xlsx", "A 57025-2021")</f>
        <v/>
      </c>
      <c r="X42">
        <f>HYPERLINK("https://klasma.github.io/Logging_1380/kartor/A 57025-2021 karta.png", "A 57025-2021")</f>
        <v/>
      </c>
      <c r="Y42">
        <f>HYPERLINK("https://klasma.github.io/Logging_1380/kartor_geotiff/A 57025-2021 georefererad karta.tif", "A 57025-2021")</f>
        <v/>
      </c>
      <c r="AA42">
        <f>HYPERLINK("https://klasma.github.io/Logging_1380/klagomål/A 57025-2021 FSC-klagomål.docx", "A 57025-2021")</f>
        <v/>
      </c>
      <c r="AB42">
        <f>HYPERLINK("https://klasma.github.io/Logging_1380/klagomålsmail/A 57025-2021 FSC-klagomål mail.docx", "A 57025-2021")</f>
        <v/>
      </c>
      <c r="AC42">
        <f>HYPERLINK("https://klasma.github.io/Logging_1380/tillsyn/A 57025-2021 tillsynsbegäran.docx", "A 57025-2021")</f>
        <v/>
      </c>
      <c r="AD42">
        <f>HYPERLINK("https://klasma.github.io/Logging_1380/tillsynsmail/A 57025-2021 tillsynsbegäran mail.docx", "A 57025-2021")</f>
        <v/>
      </c>
      <c r="AE42">
        <f>HYPERLINK("https://klasma.github.io/Logging_1380/fåglar/A 57025-2021 prioriterade fågelarter.docx", "A 57025-2021")</f>
        <v/>
      </c>
    </row>
    <row r="43" ht="15" customHeight="1">
      <c r="A43" t="inlineStr">
        <is>
          <t>A 38661-2021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44410</v>
      </c>
      <c r="E43" s="1" t="n">
        <v>46237</v>
      </c>
      <c r="F43" t="inlineStr">
        <is>
          <t>HALLANDS LÄN</t>
        </is>
      </c>
      <c r="G43" t="inlineStr">
        <is>
          <t>HALMSTAD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HYPERLINK("https://klasma.github.io/Logging_1380/artfynd/A 38661-2021 artfynd.xlsx", "A 38661-2021")</f>
        <v/>
      </c>
      <c r="X43">
        <f>HYPERLINK("https://klasma.github.io/Logging_1380/kartor/A 38661-2021 karta.png", "A 38661-2021")</f>
        <v/>
      </c>
      <c r="Y43">
        <f>HYPERLINK("https://klasma.github.io/Logging_1380/kartor_geotiff/A 38661-2021 georefererad karta.tif", "A 38661-2021")</f>
        <v/>
      </c>
      <c r="AA43">
        <f>HYPERLINK("https://klasma.github.io/Logging_1380/klagomål/A 38661-2021 FSC-klagomål.docx", "A 38661-2021")</f>
        <v/>
      </c>
      <c r="AB43">
        <f>HYPERLINK("https://klasma.github.io/Logging_1380/klagomålsmail/A 38661-2021 FSC-klagomål mail.docx", "A 38661-2021")</f>
        <v/>
      </c>
      <c r="AC43">
        <f>HYPERLINK("https://klasma.github.io/Logging_1380/tillsyn/A 38661-2021 tillsynsbegäran.docx", "A 38661-2021")</f>
        <v/>
      </c>
      <c r="AD43">
        <f>HYPERLINK("https://klasma.github.io/Logging_1380/tillsynsmail/A 38661-2021 tillsynsbegäran mail.docx", "A 38661-2021")</f>
        <v/>
      </c>
    </row>
    <row r="44" ht="15" customHeight="1">
      <c r="A44" t="inlineStr">
        <is>
          <t>A 71022-2021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46237</v>
      </c>
      <c r="F44" t="inlineStr">
        <is>
          <t>HALLANDS LÄN</t>
        </is>
      </c>
      <c r="G44" t="inlineStr">
        <is>
          <t>HALMSTAD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HYPERLINK("https://klasma.github.io/Logging_1380/artfynd/A 71022-2021 artfynd.xlsx", "A 71022-2021")</f>
        <v/>
      </c>
      <c r="X44">
        <f>HYPERLINK("https://klasma.github.io/Logging_1380/kartor/A 71022-2021 karta.png", "A 71022-2021")</f>
        <v/>
      </c>
      <c r="Y44">
        <f>HYPERLINK("https://klasma.github.io/Logging_1380/kartor_geotiff/A 71022-2021 georefererad karta.tif", "A 71022-2021")</f>
        <v/>
      </c>
      <c r="AA44">
        <f>HYPERLINK("https://klasma.github.io/Logging_1380/klagomål/A 71022-2021 FSC-klagomål.docx", "A 71022-2021")</f>
        <v/>
      </c>
      <c r="AB44">
        <f>HYPERLINK("https://klasma.github.io/Logging_1380/klagomålsmail/A 71022-2021 FSC-klagomål mail.docx", "A 71022-2021")</f>
        <v/>
      </c>
      <c r="AC44">
        <f>HYPERLINK("https://klasma.github.io/Logging_1380/tillsyn/A 71022-2021 tillsynsbegäran.docx", "A 71022-2021")</f>
        <v/>
      </c>
      <c r="AD44">
        <f>HYPERLINK("https://klasma.github.io/Logging_1380/tillsynsmail/A 71022-2021 tillsynsbegäran mail.docx", "A 71022-2021")</f>
        <v/>
      </c>
    </row>
    <row r="45" ht="15" customHeight="1">
      <c r="A45" t="inlineStr">
        <is>
          <t>A 46008-2021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46237</v>
      </c>
      <c r="F45" t="inlineStr">
        <is>
          <t>HALLANDS LÄN</t>
        </is>
      </c>
      <c r="G45" t="inlineStr">
        <is>
          <t>HALMSTAD</t>
        </is>
      </c>
      <c r="I45" t="n">
        <v>0.7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Järnsparv</t>
        </is>
      </c>
      <c r="W45">
        <f>HYPERLINK("https://klasma.github.io/Logging_1380/artfynd/A 46008-2021 artfynd.xlsx", "A 46008-2021")</f>
        <v/>
      </c>
      <c r="X45">
        <f>HYPERLINK("https://klasma.github.io/Logging_1380/kartor/A 46008-2021 karta.png", "A 46008-2021")</f>
        <v/>
      </c>
      <c r="Y45">
        <f>HYPERLINK("https://klasma.github.io/Logging_1380/kartor_geotiff/A 46008-2021 georefererad karta.tif", "A 46008-2021")</f>
        <v/>
      </c>
      <c r="AA45">
        <f>HYPERLINK("https://klasma.github.io/Logging_1380/klagomål/A 46008-2021 FSC-klagomål.docx", "A 46008-2021")</f>
        <v/>
      </c>
      <c r="AB45">
        <f>HYPERLINK("https://klasma.github.io/Logging_1380/klagomålsmail/A 46008-2021 FSC-klagomål mail.docx", "A 46008-2021")</f>
        <v/>
      </c>
      <c r="AC45">
        <f>HYPERLINK("https://klasma.github.io/Logging_1380/tillsyn/A 46008-2021 tillsynsbegäran.docx", "A 46008-2021")</f>
        <v/>
      </c>
      <c r="AD45">
        <f>HYPERLINK("https://klasma.github.io/Logging_1380/tillsynsmail/A 46008-2021 tillsynsbegäran mail.docx", "A 46008-2021")</f>
        <v/>
      </c>
      <c r="AE45">
        <f>HYPERLINK("https://klasma.github.io/Logging_1380/fåglar/A 46008-2021 prioriterade fågelarter.docx", "A 46008-2021")</f>
        <v/>
      </c>
    </row>
    <row r="46" ht="15" customHeight="1">
      <c r="A46" t="inlineStr">
        <is>
          <t>A 70769-2021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46237</v>
      </c>
      <c r="F46" t="inlineStr">
        <is>
          <t>HALLANDS LÄN</t>
        </is>
      </c>
      <c r="G46" t="inlineStr">
        <is>
          <t>HALMSTAD</t>
        </is>
      </c>
      <c r="H46" t="inlineStr">
        <is>
          <t>Kyrkan</t>
        </is>
      </c>
      <c r="I46" t="n">
        <v>1.2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HYPERLINK("https://klasma.github.io/Logging_1380/artfynd/A 70769-2021 artfynd.xlsx", "A 70769-2021")</f>
        <v/>
      </c>
      <c r="X46">
        <f>HYPERLINK("https://klasma.github.io/Logging_1380/kartor/A 70769-2021 karta.png", "A 70769-2021")</f>
        <v/>
      </c>
      <c r="Y46">
        <f>HYPERLINK("https://klasma.github.io/Logging_1380/kartor_geotiff/A 70769-2021 georefererad karta.tif", "A 70769-2021")</f>
        <v/>
      </c>
      <c r="AA46">
        <f>HYPERLINK("https://klasma.github.io/Logging_1380/klagomål/A 70769-2021 FSC-klagomål.docx", "A 70769-2021")</f>
        <v/>
      </c>
      <c r="AB46">
        <f>HYPERLINK("https://klasma.github.io/Logging_1380/klagomålsmail/A 70769-2021 FSC-klagomål mail.docx", "A 70769-2021")</f>
        <v/>
      </c>
      <c r="AC46">
        <f>HYPERLINK("https://klasma.github.io/Logging_1380/tillsyn/A 70769-2021 tillsynsbegäran.docx", "A 70769-2021")</f>
        <v/>
      </c>
      <c r="AD46">
        <f>HYPERLINK("https://klasma.github.io/Logging_1380/tillsynsmail/A 70769-2021 tillsynsbegäran mail.docx", "A 70769-2021")</f>
        <v/>
      </c>
    </row>
    <row r="47" ht="15" customHeight="1">
      <c r="A47" t="inlineStr">
        <is>
          <t>A 14779-2022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46237</v>
      </c>
      <c r="F47" t="inlineStr">
        <is>
          <t>HALLANDS LÄN</t>
        </is>
      </c>
      <c r="G47" t="inlineStr">
        <is>
          <t>HALMSTAD</t>
        </is>
      </c>
      <c r="I47" t="n">
        <v>5.3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Slätbjörnbär</t>
        </is>
      </c>
      <c r="W47">
        <f>HYPERLINK("https://klasma.github.io/Logging_1380/artfynd/A 14779-2022 artfynd.xlsx", "A 14779-2022")</f>
        <v/>
      </c>
      <c r="X47">
        <f>HYPERLINK("https://klasma.github.io/Logging_1380/kartor/A 14779-2022 karta.png", "A 14779-2022")</f>
        <v/>
      </c>
      <c r="Y47">
        <f>HYPERLINK("https://klasma.github.io/Logging_1380/kartor_geotiff/A 14779-2022 georefererad karta.tif", "A 14779-2022")</f>
        <v/>
      </c>
      <c r="AA47">
        <f>HYPERLINK("https://klasma.github.io/Logging_1380/klagomål/A 14779-2022 FSC-klagomål.docx", "A 14779-2022")</f>
        <v/>
      </c>
      <c r="AB47">
        <f>HYPERLINK("https://klasma.github.io/Logging_1380/klagomålsmail/A 14779-2022 FSC-klagomål mail.docx", "A 14779-2022")</f>
        <v/>
      </c>
      <c r="AC47">
        <f>HYPERLINK("https://klasma.github.io/Logging_1380/tillsyn/A 14779-2022 tillsynsbegäran.docx", "A 14779-2022")</f>
        <v/>
      </c>
      <c r="AD47">
        <f>HYPERLINK("https://klasma.github.io/Logging_1380/tillsynsmail/A 14779-2022 tillsynsbegäran mail.docx", "A 14779-2022")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46237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46237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21488-2024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46237</v>
      </c>
      <c r="F50" t="inlineStr">
        <is>
          <t>HALLANDS LÄN</t>
        </is>
      </c>
      <c r="G50" t="inlineStr">
        <is>
          <t>HALMSTAD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Hårginst</t>
        </is>
      </c>
      <c r="W50">
        <f>HYPERLINK("https://klasma.github.io/Logging_1380/artfynd/A 21488-2024 artfynd.xlsx", "A 21488-2024")</f>
        <v/>
      </c>
      <c r="X50">
        <f>HYPERLINK("https://klasma.github.io/Logging_1380/kartor/A 21488-2024 karta.png", "A 21488-2024")</f>
        <v/>
      </c>
      <c r="Y50">
        <f>HYPERLINK("https://klasma.github.io/Logging_1380/kartor_geotiff/A 21488-2024 georefererad karta.tif", "A 21488-2024")</f>
        <v/>
      </c>
      <c r="AA50">
        <f>HYPERLINK("https://klasma.github.io/Logging_1380/klagomål/A 21488-2024 FSC-klagomål.docx", "A 21488-2024")</f>
        <v/>
      </c>
      <c r="AB50">
        <f>HYPERLINK("https://klasma.github.io/Logging_1380/klagomålsmail/A 21488-2024 FSC-klagomål mail.docx", "A 21488-2024")</f>
        <v/>
      </c>
      <c r="AC50">
        <f>HYPERLINK("https://klasma.github.io/Logging_1380/tillsyn/A 21488-2024 tillsynsbegäran.docx", "A 21488-2024")</f>
        <v/>
      </c>
      <c r="AD50">
        <f>HYPERLINK("https://klasma.github.io/Logging_1380/tillsynsmail/A 21488-2024 tillsynsbegäran mail.docx", "A 21488-2024")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46237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46237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46237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46237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21626-2026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46237</v>
      </c>
      <c r="F55" t="inlineStr">
        <is>
          <t>HALLANDS LÄN</t>
        </is>
      </c>
      <c r="G55" t="inlineStr">
        <is>
          <t>HALMSTAD</t>
        </is>
      </c>
      <c r="I55" t="n">
        <v>9.6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21626-2026 artfynd.xlsx", "A 21626-2026")</f>
        <v/>
      </c>
      <c r="X55">
        <f>HYPERLINK("https://klasma.github.io/Logging_1380/kartor/A 21626-2026 karta.png", "A 21626-2026")</f>
        <v/>
      </c>
      <c r="Y55">
        <f>HYPERLINK("https://klasma.github.io/Logging_1380/kartor_geotiff/A 21626-2026 georefererad karta.tif", "A 21626-2026")</f>
        <v/>
      </c>
      <c r="AA55">
        <f>HYPERLINK("https://klasma.github.io/Logging_1380/klagomål/A 21626-2026 FSC-klagomål.docx", "A 21626-2026")</f>
        <v/>
      </c>
      <c r="AB55">
        <f>HYPERLINK("https://klasma.github.io/Logging_1380/klagomålsmail/A 21626-2026 FSC-klagomål mail.docx", "A 21626-2026")</f>
        <v/>
      </c>
      <c r="AC55">
        <f>HYPERLINK("https://klasma.github.io/Logging_1380/tillsyn/A 21626-2026 tillsynsbegäran.docx", "A 21626-2026")</f>
        <v/>
      </c>
      <c r="AD55">
        <f>HYPERLINK("https://klasma.github.io/Logging_1380/tillsynsmail/A 21626-2026 tillsynsbegäran mail.docx", "A 21626-2026")</f>
        <v/>
      </c>
    </row>
    <row r="56" ht="15" customHeight="1">
      <c r="A56" t="inlineStr">
        <is>
          <t>A 53797-2024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46237</v>
      </c>
      <c r="F56" t="inlineStr">
        <is>
          <t>HALLANDS LÄN</t>
        </is>
      </c>
      <c r="G56" t="inlineStr">
        <is>
          <t>HALMSTAD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Dvärglin</t>
        </is>
      </c>
      <c r="W56">
        <f>HYPERLINK("https://klasma.github.io/Logging_1380/artfynd/A 53797-2024 artfynd.xlsx", "A 53797-2024")</f>
        <v/>
      </c>
      <c r="X56">
        <f>HYPERLINK("https://klasma.github.io/Logging_1380/kartor/A 53797-2024 karta.png", "A 53797-2024")</f>
        <v/>
      </c>
      <c r="Y56">
        <f>HYPERLINK("https://klasma.github.io/Logging_1380/kartor_geotiff/A 53797-2024 georefererad karta.tif", "A 53797-2024")</f>
        <v/>
      </c>
      <c r="AA56">
        <f>HYPERLINK("https://klasma.github.io/Logging_1380/klagomål/A 53797-2024 FSC-klagomål.docx", "A 53797-2024")</f>
        <v/>
      </c>
      <c r="AB56">
        <f>HYPERLINK("https://klasma.github.io/Logging_1380/klagomålsmail/A 53797-2024 FSC-klagomål mail.docx", "A 53797-2024")</f>
        <v/>
      </c>
      <c r="AC56">
        <f>HYPERLINK("https://klasma.github.io/Logging_1380/tillsyn/A 53797-2024 tillsynsbegäran.docx", "A 53797-2024")</f>
        <v/>
      </c>
      <c r="AD56">
        <f>HYPERLINK("https://klasma.github.io/Logging_1380/tillsynsmail/A 53797-2024 tillsynsbegäran mail.docx", "A 53797-2024")</f>
        <v/>
      </c>
    </row>
    <row r="57" ht="15" customHeight="1">
      <c r="A57" t="inlineStr">
        <is>
          <t>A 23305-2026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46237</v>
      </c>
      <c r="F57" t="inlineStr">
        <is>
          <t>HALLANDS LÄN</t>
        </is>
      </c>
      <c r="G57" t="inlineStr">
        <is>
          <t>HALMSTAD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23305-2026 artfynd.xlsx", "A 23305-2026")</f>
        <v/>
      </c>
      <c r="X57">
        <f>HYPERLINK("https://klasma.github.io/Logging_1380/kartor/A 23305-2026 karta.png", "A 23305-2026")</f>
        <v/>
      </c>
      <c r="Y57">
        <f>HYPERLINK("https://klasma.github.io/Logging_1380/kartor_geotiff/A 23305-2026 georefererad karta.tif", "A 23305-2026")</f>
        <v/>
      </c>
      <c r="AA57">
        <f>HYPERLINK("https://klasma.github.io/Logging_1380/klagomål/A 23305-2026 FSC-klagomål.docx", "A 23305-2026")</f>
        <v/>
      </c>
      <c r="AB57">
        <f>HYPERLINK("https://klasma.github.io/Logging_1380/klagomålsmail/A 23305-2026 FSC-klagomål mail.docx", "A 23305-2026")</f>
        <v/>
      </c>
      <c r="AC57">
        <f>HYPERLINK("https://klasma.github.io/Logging_1380/tillsyn/A 23305-2026 tillsynsbegäran.docx", "A 23305-2026")</f>
        <v/>
      </c>
      <c r="AD57">
        <f>HYPERLINK("https://klasma.github.io/Logging_1380/tillsynsmail/A 23305-2026 tillsynsbegäran mail.docx", "A 23305-2026")</f>
        <v/>
      </c>
    </row>
    <row r="58" ht="15" customHeight="1">
      <c r="A58" t="inlineStr">
        <is>
          <t>A 9045-2026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46237</v>
      </c>
      <c r="F58" t="inlineStr">
        <is>
          <t>HALLANDS LÄN</t>
        </is>
      </c>
      <c r="G58" t="inlineStr">
        <is>
          <t>HALMSTAD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HYPERLINK("https://klasma.github.io/Logging_1380/artfynd/A 9045-2026 artfynd.xlsx", "A 9045-2026")</f>
        <v/>
      </c>
      <c r="X58">
        <f>HYPERLINK("https://klasma.github.io/Logging_1380/kartor/A 9045-2026 karta.png", "A 9045-2026")</f>
        <v/>
      </c>
      <c r="Y58">
        <f>HYPERLINK("https://klasma.github.io/Logging_1380/kartor_geotiff/A 9045-2026 georefererad karta.tif", "A 9045-2026")</f>
        <v/>
      </c>
      <c r="AA58">
        <f>HYPERLINK("https://klasma.github.io/Logging_1380/klagomål/A 9045-2026 FSC-klagomål.docx", "A 9045-2026")</f>
        <v/>
      </c>
      <c r="AB58">
        <f>HYPERLINK("https://klasma.github.io/Logging_1380/klagomålsmail/A 9045-2026 FSC-klagomål mail.docx", "A 9045-2026")</f>
        <v/>
      </c>
      <c r="AC58">
        <f>HYPERLINK("https://klasma.github.io/Logging_1380/tillsyn/A 9045-2026 tillsynsbegäran.docx", "A 9045-2026")</f>
        <v/>
      </c>
      <c r="AD58">
        <f>HYPERLINK("https://klasma.github.io/Logging_1380/tillsynsmail/A 9045-2026 tillsynsbegäran mail.docx", "A 9045-2026")</f>
        <v/>
      </c>
    </row>
    <row r="59" ht="15" customHeight="1">
      <c r="A59" t="inlineStr">
        <is>
          <t>A 40589-2023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46237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Kungsfågel</t>
        </is>
      </c>
      <c r="W59">
        <f>HYPERLINK("https://klasma.github.io/Logging_1380/artfynd/A 40589-2023 artfynd.xlsx", "A 40589-2023")</f>
        <v/>
      </c>
      <c r="X59">
        <f>HYPERLINK("https://klasma.github.io/Logging_1380/kartor/A 40589-2023 karta.png", "A 40589-2023")</f>
        <v/>
      </c>
      <c r="Y59">
        <f>HYPERLINK("https://klasma.github.io/Logging_1380/kartor_geotiff/A 40589-2023 georefererad karta.tif", "A 40589-2023")</f>
        <v/>
      </c>
      <c r="AA59">
        <f>HYPERLINK("https://klasma.github.io/Logging_1380/klagomål/A 40589-2023 FSC-klagomål.docx", "A 40589-2023")</f>
        <v/>
      </c>
      <c r="AB59">
        <f>HYPERLINK("https://klasma.github.io/Logging_1380/klagomålsmail/A 40589-2023 FSC-klagomål mail.docx", "A 40589-2023")</f>
        <v/>
      </c>
      <c r="AC59">
        <f>HYPERLINK("https://klasma.github.io/Logging_1380/tillsyn/A 40589-2023 tillsynsbegäran.docx", "A 40589-2023")</f>
        <v/>
      </c>
      <c r="AD59">
        <f>HYPERLINK("https://klasma.github.io/Logging_1380/tillsynsmail/A 40589-2023 tillsynsbegäran mail.docx", "A 40589-2023")</f>
        <v/>
      </c>
    </row>
    <row r="60" ht="15" customHeight="1">
      <c r="A60" t="inlineStr">
        <is>
          <t>A 1610-2024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46237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Månlåsbräken</t>
        </is>
      </c>
      <c r="W60">
        <f>HYPERLINK("https://klasma.github.io/Logging_1380/artfynd/A 1610-2024 artfynd.xlsx", "A 1610-2024")</f>
        <v/>
      </c>
      <c r="X60">
        <f>HYPERLINK("https://klasma.github.io/Logging_1380/kartor/A 1610-2024 karta.png", "A 1610-2024")</f>
        <v/>
      </c>
      <c r="Y60">
        <f>HYPERLINK("https://klasma.github.io/Logging_1380/kartor_geotiff/A 1610-2024 georefererad karta.tif", "A 1610-2024")</f>
        <v/>
      </c>
      <c r="AA60">
        <f>HYPERLINK("https://klasma.github.io/Logging_1380/klagomål/A 1610-2024 FSC-klagomål.docx", "A 1610-2024")</f>
        <v/>
      </c>
      <c r="AB60">
        <f>HYPERLINK("https://klasma.github.io/Logging_1380/klagomålsmail/A 1610-2024 FSC-klagomål mail.docx", "A 1610-2024")</f>
        <v/>
      </c>
      <c r="AC60">
        <f>HYPERLINK("https://klasma.github.io/Logging_1380/tillsyn/A 1610-2024 tillsynsbegäran.docx", "A 1610-2024")</f>
        <v/>
      </c>
      <c r="AD60">
        <f>HYPERLINK("https://klasma.github.io/Logging_1380/tillsynsmail/A 1610-2024 tillsynsbegäran mail.docx", "A 1610-2024")</f>
        <v/>
      </c>
    </row>
    <row r="61" ht="15" customHeight="1">
      <c r="A61" t="inlineStr">
        <is>
          <t>A 22842-2022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46237</v>
      </c>
      <c r="F61" t="inlineStr">
        <is>
          <t>HALLANDS LÄN</t>
        </is>
      </c>
      <c r="G61" t="inlineStr">
        <is>
          <t>HALMSTAD</t>
        </is>
      </c>
      <c r="I61" t="n">
        <v>6.1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4</v>
      </c>
      <c r="V61" s="2" t="inlineStr">
        <is>
          <t>Spillkråka</t>
        </is>
      </c>
      <c r="W61">
        <f>HYPERLINK("https://klasma.github.io/Logging_1380/artfynd/A 22842-2022 artfynd.xlsx", "A 22842-2022")</f>
        <v/>
      </c>
      <c r="X61">
        <f>HYPERLINK("https://klasma.github.io/Logging_1380/kartor/A 22842-2022 karta.png", "A 22842-2022")</f>
        <v/>
      </c>
      <c r="Y61">
        <f>HYPERLINK("https://klasma.github.io/Logging_1380/kartor_geotiff/A 22842-2022 georefererad karta.tif", "A 22842-2022")</f>
        <v/>
      </c>
      <c r="AA61">
        <f>HYPERLINK("https://klasma.github.io/Logging_1380/klagomål/A 22842-2022 FSC-klagomål.docx", "A 22842-2022")</f>
        <v/>
      </c>
      <c r="AB61">
        <f>HYPERLINK("https://klasma.github.io/Logging_1380/klagomålsmail/A 22842-2022 FSC-klagomål mail.docx", "A 22842-2022")</f>
        <v/>
      </c>
      <c r="AC61">
        <f>HYPERLINK("https://klasma.github.io/Logging_1380/tillsyn/A 22842-2022 tillsynsbegäran.docx", "A 22842-2022")</f>
        <v/>
      </c>
      <c r="AD61">
        <f>HYPERLINK("https://klasma.github.io/Logging_1380/tillsynsmail/A 22842-2022 tillsynsbegäran mail.docx", "A 22842-2022")</f>
        <v/>
      </c>
      <c r="AE61">
        <f>HYPERLINK("https://klasma.github.io/Logging_1380/fåglar/A 22842-2022 prioriterade fågelarter.docx", "A 22842-2022")</f>
        <v/>
      </c>
    </row>
    <row r="62" ht="15" customHeight="1">
      <c r="A62" t="inlineStr">
        <is>
          <t>A 17266-2023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45035</v>
      </c>
      <c r="E62" s="1" t="n">
        <v>46237</v>
      </c>
      <c r="F62" t="inlineStr">
        <is>
          <t>HALLANDS LÄN</t>
        </is>
      </c>
      <c r="G62" t="inlineStr">
        <is>
          <t>HALMSTAD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HYPERLINK("https://klasma.github.io/Logging_1380/artfynd/A 17266-2023 artfynd.xlsx", "A 17266-2023")</f>
        <v/>
      </c>
      <c r="X62">
        <f>HYPERLINK("https://klasma.github.io/Logging_1380/kartor/A 17266-2023 karta.png", "A 17266-2023")</f>
        <v/>
      </c>
      <c r="Y62">
        <f>HYPERLINK("https://klasma.github.io/Logging_1380/kartor_geotiff/A 17266-2023 georefererad karta.tif", "A 17266-2023")</f>
        <v/>
      </c>
      <c r="AA62">
        <f>HYPERLINK("https://klasma.github.io/Logging_1380/klagomål/A 17266-2023 FSC-klagomål.docx", "A 17266-2023")</f>
        <v/>
      </c>
      <c r="AB62">
        <f>HYPERLINK("https://klasma.github.io/Logging_1380/klagomålsmail/A 17266-2023 FSC-klagomål mail.docx", "A 17266-2023")</f>
        <v/>
      </c>
      <c r="AC62">
        <f>HYPERLINK("https://klasma.github.io/Logging_1380/tillsyn/A 17266-2023 tillsynsbegäran.docx", "A 17266-2023")</f>
        <v/>
      </c>
      <c r="AD62">
        <f>HYPERLINK("https://klasma.github.io/Logging_1380/tillsynsmail/A 17266-2023 tillsynsbegäran mail.docx", "A 17266-2023")</f>
        <v/>
      </c>
    </row>
    <row r="63" ht="15" customHeight="1">
      <c r="A63" t="inlineStr">
        <is>
          <t>A 25382-2026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46237</v>
      </c>
      <c r="F63" t="inlineStr">
        <is>
          <t>HALLANDS LÄN</t>
        </is>
      </c>
      <c r="G63" t="inlineStr">
        <is>
          <t>HALMSTAD</t>
        </is>
      </c>
      <c r="I63" t="n">
        <v>10.9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HYPERLINK("https://klasma.github.io/Logging_1380/artfynd/A 25382-2026 artfynd.xlsx", "A 25382-2026")</f>
        <v/>
      </c>
      <c r="X63">
        <f>HYPERLINK("https://klasma.github.io/Logging_1380/kartor/A 25382-2026 karta.png", "A 25382-2026")</f>
        <v/>
      </c>
      <c r="Y63">
        <f>HYPERLINK("https://klasma.github.io/Logging_1380/kartor_geotiff/A 25382-2026 georefererad karta.tif", "A 25382-2026")</f>
        <v/>
      </c>
      <c r="AA63">
        <f>HYPERLINK("https://klasma.github.io/Logging_1380/klagomål/A 25382-2026 FSC-klagomål.docx", "A 25382-2026")</f>
        <v/>
      </c>
      <c r="AB63">
        <f>HYPERLINK("https://klasma.github.io/Logging_1380/klagomålsmail/A 25382-2026 FSC-klagomål mail.docx", "A 25382-2026")</f>
        <v/>
      </c>
      <c r="AC63">
        <f>HYPERLINK("https://klasma.github.io/Logging_1380/tillsyn/A 25382-2026 tillsynsbegäran.docx", "A 25382-2026")</f>
        <v/>
      </c>
      <c r="AD63">
        <f>HYPERLINK("https://klasma.github.io/Logging_1380/tillsynsmail/A 25382-2026 tillsynsbegäran mail.docx", "A 25382-2026")</f>
        <v/>
      </c>
    </row>
    <row r="64" ht="15" customHeight="1">
      <c r="A64" t="inlineStr">
        <is>
          <t>A 46505-2025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46237</v>
      </c>
      <c r="F64" t="inlineStr">
        <is>
          <t>HALLANDS LÄN</t>
        </is>
      </c>
      <c r="G64" t="inlineStr">
        <is>
          <t>HALMSTAD</t>
        </is>
      </c>
      <c r="I64" t="n">
        <v>9.1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46505-2025 artfynd.xlsx", "A 46505-2025")</f>
        <v/>
      </c>
      <c r="X64">
        <f>HYPERLINK("https://klasma.github.io/Logging_1380/kartor/A 46505-2025 karta.png", "A 46505-2025")</f>
        <v/>
      </c>
      <c r="Y64">
        <f>HYPERLINK("https://klasma.github.io/Logging_1380/kartor_geotiff/A 46505-2025 georefererad karta.tif", "A 46505-2025")</f>
        <v/>
      </c>
      <c r="AA64">
        <f>HYPERLINK("https://klasma.github.io/Logging_1380/klagomål/A 46505-2025 FSC-klagomål.docx", "A 46505-2025")</f>
        <v/>
      </c>
      <c r="AB64">
        <f>HYPERLINK("https://klasma.github.io/Logging_1380/klagomålsmail/A 46505-2025 FSC-klagomål mail.docx", "A 46505-2025")</f>
        <v/>
      </c>
      <c r="AC64">
        <f>HYPERLINK("https://klasma.github.io/Logging_1380/tillsyn/A 46505-2025 tillsynsbegäran.docx", "A 46505-2025")</f>
        <v/>
      </c>
      <c r="AD64">
        <f>HYPERLINK("https://klasma.github.io/Logging_1380/tillsynsmail/A 46505-2025 tillsynsbegäran mail.docx", "A 46505-2025")</f>
        <v/>
      </c>
    </row>
    <row r="65" ht="15" customHeight="1">
      <c r="A65" t="inlineStr">
        <is>
          <t>A 25887-2026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46237</v>
      </c>
      <c r="F65" t="inlineStr">
        <is>
          <t>HALLANDS LÄN</t>
        </is>
      </c>
      <c r="G65" t="inlineStr">
        <is>
          <t>HALMSTAD</t>
        </is>
      </c>
      <c r="I65" t="n">
        <v>14.9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snok</t>
        </is>
      </c>
      <c r="W65">
        <f>HYPERLINK("https://klasma.github.io/Logging_1380/artfynd/A 25887-2026 artfynd.xlsx", "A 25887-2026")</f>
        <v/>
      </c>
      <c r="X65">
        <f>HYPERLINK("https://klasma.github.io/Logging_1380/kartor/A 25887-2026 karta.png", "A 25887-2026")</f>
        <v/>
      </c>
      <c r="Y65">
        <f>HYPERLINK("https://klasma.github.io/Logging_1380/kartor_geotiff/A 25887-2026 georefererad karta.tif", "A 25887-2026")</f>
        <v/>
      </c>
      <c r="AA65">
        <f>HYPERLINK("https://klasma.github.io/Logging_1380/klagomål/A 25887-2026 FSC-klagomål.docx", "A 25887-2026")</f>
        <v/>
      </c>
      <c r="AB65">
        <f>HYPERLINK("https://klasma.github.io/Logging_1380/klagomålsmail/A 25887-2026 FSC-klagomål mail.docx", "A 25887-2026")</f>
        <v/>
      </c>
      <c r="AC65">
        <f>HYPERLINK("https://klasma.github.io/Logging_1380/tillsyn/A 25887-2026 tillsynsbegäran.docx", "A 25887-2026")</f>
        <v/>
      </c>
      <c r="AD65">
        <f>HYPERLINK("https://klasma.github.io/Logging_1380/tillsynsmail/A 25887-2026 tillsynsbegäran mail.docx", "A 25887-2026")</f>
        <v/>
      </c>
    </row>
    <row r="66" ht="15" customHeight="1">
      <c r="A66" t="inlineStr">
        <is>
          <t>A 26330-2026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46237</v>
      </c>
      <c r="F66" t="inlineStr">
        <is>
          <t>HALLANDS LÄN</t>
        </is>
      </c>
      <c r="G66" t="inlineStr">
        <is>
          <t>HALMSTAD</t>
        </is>
      </c>
      <c r="I66" t="n">
        <v>9.1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HYPERLINK("https://klasma.github.io/Logging_1380/artfynd/A 26330-2026 artfynd.xlsx", "A 26330-2026")</f>
        <v/>
      </c>
      <c r="X66">
        <f>HYPERLINK("https://klasma.github.io/Logging_1380/kartor/A 26330-2026 karta.png", "A 26330-2026")</f>
        <v/>
      </c>
      <c r="Y66">
        <f>HYPERLINK("https://klasma.github.io/Logging_1380/kartor_geotiff/A 26330-2026 georefererad karta.tif", "A 26330-2026")</f>
        <v/>
      </c>
      <c r="AA66">
        <f>HYPERLINK("https://klasma.github.io/Logging_1380/klagomål/A 26330-2026 FSC-klagomål.docx", "A 26330-2026")</f>
        <v/>
      </c>
      <c r="AB66">
        <f>HYPERLINK("https://klasma.github.io/Logging_1380/klagomålsmail/A 26330-2026 FSC-klagomål mail.docx", "A 26330-2026")</f>
        <v/>
      </c>
      <c r="AC66">
        <f>HYPERLINK("https://klasma.github.io/Logging_1380/tillsyn/A 26330-2026 tillsynsbegäran.docx", "A 26330-2026")</f>
        <v/>
      </c>
      <c r="AD66">
        <f>HYPERLINK("https://klasma.github.io/Logging_1380/tillsynsmail/A 26330-2026 tillsynsbegäran mail.docx", "A 26330-2026")</f>
        <v/>
      </c>
    </row>
    <row r="67" ht="15" customHeight="1">
      <c r="A67" t="inlineStr">
        <is>
          <t>A 6987-2026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46237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Dvärgpipistrell</t>
        </is>
      </c>
      <c r="W67">
        <f>HYPERLINK("https://klasma.github.io/Logging_1380/artfynd/A 6987-2026 artfynd.xlsx", "A 6987-2026")</f>
        <v/>
      </c>
      <c r="X67">
        <f>HYPERLINK("https://klasma.github.io/Logging_1380/kartor/A 6987-2026 karta.png", "A 6987-2026")</f>
        <v/>
      </c>
      <c r="Y67">
        <f>HYPERLINK("https://klasma.github.io/Logging_1380/kartor_geotiff/A 6987-2026 georefererad karta.tif", "A 6987-2026")</f>
        <v/>
      </c>
      <c r="AA67">
        <f>HYPERLINK("https://klasma.github.io/Logging_1380/klagomål/A 6987-2026 FSC-klagomål.docx", "A 6987-2026")</f>
        <v/>
      </c>
      <c r="AB67">
        <f>HYPERLINK("https://klasma.github.io/Logging_1380/klagomålsmail/A 6987-2026 FSC-klagomål mail.docx", "A 6987-2026")</f>
        <v/>
      </c>
      <c r="AC67">
        <f>HYPERLINK("https://klasma.github.io/Logging_1380/tillsyn/A 6987-2026 tillsynsbegäran.docx", "A 6987-2026")</f>
        <v/>
      </c>
      <c r="AD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46237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6767-2026 artfynd.xlsx", "A 6767-2026")</f>
        <v/>
      </c>
      <c r="X68">
        <f>HYPERLINK("https://klasma.github.io/Logging_1380/kartor/A 6767-2026 karta.png", "A 6767-2026")</f>
        <v/>
      </c>
      <c r="Y68">
        <f>HYPERLINK("https://klasma.github.io/Logging_1380/kartor_geotiff/A 6767-2026 georefererad karta.tif", "A 6767-2026")</f>
        <v/>
      </c>
      <c r="AA68">
        <f>HYPERLINK("https://klasma.github.io/Logging_1380/klagomål/A 6767-2026 FSC-klagomål.docx", "A 6767-2026")</f>
        <v/>
      </c>
      <c r="AB68">
        <f>HYPERLINK("https://klasma.github.io/Logging_1380/klagomålsmail/A 6767-2026 FSC-klagomål mail.docx", "A 6767-2026")</f>
        <v/>
      </c>
      <c r="AC68">
        <f>HYPERLINK("https://klasma.github.io/Logging_1380/tillsyn/A 6767-2026 tillsynsbegäran.docx", "A 6767-2026")</f>
        <v/>
      </c>
      <c r="AD68">
        <f>HYPERLINK("https://klasma.github.io/Logging_1380/tillsynsmail/A 6767-2026 tillsynsbegäran mail.docx", "A 6767-2026")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46237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6775-2026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46237</v>
      </c>
      <c r="F70" t="inlineStr">
        <is>
          <t>HALLANDS LÄN</t>
        </is>
      </c>
      <c r="G70" t="inlineStr">
        <is>
          <t>HALMSTAD</t>
        </is>
      </c>
      <c r="I70" t="n">
        <v>8.199999999999999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Barbastell</t>
        </is>
      </c>
      <c r="W70">
        <f>HYPERLINK("https://klasma.github.io/Logging_1380/artfynd/A 6775-2026 artfynd.xlsx", "A 6775-2026")</f>
        <v/>
      </c>
      <c r="X70">
        <f>HYPERLINK("https://klasma.github.io/Logging_1380/kartor/A 6775-2026 karta.png", "A 6775-2026")</f>
        <v/>
      </c>
      <c r="Y70">
        <f>HYPERLINK("https://klasma.github.io/Logging_1380/kartor_geotiff/A 6775-2026 georefererad karta.tif", "A 6775-2026")</f>
        <v/>
      </c>
      <c r="AA70">
        <f>HYPERLINK("https://klasma.github.io/Logging_1380/klagomål/A 6775-2026 FSC-klagomål.docx", "A 6775-2026")</f>
        <v/>
      </c>
      <c r="AB70">
        <f>HYPERLINK("https://klasma.github.io/Logging_1380/klagomålsmail/A 6775-2026 FSC-klagomål mail.docx", "A 6775-2026")</f>
        <v/>
      </c>
      <c r="AC70">
        <f>HYPERLINK("https://klasma.github.io/Logging_1380/tillsyn/A 6775-2026 tillsynsbegäran.docx", "A 6775-2026")</f>
        <v/>
      </c>
      <c r="AD70">
        <f>HYPERLINK("https://klasma.github.io/Logging_1380/tillsynsmail/A 6775-2026 tillsynsbegäran mail.docx", "A 6775-2026")</f>
        <v/>
      </c>
    </row>
    <row r="71" ht="15" customHeight="1">
      <c r="A71" t="inlineStr">
        <is>
          <t>A 5530-2025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45692</v>
      </c>
      <c r="E71" s="1" t="n">
        <v>46237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1</v>
      </c>
      <c r="V71" s="2" t="inlineStr">
        <is>
          <t>Igelkott</t>
        </is>
      </c>
      <c r="W71">
        <f>HYPERLINK("https://klasma.github.io/Logging_1380/artfynd/A 5530-2025 artfynd.xlsx", "A 5530-2025")</f>
        <v/>
      </c>
      <c r="X71">
        <f>HYPERLINK("https://klasma.github.io/Logging_1380/kartor/A 5530-2025 karta.png", "A 5530-2025")</f>
        <v/>
      </c>
      <c r="Y71">
        <f>HYPERLINK("https://klasma.github.io/Logging_1380/kartor_geotiff/A 5530-2025 georefererad karta.tif", "A 5530-2025")</f>
        <v/>
      </c>
      <c r="AA71">
        <f>HYPERLINK("https://klasma.github.io/Logging_1380/klagomål/A 5530-2025 FSC-klagomål.docx", "A 5530-2025")</f>
        <v/>
      </c>
      <c r="AB71">
        <f>HYPERLINK("https://klasma.github.io/Logging_1380/klagomålsmail/A 5530-2025 FSC-klagomål mail.docx", "A 5530-2025")</f>
        <v/>
      </c>
      <c r="AC71">
        <f>HYPERLINK("https://klasma.github.io/Logging_1380/tillsyn/A 5530-2025 tillsynsbegäran.docx", "A 5530-2025")</f>
        <v/>
      </c>
      <c r="AD71">
        <f>HYPERLINK("https://klasma.github.io/Logging_1380/tillsynsmail/A 5530-2025 tillsynsbegäran mail.docx", "A 5530-2025")</f>
        <v/>
      </c>
    </row>
    <row r="72" ht="15" customHeight="1">
      <c r="A72" t="inlineStr">
        <is>
          <t>A 21483-2024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46237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21483-2024 artfynd.xlsx", "A 21483-2024")</f>
        <v/>
      </c>
      <c r="X72">
        <f>HYPERLINK("https://klasma.github.io/Logging_1380/kartor/A 21483-2024 karta.png", "A 21483-2024")</f>
        <v/>
      </c>
      <c r="Y72">
        <f>HYPERLINK("https://klasma.github.io/Logging_1380/kartor_geotiff/A 21483-2024 georefererad karta.tif", "A 21483-2024")</f>
        <v/>
      </c>
      <c r="AA72">
        <f>HYPERLINK("https://klasma.github.io/Logging_1380/klagomål/A 21483-2024 FSC-klagomål.docx", "A 21483-2024")</f>
        <v/>
      </c>
      <c r="AB72">
        <f>HYPERLINK("https://klasma.github.io/Logging_1380/klagomålsmail/A 21483-2024 FSC-klagomål mail.docx", "A 21483-2024")</f>
        <v/>
      </c>
      <c r="AC72">
        <f>HYPERLINK("https://klasma.github.io/Logging_1380/tillsyn/A 21483-2024 tillsynsbegäran.docx", "A 21483-2024")</f>
        <v/>
      </c>
      <c r="AD72">
        <f>HYPERLINK("https://klasma.github.io/Logging_1380/tillsynsmail/A 21483-2024 tillsynsbegäran mail.docx", "A 21483-2024")</f>
        <v/>
      </c>
    </row>
    <row r="73" ht="15" customHeight="1">
      <c r="A73" t="inlineStr">
        <is>
          <t>A 40650-2023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46237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14.7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40650-2023 artfynd.xlsx", "A 40650-2023")</f>
        <v/>
      </c>
      <c r="X73">
        <f>HYPERLINK("https://klasma.github.io/Logging_1380/kartor/A 40650-2023 karta.png", "A 40650-2023")</f>
        <v/>
      </c>
      <c r="Y73">
        <f>HYPERLINK("https://klasma.github.io/Logging_1380/kartor_geotiff/A 40650-2023 georefererad karta.tif", "A 40650-2023")</f>
        <v/>
      </c>
      <c r="AA73">
        <f>HYPERLINK("https://klasma.github.io/Logging_1380/klagomål/A 40650-2023 FSC-klagomål.docx", "A 40650-2023")</f>
        <v/>
      </c>
      <c r="AB73">
        <f>HYPERLINK("https://klasma.github.io/Logging_1380/klagomålsmail/A 40650-2023 FSC-klagomål mail.docx", "A 40650-2023")</f>
        <v/>
      </c>
      <c r="AC73">
        <f>HYPERLINK("https://klasma.github.io/Logging_1380/tillsyn/A 40650-2023 tillsynsbegäran.docx", "A 40650-2023")</f>
        <v/>
      </c>
      <c r="AD73">
        <f>HYPERLINK("https://klasma.github.io/Logging_1380/tillsynsmail/A 40650-2023 tillsynsbegäran mail.docx", "A 40650-2023")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46237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15579-2026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46237</v>
      </c>
      <c r="F75" t="inlineStr">
        <is>
          <t>HALLANDS LÄN</t>
        </is>
      </c>
      <c r="G75" t="inlineStr">
        <is>
          <t>HALMSTAD</t>
        </is>
      </c>
      <c r="I75" t="n">
        <v>3.7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Åkerrättika</t>
        </is>
      </c>
      <c r="W75">
        <f>HYPERLINK("https://klasma.github.io/Logging_1380/artfynd/A 15579-2026 artfynd.xlsx", "A 15579-2026")</f>
        <v/>
      </c>
      <c r="X75">
        <f>HYPERLINK("https://klasma.github.io/Logging_1380/kartor/A 15579-2026 karta.png", "A 15579-2026")</f>
        <v/>
      </c>
      <c r="Y75">
        <f>HYPERLINK("https://klasma.github.io/Logging_1380/kartor_geotiff/A 15579-2026 georefererad karta.tif", "A 15579-2026")</f>
        <v/>
      </c>
      <c r="AA75">
        <f>HYPERLINK("https://klasma.github.io/Logging_1380/klagomål/A 15579-2026 FSC-klagomål.docx", "A 15579-2026")</f>
        <v/>
      </c>
      <c r="AB75">
        <f>HYPERLINK("https://klasma.github.io/Logging_1380/klagomålsmail/A 15579-2026 FSC-klagomål mail.docx", "A 15579-2026")</f>
        <v/>
      </c>
      <c r="AC75">
        <f>HYPERLINK("https://klasma.github.io/Logging_1380/tillsyn/A 15579-2026 tillsynsbegäran.docx", "A 15579-2026")</f>
        <v/>
      </c>
      <c r="AD75">
        <f>HYPERLINK("https://klasma.github.io/Logging_1380/tillsynsmail/A 15579-2026 tillsynsbegäran mail.docx", "A 15579-2026")</f>
        <v/>
      </c>
    </row>
    <row r="76" ht="15" customHeight="1">
      <c r="A76" t="inlineStr">
        <is>
          <t>A 27386-2025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46237</v>
      </c>
      <c r="F76" t="inlineStr">
        <is>
          <t>HALLANDS LÄN</t>
        </is>
      </c>
      <c r="G76" t="inlineStr">
        <is>
          <t>HALMSTAD</t>
        </is>
      </c>
      <c r="I76" t="n">
        <v>8.5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27386-2025 artfynd.xlsx", "A 27386-2025")</f>
        <v/>
      </c>
      <c r="X76">
        <f>HYPERLINK("https://klasma.github.io/Logging_1380/kartor/A 27386-2025 karta.png", "A 27386-2025")</f>
        <v/>
      </c>
      <c r="Y76">
        <f>HYPERLINK("https://klasma.github.io/Logging_1380/kartor_geotiff/A 27386-2025 georefererad karta.tif", "A 27386-2025")</f>
        <v/>
      </c>
      <c r="AA76">
        <f>HYPERLINK("https://klasma.github.io/Logging_1380/klagomål/A 27386-2025 FSC-klagomål.docx", "A 27386-2025")</f>
        <v/>
      </c>
      <c r="AB76">
        <f>HYPERLINK("https://klasma.github.io/Logging_1380/klagomålsmail/A 27386-2025 FSC-klagomål mail.docx", "A 27386-2025")</f>
        <v/>
      </c>
      <c r="AC76">
        <f>HYPERLINK("https://klasma.github.io/Logging_1380/tillsyn/A 27386-2025 tillsynsbegäran.docx", "A 27386-2025")</f>
        <v/>
      </c>
      <c r="AD76">
        <f>HYPERLINK("https://klasma.github.io/Logging_1380/tillsynsmail/A 27386-2025 tillsynsbegäran mail.docx", "A 27386-2025")</f>
        <v/>
      </c>
    </row>
    <row r="77" ht="15" customHeight="1">
      <c r="A77" t="inlineStr">
        <is>
          <t>A 32822-2025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45839</v>
      </c>
      <c r="E77" s="1" t="n">
        <v>46237</v>
      </c>
      <c r="F77" t="inlineStr">
        <is>
          <t>HALLANDS LÄN</t>
        </is>
      </c>
      <c r="G77" t="inlineStr">
        <is>
          <t>HALMSTAD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Hasselmus</t>
        </is>
      </c>
      <c r="W77">
        <f>HYPERLINK("https://klasma.github.io/Logging_1380/artfynd/A 32822-2025 artfynd.xlsx", "A 32822-2025")</f>
        <v/>
      </c>
      <c r="X77">
        <f>HYPERLINK("https://klasma.github.io/Logging_1380/kartor/A 32822-2025 karta.png", "A 32822-2025")</f>
        <v/>
      </c>
      <c r="Y77">
        <f>HYPERLINK("https://klasma.github.io/Logging_1380/kartor_geotiff/A 32822-2025 georefererad karta.tif", "A 32822-2025")</f>
        <v/>
      </c>
      <c r="AA77">
        <f>HYPERLINK("https://klasma.github.io/Logging_1380/klagomål/A 32822-2025 FSC-klagomål.docx", "A 32822-2025")</f>
        <v/>
      </c>
      <c r="AB77">
        <f>HYPERLINK("https://klasma.github.io/Logging_1380/klagomålsmail/A 32822-2025 FSC-klagomål mail.docx", "A 32822-2025")</f>
        <v/>
      </c>
      <c r="AC77">
        <f>HYPERLINK("https://klasma.github.io/Logging_1380/tillsyn/A 32822-2025 tillsynsbegäran.docx", "A 32822-2025")</f>
        <v/>
      </c>
      <c r="AD77">
        <f>HYPERLINK("https://klasma.github.io/Logging_1380/tillsynsmail/A 32822-2025 tillsynsbegäran mail.docx", "A 32822-2025")</f>
        <v/>
      </c>
    </row>
    <row r="78" ht="15" customHeight="1">
      <c r="A78" t="inlineStr">
        <is>
          <t>A 19588-2023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46237</v>
      </c>
      <c r="F78" t="inlineStr">
        <is>
          <t>HALLANDS LÄN</t>
        </is>
      </c>
      <c r="G78" t="inlineStr">
        <is>
          <t>HALMSTAD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Ljungögontröst</t>
        </is>
      </c>
      <c r="W78">
        <f>HYPERLINK("https://klasma.github.io/Logging_1380/artfynd/A 19588-2023 artfynd.xlsx", "A 19588-2023")</f>
        <v/>
      </c>
      <c r="X78">
        <f>HYPERLINK("https://klasma.github.io/Logging_1380/kartor/A 19588-2023 karta.png", "A 19588-2023")</f>
        <v/>
      </c>
      <c r="Y78">
        <f>HYPERLINK("https://klasma.github.io/Logging_1380/kartor_geotiff/A 19588-2023 georefererad karta.tif", "A 19588-2023")</f>
        <v/>
      </c>
      <c r="AA78">
        <f>HYPERLINK("https://klasma.github.io/Logging_1380/klagomål/A 19588-2023 FSC-klagomål.docx", "A 19588-2023")</f>
        <v/>
      </c>
      <c r="AB78">
        <f>HYPERLINK("https://klasma.github.io/Logging_1380/klagomålsmail/A 19588-2023 FSC-klagomål mail.docx", "A 19588-2023")</f>
        <v/>
      </c>
      <c r="AC78">
        <f>HYPERLINK("https://klasma.github.io/Logging_1380/tillsyn/A 19588-2023 tillsynsbegäran.docx", "A 19588-2023")</f>
        <v/>
      </c>
      <c r="AD78">
        <f>HYPERLINK("https://klasma.github.io/Logging_1380/tillsynsmail/A 19588-2023 tillsynsbegäran mail.docx", "A 19588-2023")</f>
        <v/>
      </c>
    </row>
    <row r="79" ht="15" customHeight="1">
      <c r="A79" t="inlineStr">
        <is>
          <t>A 24383-2023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45082</v>
      </c>
      <c r="E79" s="1" t="n">
        <v>46237</v>
      </c>
      <c r="F79" t="inlineStr">
        <is>
          <t>HALLANDS LÄN</t>
        </is>
      </c>
      <c r="G79" t="inlineStr">
        <is>
          <t>HALMSTAD</t>
        </is>
      </c>
      <c r="I79" t="n">
        <v>3.2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24383-2023 artfynd.xlsx", "A 24383-2023")</f>
        <v/>
      </c>
      <c r="X79">
        <f>HYPERLINK("https://klasma.github.io/Logging_1380/kartor/A 24383-2023 karta.png", "A 24383-2023")</f>
        <v/>
      </c>
      <c r="Y79">
        <f>HYPERLINK("https://klasma.github.io/Logging_1380/kartor_geotiff/A 24383-2023 georefererad karta.tif", "A 24383-2023")</f>
        <v/>
      </c>
      <c r="AA79">
        <f>HYPERLINK("https://klasma.github.io/Logging_1380/klagomål/A 24383-2023 FSC-klagomål.docx", "A 24383-2023")</f>
        <v/>
      </c>
      <c r="AB79">
        <f>HYPERLINK("https://klasma.github.io/Logging_1380/klagomålsmail/A 24383-2023 FSC-klagomål mail.docx", "A 24383-2023")</f>
        <v/>
      </c>
      <c r="AC79">
        <f>HYPERLINK("https://klasma.github.io/Logging_1380/tillsyn/A 24383-2023 tillsynsbegäran.docx", "A 24383-2023")</f>
        <v/>
      </c>
      <c r="AD79">
        <f>HYPERLINK("https://klasma.github.io/Logging_1380/tillsynsmail/A 24383-2023 tillsynsbegäran mail.docx", "A 24383-2023")</f>
        <v/>
      </c>
    </row>
    <row r="80" ht="15" customHeight="1">
      <c r="A80" t="inlineStr">
        <is>
          <t>A 16387-2023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45029</v>
      </c>
      <c r="E80" s="1" t="n">
        <v>46237</v>
      </c>
      <c r="F80" t="inlineStr">
        <is>
          <t>HALLANDS LÄN</t>
        </is>
      </c>
      <c r="G80" t="inlineStr">
        <is>
          <t>HALMSTAD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Orre</t>
        </is>
      </c>
      <c r="W80">
        <f>HYPERLINK("https://klasma.github.io/Logging_1380/artfynd/A 16387-2023 artfynd.xlsx", "A 16387-2023")</f>
        <v/>
      </c>
      <c r="X80">
        <f>HYPERLINK("https://klasma.github.io/Logging_1380/kartor/A 16387-2023 karta.png", "A 16387-2023")</f>
        <v/>
      </c>
      <c r="Y80">
        <f>HYPERLINK("https://klasma.github.io/Logging_1380/kartor_geotiff/A 16387-2023 georefererad karta.tif", "A 16387-2023")</f>
        <v/>
      </c>
      <c r="AA80">
        <f>HYPERLINK("https://klasma.github.io/Logging_1380/klagomål/A 16387-2023 FSC-klagomål.docx", "A 16387-2023")</f>
        <v/>
      </c>
      <c r="AB80">
        <f>HYPERLINK("https://klasma.github.io/Logging_1380/klagomålsmail/A 16387-2023 FSC-klagomål mail.docx", "A 16387-2023")</f>
        <v/>
      </c>
      <c r="AC80">
        <f>HYPERLINK("https://klasma.github.io/Logging_1380/tillsyn/A 16387-2023 tillsynsbegäran.docx", "A 16387-2023")</f>
        <v/>
      </c>
      <c r="AD80">
        <f>HYPERLINK("https://klasma.github.io/Logging_1380/tillsynsmail/A 16387-2023 tillsynsbegäran mail.docx", "A 16387-2023")</f>
        <v/>
      </c>
      <c r="AE80">
        <f>HYPERLINK("https://klasma.github.io/Logging_1380/fåglar/A 16387-2023 prioriterade fågelarter.docx", "A 16387-2023")</f>
        <v/>
      </c>
    </row>
    <row r="81" ht="15" customHeight="1">
      <c r="A81" t="inlineStr">
        <is>
          <t>A 10063-2022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44621</v>
      </c>
      <c r="E81" s="1" t="n">
        <v>46237</v>
      </c>
      <c r="F81" t="inlineStr">
        <is>
          <t>HALLANDS LÄN</t>
        </is>
      </c>
      <c r="G81" t="inlineStr">
        <is>
          <t>HALMSTAD</t>
        </is>
      </c>
      <c r="I81" t="n">
        <v>3.7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HYPERLINK("https://klasma.github.io/Logging_1380/artfynd/A 10063-2022 artfynd.xlsx", "A 10063-2022")</f>
        <v/>
      </c>
      <c r="X81">
        <f>HYPERLINK("https://klasma.github.io/Logging_1380/kartor/A 10063-2022 karta.png", "A 10063-2022")</f>
        <v/>
      </c>
      <c r="Y81">
        <f>HYPERLINK("https://klasma.github.io/Logging_1380/kartor_geotiff/A 10063-2022 georefererad karta.tif", "A 10063-2022")</f>
        <v/>
      </c>
      <c r="AA81">
        <f>HYPERLINK("https://klasma.github.io/Logging_1380/klagomål/A 10063-2022 FSC-klagomål.docx", "A 10063-2022")</f>
        <v/>
      </c>
      <c r="AB81">
        <f>HYPERLINK("https://klasma.github.io/Logging_1380/klagomålsmail/A 10063-2022 FSC-klagomål mail.docx", "A 10063-2022")</f>
        <v/>
      </c>
      <c r="AC81">
        <f>HYPERLINK("https://klasma.github.io/Logging_1380/tillsyn/A 10063-2022 tillsynsbegäran.docx", "A 10063-2022")</f>
        <v/>
      </c>
      <c r="AD81">
        <f>HYPERLINK("https://klasma.github.io/Logging_1380/tillsynsmail/A 10063-2022 tillsynsbegäran mail.docx", "A 10063-2022")</f>
        <v/>
      </c>
    </row>
    <row r="82" ht="15" customHeight="1">
      <c r="A82" t="inlineStr">
        <is>
          <t>A 20419-2022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46237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HYPERLINK("https://klasma.github.io/Logging_1380/artfynd/A 20419-2022 artfynd.xlsx", "A 20419-2022")</f>
        <v/>
      </c>
      <c r="X82">
        <f>HYPERLINK("https://klasma.github.io/Logging_1380/kartor/A 20419-2022 karta.png", "A 20419-2022")</f>
        <v/>
      </c>
      <c r="Y82">
        <f>HYPERLINK("https://klasma.github.io/Logging_1380/kartor_geotiff/A 20419-2022 georefererad karta.tif", "A 20419-2022")</f>
        <v/>
      </c>
      <c r="AA82">
        <f>HYPERLINK("https://klasma.github.io/Logging_1380/klagomål/A 20419-2022 FSC-klagomål.docx", "A 20419-2022")</f>
        <v/>
      </c>
      <c r="AB82">
        <f>HYPERLINK("https://klasma.github.io/Logging_1380/klagomålsmail/A 20419-2022 FSC-klagomål mail.docx", "A 20419-2022")</f>
        <v/>
      </c>
      <c r="AC82">
        <f>HYPERLINK("https://klasma.github.io/Logging_1380/tillsyn/A 20419-2022 tillsynsbegäran.docx", "A 20419-2022")</f>
        <v/>
      </c>
      <c r="AD82">
        <f>HYPERLINK("https://klasma.github.io/Logging_1380/tillsynsmail/A 20419-2022 tillsynsbegäran mail.docx", "A 20419-2022")</f>
        <v/>
      </c>
    </row>
    <row r="83" ht="15" customHeight="1">
      <c r="A83" t="inlineStr">
        <is>
          <t>A 37139-2025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45874</v>
      </c>
      <c r="E83" s="1" t="n">
        <v>46237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Kornknutmossa</t>
        </is>
      </c>
      <c r="W83">
        <f>HYPERLINK("https://klasma.github.io/Logging_1380/artfynd/A 37139-2025 artfynd.xlsx", "A 37139-2025")</f>
        <v/>
      </c>
      <c r="X83">
        <f>HYPERLINK("https://klasma.github.io/Logging_1380/kartor/A 37139-2025 karta.png", "A 37139-2025")</f>
        <v/>
      </c>
      <c r="Y83">
        <f>HYPERLINK("https://klasma.github.io/Logging_1380/kartor_geotiff/A 37139-2025 georefererad karta.tif", "A 37139-2025")</f>
        <v/>
      </c>
      <c r="AA83">
        <f>HYPERLINK("https://klasma.github.io/Logging_1380/klagomål/A 37139-2025 FSC-klagomål.docx", "A 37139-2025")</f>
        <v/>
      </c>
      <c r="AB83">
        <f>HYPERLINK("https://klasma.github.io/Logging_1380/klagomålsmail/A 37139-2025 FSC-klagomål mail.docx", "A 37139-2025")</f>
        <v/>
      </c>
      <c r="AC83">
        <f>HYPERLINK("https://klasma.github.io/Logging_1380/tillsyn/A 37139-2025 tillsynsbegäran.docx", "A 37139-2025")</f>
        <v/>
      </c>
      <c r="AD83">
        <f>HYPERLINK("https://klasma.github.io/Logging_1380/tillsynsmail/A 37139-2025 tillsynsbegäran mail.docx", "A 37139-2025")</f>
        <v/>
      </c>
    </row>
    <row r="84" ht="15" customHeight="1">
      <c r="A84" t="inlineStr">
        <is>
          <t>A 5240-2025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46237</v>
      </c>
      <c r="F84" t="inlineStr">
        <is>
          <t>HALLANDS LÄN</t>
        </is>
      </c>
      <c r="G84" t="inlineStr">
        <is>
          <t>HALMSTAD</t>
        </is>
      </c>
      <c r="I84" t="n">
        <v>8.300000000000001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Mussellav</t>
        </is>
      </c>
      <c r="W84">
        <f>HYPERLINK("https://klasma.github.io/Logging_1380/artfynd/A 5240-2025 artfynd.xlsx", "A 5240-2025")</f>
        <v/>
      </c>
      <c r="X84">
        <f>HYPERLINK("https://klasma.github.io/Logging_1380/kartor/A 5240-2025 karta.png", "A 5240-2025")</f>
        <v/>
      </c>
      <c r="Y84">
        <f>HYPERLINK("https://klasma.github.io/Logging_1380/kartor_geotiff/A 5240-2025 georefererad karta.tif", "A 5240-2025")</f>
        <v/>
      </c>
      <c r="AA84">
        <f>HYPERLINK("https://klasma.github.io/Logging_1380/klagomål/A 5240-2025 FSC-klagomål.docx", "A 5240-2025")</f>
        <v/>
      </c>
      <c r="AB84">
        <f>HYPERLINK("https://klasma.github.io/Logging_1380/klagomålsmail/A 5240-2025 FSC-klagomål mail.docx", "A 5240-2025")</f>
        <v/>
      </c>
      <c r="AC84">
        <f>HYPERLINK("https://klasma.github.io/Logging_1380/tillsyn/A 5240-2025 tillsynsbegäran.docx", "A 5240-2025")</f>
        <v/>
      </c>
      <c r="AD84">
        <f>HYPERLINK("https://klasma.github.io/Logging_1380/tillsynsmail/A 5240-2025 tillsynsbegäran mail.docx", "A 5240-2025")</f>
        <v/>
      </c>
    </row>
    <row r="85" ht="15" customHeight="1">
      <c r="A85" t="inlineStr">
        <is>
          <t>S 2587-2025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45915</v>
      </c>
      <c r="E85" s="1" t="n">
        <v>46237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14.8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Lungrot</t>
        </is>
      </c>
      <c r="W85">
        <f>HYPERLINK("https://klasma.github.io/Logging_1380/artfynd/S 2587-2025 artfynd.xlsx", "S 2587-2025")</f>
        <v/>
      </c>
      <c r="X85">
        <f>HYPERLINK("https://klasma.github.io/Logging_1380/kartor/S 2587-2025 karta.png", "S 2587-2025")</f>
        <v/>
      </c>
      <c r="Y85">
        <f>HYPERLINK("https://klasma.github.io/Logging_1380/kartor_geotiff/S 2587-2025 georefererad karta.tif", "S 2587-2025")</f>
        <v/>
      </c>
      <c r="AA85">
        <f>HYPERLINK("https://klasma.github.io/Logging_1380/klagomål/S 2587-2025 FSC-klagomål.docx", "S 2587-2025")</f>
        <v/>
      </c>
      <c r="AB85">
        <f>HYPERLINK("https://klasma.github.io/Logging_1380/klagomålsmail/S 2587-2025 FSC-klagomål mail.docx", "S 2587-2025")</f>
        <v/>
      </c>
      <c r="AC85">
        <f>HYPERLINK("https://klasma.github.io/Logging_1380/tillsyn/S 2587-2025 tillsynsbegäran.docx", "S 2587-2025")</f>
        <v/>
      </c>
      <c r="AD85">
        <f>HYPERLINK("https://klasma.github.io/Logging_1380/tillsynsmail/S 2587-2025 tillsynsbegäran mail.docx", "S 2587-2025")</f>
        <v/>
      </c>
    </row>
    <row r="86" ht="15" customHeight="1">
      <c r="A86" t="inlineStr">
        <is>
          <t>S 1213-2026</t>
        </is>
      </c>
      <c r="B86" t="inlineStr">
        <is>
          <t>samrådsanmälan</t>
        </is>
      </c>
      <c r="C86" t="inlineStr">
        <is>
          <t>Askåterföring</t>
        </is>
      </c>
      <c r="D86" s="1" t="n">
        <v>46141</v>
      </c>
      <c r="E86" s="1" t="n">
        <v>46237</v>
      </c>
      <c r="F86" t="inlineStr">
        <is>
          <t>HALLANDS LÄN</t>
        </is>
      </c>
      <c r="G86" t="inlineStr">
        <is>
          <t>HALMSTAD</t>
        </is>
      </c>
      <c r="I86" t="n">
        <v>50.7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Borsttåg</t>
        </is>
      </c>
      <c r="W86">
        <f>HYPERLINK("https://klasma.github.io/Logging_1380/artfynd/S 1213-2026 artfynd.xlsx", "S 1213-2026")</f>
        <v/>
      </c>
      <c r="X86">
        <f>HYPERLINK("https://klasma.github.io/Logging_1380/kartor/S 1213-2026 karta.png", "S 1213-2026")</f>
        <v/>
      </c>
      <c r="Y86">
        <f>HYPERLINK("https://klasma.github.io/Logging_1380/kartor_geotiff/S 1213-2026 georefererad karta.tif", "S 1213-2026")</f>
        <v/>
      </c>
      <c r="AA86">
        <f>HYPERLINK("https://klasma.github.io/Logging_1380/klagomål/S 1213-2026 FSC-klagomål.docx", "S 1213-2026")</f>
        <v/>
      </c>
      <c r="AB86">
        <f>HYPERLINK("https://klasma.github.io/Logging_1380/klagomålsmail/S 1213-2026 FSC-klagomål mail.docx", "S 1213-2026")</f>
        <v/>
      </c>
      <c r="AC86">
        <f>HYPERLINK("https://klasma.github.io/Logging_1380/tillsyn/S 1213-2026 tillsynsbegäran.docx", "S 1213-2026")</f>
        <v/>
      </c>
      <c r="AD86">
        <f>HYPERLINK("https://klasma.github.io/Logging_1380/tillsynsmail/S 1213-2026 tillsynsbegäran mail.docx", "S 1213-2026")</f>
        <v/>
      </c>
    </row>
    <row r="87" ht="15" customHeight="1">
      <c r="A87" t="inlineStr">
        <is>
          <t>A 29839-2022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46237</v>
      </c>
      <c r="F87" t="inlineStr">
        <is>
          <t>HALLANDS LÄN</t>
        </is>
      </c>
      <c r="G87" t="inlineStr">
        <is>
          <t>HALMSTAD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46237</v>
      </c>
      <c r="F88" t="inlineStr">
        <is>
          <t>HALLANDS LÄN</t>
        </is>
      </c>
      <c r="G88" t="inlineStr">
        <is>
          <t>HALMSTAD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46237</v>
      </c>
      <c r="F89" t="inlineStr">
        <is>
          <t>HALLANDS LÄN</t>
        </is>
      </c>
      <c r="G89" t="inlineStr">
        <is>
          <t>HALMSTAD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46237</v>
      </c>
      <c r="F90" t="inlineStr">
        <is>
          <t>HALLANDS LÄN</t>
        </is>
      </c>
      <c r="G90" t="inlineStr">
        <is>
          <t>HALMSTAD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46237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46237</v>
      </c>
      <c r="F92" t="inlineStr">
        <is>
          <t>HALLANDS LÄN</t>
        </is>
      </c>
      <c r="G92" t="inlineStr">
        <is>
          <t>HALMSTAD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46237</v>
      </c>
      <c r="F93" t="inlineStr">
        <is>
          <t>HALLANDS LÄN</t>
        </is>
      </c>
      <c r="G93" t="inlineStr">
        <is>
          <t>HALMSTAD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46237</v>
      </c>
      <c r="F94" t="inlineStr">
        <is>
          <t>HALLANDS LÄN</t>
        </is>
      </c>
      <c r="G94" t="inlineStr">
        <is>
          <t>HALMSTAD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46237</v>
      </c>
      <c r="F95" t="inlineStr">
        <is>
          <t>HALLANDS LÄN</t>
        </is>
      </c>
      <c r="G95" t="inlineStr">
        <is>
          <t>HALMSTAD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46237</v>
      </c>
      <c r="F96" t="inlineStr">
        <is>
          <t>HALLANDS LÄN</t>
        </is>
      </c>
      <c r="G96" t="inlineStr">
        <is>
          <t>HALMSTAD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70731-2021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46237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46237</v>
      </c>
      <c r="F98" t="inlineStr">
        <is>
          <t>HALLANDS LÄN</t>
        </is>
      </c>
      <c r="G98" t="inlineStr">
        <is>
          <t>HALMSTAD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70335-2021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46237</v>
      </c>
      <c r="F99" t="inlineStr">
        <is>
          <t>HALLANDS LÄN</t>
        </is>
      </c>
      <c r="G99" t="inlineStr">
        <is>
          <t>HALMSTAD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46237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46237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46237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46237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46237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46237</v>
      </c>
      <c r="F105" t="inlineStr">
        <is>
          <t>HALLANDS LÄN</t>
        </is>
      </c>
      <c r="G105" t="inlineStr">
        <is>
          <t>HALMSTAD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46237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46237</v>
      </c>
      <c r="F107" t="inlineStr">
        <is>
          <t>HALLANDS LÄN</t>
        </is>
      </c>
      <c r="G107" t="inlineStr">
        <is>
          <t>HALMSTAD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46237</v>
      </c>
      <c r="F108" t="inlineStr">
        <is>
          <t>HALLANDS LÄN</t>
        </is>
      </c>
      <c r="G108" t="inlineStr">
        <is>
          <t>HALMSTAD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46237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46237</v>
      </c>
      <c r="F110" t="inlineStr">
        <is>
          <t>HALLANDS LÄN</t>
        </is>
      </c>
      <c r="G110" t="inlineStr">
        <is>
          <t>HALMSTAD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44677</v>
      </c>
      <c r="E111" s="1" t="n">
        <v>46237</v>
      </c>
      <c r="F111" t="inlineStr">
        <is>
          <t>HALLANDS LÄN</t>
        </is>
      </c>
      <c r="G111" t="inlineStr">
        <is>
          <t>HALMSTAD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46237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46237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46237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46237</v>
      </c>
      <c r="F115" t="inlineStr">
        <is>
          <t>HALLANDS LÄN</t>
        </is>
      </c>
      <c r="G115" t="inlineStr">
        <is>
          <t>HALMSTAD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44470</v>
      </c>
      <c r="E116" s="1" t="n">
        <v>46237</v>
      </c>
      <c r="F116" t="inlineStr">
        <is>
          <t>HALLANDS LÄN</t>
        </is>
      </c>
      <c r="G116" t="inlineStr">
        <is>
          <t>HALMSTAD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45306</v>
      </c>
      <c r="E117" s="1" t="n">
        <v>46237</v>
      </c>
      <c r="F117" t="inlineStr">
        <is>
          <t>HALLANDS LÄN</t>
        </is>
      </c>
      <c r="G117" t="inlineStr">
        <is>
          <t>HALMSTAD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70724-2021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46237</v>
      </c>
      <c r="F118" t="inlineStr">
        <is>
          <t>HALLANDS LÄN</t>
        </is>
      </c>
      <c r="G118" t="inlineStr">
        <is>
          <t>HALMSTAD</t>
        </is>
      </c>
      <c r="H118" t="inlineStr">
        <is>
          <t>Kyrkan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44579</v>
      </c>
      <c r="E119" s="1" t="n">
        <v>46237</v>
      </c>
      <c r="F119" t="inlineStr">
        <is>
          <t>HALLANDS LÄN</t>
        </is>
      </c>
      <c r="G119" t="inlineStr">
        <is>
          <t>HALMSTAD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46237</v>
      </c>
      <c r="F120" t="inlineStr">
        <is>
          <t>HALLANDS LÄN</t>
        </is>
      </c>
      <c r="G120" t="inlineStr">
        <is>
          <t>HALMSTAD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44441</v>
      </c>
      <c r="E121" s="1" t="n">
        <v>46237</v>
      </c>
      <c r="F121" t="inlineStr">
        <is>
          <t>HALLANDS LÄN</t>
        </is>
      </c>
      <c r="G121" t="inlineStr">
        <is>
          <t>HALMSTAD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59922-2021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46237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36714-2024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46237</v>
      </c>
      <c r="F123" t="inlineStr">
        <is>
          <t>HALLANDS LÄN</t>
        </is>
      </c>
      <c r="G123" t="inlineStr">
        <is>
          <t>HALMSTAD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44886</v>
      </c>
      <c r="E124" s="1" t="n">
        <v>46237</v>
      </c>
      <c r="F124" t="inlineStr">
        <is>
          <t>HALLANDS LÄN</t>
        </is>
      </c>
      <c r="G124" t="inlineStr">
        <is>
          <t>HALMSTAD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46237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45429</v>
      </c>
      <c r="E126" s="1" t="n">
        <v>46237</v>
      </c>
      <c r="F126" t="inlineStr">
        <is>
          <t>HALLANDS LÄN</t>
        </is>
      </c>
      <c r="G126" t="inlineStr">
        <is>
          <t>HALMSTAD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72139-2021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46237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46237</v>
      </c>
      <c r="F128" t="inlineStr">
        <is>
          <t>HALLANDS LÄN</t>
        </is>
      </c>
      <c r="G128" t="inlineStr">
        <is>
          <t>HALMSTAD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45476</v>
      </c>
      <c r="E129" s="1" t="n">
        <v>46237</v>
      </c>
      <c r="F129" t="inlineStr">
        <is>
          <t>HALLANDS LÄN</t>
        </is>
      </c>
      <c r="G129" t="inlineStr">
        <is>
          <t>HALMSTAD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62766-2023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45268</v>
      </c>
      <c r="E130" s="1" t="n">
        <v>46237</v>
      </c>
      <c r="F130" t="inlineStr">
        <is>
          <t>HALLANDS LÄN</t>
        </is>
      </c>
      <c r="G130" t="inlineStr">
        <is>
          <t>HALMSTAD</t>
        </is>
      </c>
      <c r="H130" t="inlineStr">
        <is>
          <t>Sveaskog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45485</v>
      </c>
      <c r="E131" s="1" t="n">
        <v>46237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46237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46237</v>
      </c>
      <c r="F133" t="inlineStr">
        <is>
          <t>HALLANDS LÄN</t>
        </is>
      </c>
      <c r="G133" t="inlineStr">
        <is>
          <t>HALMSTAD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46237</v>
      </c>
      <c r="F134" t="inlineStr">
        <is>
          <t>HALLANDS LÄN</t>
        </is>
      </c>
      <c r="G134" t="inlineStr">
        <is>
          <t>HALMSTAD</t>
        </is>
      </c>
      <c r="H134" t="inlineStr">
        <is>
          <t>Kyrkan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44775</v>
      </c>
      <c r="E135" s="1" t="n">
        <v>46237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45735</v>
      </c>
      <c r="E136" s="1" t="n">
        <v>46237</v>
      </c>
      <c r="F136" t="inlineStr">
        <is>
          <t>HALLANDS LÄN</t>
        </is>
      </c>
      <c r="G136" t="inlineStr">
        <is>
          <t>HALMSTAD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45217</v>
      </c>
      <c r="E137" s="1" t="n">
        <v>46237</v>
      </c>
      <c r="F137" t="inlineStr">
        <is>
          <t>HALLANDS LÄN</t>
        </is>
      </c>
      <c r="G137" t="inlineStr">
        <is>
          <t>HALMSTAD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53763-2022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44875</v>
      </c>
      <c r="E138" s="1" t="n">
        <v>46237</v>
      </c>
      <c r="F138" t="inlineStr">
        <is>
          <t>HALLANDS LÄN</t>
        </is>
      </c>
      <c r="G138" t="inlineStr">
        <is>
          <t>HALMSTAD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46237</v>
      </c>
      <c r="F139" t="inlineStr">
        <is>
          <t>HALLANDS LÄN</t>
        </is>
      </c>
      <c r="G139" t="inlineStr">
        <is>
          <t>HALMSTAD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44885</v>
      </c>
      <c r="E140" s="1" t="n">
        <v>46237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46237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46237</v>
      </c>
      <c r="F142" t="inlineStr">
        <is>
          <t>HALLANDS LÄN</t>
        </is>
      </c>
      <c r="G142" t="inlineStr">
        <is>
          <t>HALMSTAD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46237</v>
      </c>
      <c r="F143" t="inlineStr">
        <is>
          <t>HALLANDS LÄN</t>
        </is>
      </c>
      <c r="G143" t="inlineStr">
        <is>
          <t>HALMSTAD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44922</v>
      </c>
      <c r="E144" s="1" t="n">
        <v>46237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41612-2022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44827</v>
      </c>
      <c r="E145" s="1" t="n">
        <v>46237</v>
      </c>
      <c r="F145" t="inlineStr">
        <is>
          <t>HALLANDS LÄN</t>
        </is>
      </c>
      <c r="G145" t="inlineStr">
        <is>
          <t>HALMSTAD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46237</v>
      </c>
      <c r="F146" t="inlineStr">
        <is>
          <t>HALLANDS LÄN</t>
        </is>
      </c>
      <c r="G146" t="inlineStr">
        <is>
          <t>HALMSTAD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45230</v>
      </c>
      <c r="E147" s="1" t="n">
        <v>46237</v>
      </c>
      <c r="F147" t="inlineStr">
        <is>
          <t>HALLANDS LÄN</t>
        </is>
      </c>
      <c r="G147" t="inlineStr">
        <is>
          <t>HALMSTAD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46237</v>
      </c>
      <c r="F148" t="inlineStr">
        <is>
          <t>HALLANDS LÄN</t>
        </is>
      </c>
      <c r="G148" t="inlineStr">
        <is>
          <t>HALMSTAD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45699</v>
      </c>
      <c r="E149" s="1" t="n">
        <v>46237</v>
      </c>
      <c r="F149" t="inlineStr">
        <is>
          <t>HALLANDS LÄN</t>
        </is>
      </c>
      <c r="G149" t="inlineStr">
        <is>
          <t>HALMSTAD</t>
        </is>
      </c>
      <c r="I149" t="n">
        <v>11.8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46237</v>
      </c>
      <c r="F150" t="inlineStr">
        <is>
          <t>HALLANDS LÄN</t>
        </is>
      </c>
      <c r="G150" t="inlineStr">
        <is>
          <t>HALMSTAD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45259</v>
      </c>
      <c r="E151" s="1" t="n">
        <v>46237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46237</v>
      </c>
      <c r="F152" t="inlineStr">
        <is>
          <t>HALLANDS LÄN</t>
        </is>
      </c>
      <c r="G152" t="inlineStr">
        <is>
          <t>HALMSTAD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46237</v>
      </c>
      <c r="F153" t="inlineStr">
        <is>
          <t>HALLANDS LÄN</t>
        </is>
      </c>
      <c r="G153" t="inlineStr">
        <is>
          <t>HALMSTAD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46237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45727</v>
      </c>
      <c r="E155" s="1" t="n">
        <v>46237</v>
      </c>
      <c r="F155" t="inlineStr">
        <is>
          <t>HALLANDS LÄN</t>
        </is>
      </c>
      <c r="G155" t="inlineStr">
        <is>
          <t>HALMSTAD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44806</v>
      </c>
      <c r="E156" s="1" t="n">
        <v>46237</v>
      </c>
      <c r="F156" t="inlineStr">
        <is>
          <t>HALLANDS LÄN</t>
        </is>
      </c>
      <c r="G156" t="inlineStr">
        <is>
          <t>HALMSTAD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44691</v>
      </c>
      <c r="E157" s="1" t="n">
        <v>46237</v>
      </c>
      <c r="F157" t="inlineStr">
        <is>
          <t>HALLANDS LÄN</t>
        </is>
      </c>
      <c r="G157" t="inlineStr">
        <is>
          <t>HALMSTAD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46237</v>
      </c>
      <c r="F158" t="inlineStr">
        <is>
          <t>HALLANDS LÄN</t>
        </is>
      </c>
      <c r="G158" t="inlineStr">
        <is>
          <t>HALMSTAD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46237</v>
      </c>
      <c r="F159" t="inlineStr">
        <is>
          <t>HALLANDS LÄN</t>
        </is>
      </c>
      <c r="G159" t="inlineStr">
        <is>
          <t>HALMSTAD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46237</v>
      </c>
      <c r="F160" t="inlineStr">
        <is>
          <t>HALLANDS LÄN</t>
        </is>
      </c>
      <c r="G160" t="inlineStr">
        <is>
          <t>HALMSTAD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46237</v>
      </c>
      <c r="F161" t="inlineStr">
        <is>
          <t>HALLANDS LÄN</t>
        </is>
      </c>
      <c r="G161" t="inlineStr">
        <is>
          <t>HALMSTAD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46237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46237</v>
      </c>
      <c r="F163" t="inlineStr">
        <is>
          <t>HALLANDS LÄN</t>
        </is>
      </c>
      <c r="G163" t="inlineStr">
        <is>
          <t>HALMSTAD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44952</v>
      </c>
      <c r="E164" s="1" t="n">
        <v>46237</v>
      </c>
      <c r="F164" t="inlineStr">
        <is>
          <t>HALLANDS LÄN</t>
        </is>
      </c>
      <c r="G164" t="inlineStr">
        <is>
          <t>HALMSTAD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46237</v>
      </c>
      <c r="F165" t="inlineStr">
        <is>
          <t>HALLANDS LÄN</t>
        </is>
      </c>
      <c r="G165" t="inlineStr">
        <is>
          <t>HALMSTAD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46237</v>
      </c>
      <c r="F166" t="inlineStr">
        <is>
          <t>HALLANDS LÄN</t>
        </is>
      </c>
      <c r="G166" t="inlineStr">
        <is>
          <t>HALMSTAD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45714</v>
      </c>
      <c r="E167" s="1" t="n">
        <v>46237</v>
      </c>
      <c r="F167" t="inlineStr">
        <is>
          <t>HALLANDS LÄN</t>
        </is>
      </c>
      <c r="G167" t="inlineStr">
        <is>
          <t>HALMSTAD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22070-2022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44711</v>
      </c>
      <c r="E168" s="1" t="n">
        <v>46237</v>
      </c>
      <c r="F168" t="inlineStr">
        <is>
          <t>HALLANDS LÄN</t>
        </is>
      </c>
      <c r="G168" t="inlineStr">
        <is>
          <t>HALMSTAD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61853-2023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45265</v>
      </c>
      <c r="E169" s="1" t="n">
        <v>46237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46237</v>
      </c>
      <c r="F170" t="inlineStr">
        <is>
          <t>HALLANDS LÄN</t>
        </is>
      </c>
      <c r="G170" t="inlineStr">
        <is>
          <t>HALMSTAD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44802</v>
      </c>
      <c r="E171" s="1" t="n">
        <v>46237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46237</v>
      </c>
      <c r="F172" t="inlineStr">
        <is>
          <t>HALLANDS LÄN</t>
        </is>
      </c>
      <c r="G172" t="inlineStr">
        <is>
          <t>HALMSTAD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46237</v>
      </c>
      <c r="F173" t="inlineStr">
        <is>
          <t>HALLANDS LÄN</t>
        </is>
      </c>
      <c r="G173" t="inlineStr">
        <is>
          <t>HALMSTAD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44687</v>
      </c>
      <c r="E174" s="1" t="n">
        <v>46237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51192-2021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46237</v>
      </c>
      <c r="F175" t="inlineStr">
        <is>
          <t>HALLANDS LÄN</t>
        </is>
      </c>
      <c r="G175" t="inlineStr">
        <is>
          <t>HALMSTAD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46237</v>
      </c>
      <c r="F176" t="inlineStr">
        <is>
          <t>HALLANDS LÄN</t>
        </is>
      </c>
      <c r="G176" t="inlineStr">
        <is>
          <t>HALMSTAD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46237</v>
      </c>
      <c r="F177" t="inlineStr">
        <is>
          <t>HALLANDS LÄN</t>
        </is>
      </c>
      <c r="G177" t="inlineStr">
        <is>
          <t>HALMSTAD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46237</v>
      </c>
      <c r="F178" t="inlineStr">
        <is>
          <t>HALLANDS LÄN</t>
        </is>
      </c>
      <c r="G178" t="inlineStr">
        <is>
          <t>HALMSTAD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44974</v>
      </c>
      <c r="E179" s="1" t="n">
        <v>46237</v>
      </c>
      <c r="F179" t="inlineStr">
        <is>
          <t>HALLANDS LÄN</t>
        </is>
      </c>
      <c r="G179" t="inlineStr">
        <is>
          <t>HALMSTAD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46237</v>
      </c>
      <c r="F180" t="inlineStr">
        <is>
          <t>HALLANDS LÄN</t>
        </is>
      </c>
      <c r="G180" t="inlineStr">
        <is>
          <t>HALMSTAD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57013-2021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46237</v>
      </c>
      <c r="F181" t="inlineStr">
        <is>
          <t>HALLANDS LÄN</t>
        </is>
      </c>
      <c r="G181" t="inlineStr">
        <is>
          <t>HALMSTAD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48015-2024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45589</v>
      </c>
      <c r="E182" s="1" t="n">
        <v>46237</v>
      </c>
      <c r="F182" t="inlineStr">
        <is>
          <t>HALLANDS LÄN</t>
        </is>
      </c>
      <c r="G182" t="inlineStr">
        <is>
          <t>HALMSTAD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57021-2021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44482</v>
      </c>
      <c r="E183" s="1" t="n">
        <v>46237</v>
      </c>
      <c r="F183" t="inlineStr">
        <is>
          <t>HALLANDS LÄN</t>
        </is>
      </c>
      <c r="G183" t="inlineStr">
        <is>
          <t>HALMSTAD</t>
        </is>
      </c>
      <c r="I183" t="n">
        <v>9.300000000000001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45627</v>
      </c>
      <c r="E184" s="1" t="n">
        <v>46237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46237</v>
      </c>
      <c r="F185" t="inlineStr">
        <is>
          <t>HALLANDS LÄN</t>
        </is>
      </c>
      <c r="G185" t="inlineStr">
        <is>
          <t>HALMSTAD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46237</v>
      </c>
      <c r="F186" t="inlineStr">
        <is>
          <t>HALLANDS LÄN</t>
        </is>
      </c>
      <c r="G186" t="inlineStr">
        <is>
          <t>HALMSTAD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45323</v>
      </c>
      <c r="E187" s="1" t="n">
        <v>46237</v>
      </c>
      <c r="F187" t="inlineStr">
        <is>
          <t>HALLANDS LÄN</t>
        </is>
      </c>
      <c r="G187" t="inlineStr">
        <is>
          <t>HALMSTAD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52469-2021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46237</v>
      </c>
      <c r="F188" t="inlineStr">
        <is>
          <t>HALLANDS LÄN</t>
        </is>
      </c>
      <c r="G188" t="inlineStr">
        <is>
          <t>HALMSTAD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45916</v>
      </c>
      <c r="E189" s="1" t="n">
        <v>46237</v>
      </c>
      <c r="F189" t="inlineStr">
        <is>
          <t>HALLANDS LÄN</t>
        </is>
      </c>
      <c r="G189" t="inlineStr">
        <is>
          <t>HALMSTAD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46237</v>
      </c>
      <c r="F190" t="inlineStr">
        <is>
          <t>HALLANDS LÄN</t>
        </is>
      </c>
      <c r="G190" t="inlineStr">
        <is>
          <t>HALMSTAD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46237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46237</v>
      </c>
      <c r="F192" t="inlineStr">
        <is>
          <t>HALLANDS LÄN</t>
        </is>
      </c>
      <c r="G192" t="inlineStr">
        <is>
          <t>HALMSTAD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7639-2022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44607</v>
      </c>
      <c r="E193" s="1" t="n">
        <v>46237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45715</v>
      </c>
      <c r="E194" s="1" t="n">
        <v>46237</v>
      </c>
      <c r="F194" t="inlineStr">
        <is>
          <t>HALLANDS LÄN</t>
        </is>
      </c>
      <c r="G194" t="inlineStr">
        <is>
          <t>HALMSTAD</t>
        </is>
      </c>
      <c r="H194" t="inlineStr">
        <is>
          <t>Övriga statliga verk och myndigheter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13594-2023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45006</v>
      </c>
      <c r="E195" s="1" t="n">
        <v>46237</v>
      </c>
      <c r="F195" t="inlineStr">
        <is>
          <t>HALLANDS LÄN</t>
        </is>
      </c>
      <c r="G195" t="inlineStr">
        <is>
          <t>HALMSTAD</t>
        </is>
      </c>
      <c r="H195" t="inlineStr">
        <is>
          <t>Bergvik skog väst AB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44964</v>
      </c>
      <c r="E196" s="1" t="n">
        <v>46237</v>
      </c>
      <c r="F196" t="inlineStr">
        <is>
          <t>HALLANDS LÄN</t>
        </is>
      </c>
      <c r="G196" t="inlineStr">
        <is>
          <t>HALMSTAD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46237</v>
      </c>
      <c r="F197" t="inlineStr">
        <is>
          <t>HALLANDS LÄN</t>
        </is>
      </c>
      <c r="G197" t="inlineStr">
        <is>
          <t>HALMSTAD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44742</v>
      </c>
      <c r="E198" s="1" t="n">
        <v>46237</v>
      </c>
      <c r="F198" t="inlineStr">
        <is>
          <t>HALLANDS LÄN</t>
        </is>
      </c>
      <c r="G198" t="inlineStr">
        <is>
          <t>HALMSTAD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46237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46237</v>
      </c>
      <c r="F200" t="inlineStr">
        <is>
          <t>HALLANDS LÄN</t>
        </is>
      </c>
      <c r="G200" t="inlineStr">
        <is>
          <t>HALMSTAD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42205-2024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46237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45600</v>
      </c>
      <c r="E202" s="1" t="n">
        <v>46237</v>
      </c>
      <c r="F202" t="inlineStr">
        <is>
          <t>HALLANDS LÄN</t>
        </is>
      </c>
      <c r="G202" t="inlineStr">
        <is>
          <t>HALMSTAD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46237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46237</v>
      </c>
      <c r="F204" t="inlineStr">
        <is>
          <t>HALLANDS LÄN</t>
        </is>
      </c>
      <c r="G204" t="inlineStr">
        <is>
          <t>HALMSTAD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46237</v>
      </c>
      <c r="F205" t="inlineStr">
        <is>
          <t>HALLANDS LÄN</t>
        </is>
      </c>
      <c r="G205" t="inlineStr">
        <is>
          <t>HALMSTAD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46237</v>
      </c>
      <c r="F206" t="inlineStr">
        <is>
          <t>HALLANDS LÄN</t>
        </is>
      </c>
      <c r="G206" t="inlineStr">
        <is>
          <t>HALMSTAD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46237</v>
      </c>
      <c r="F207" t="inlineStr">
        <is>
          <t>HALLANDS LÄN</t>
        </is>
      </c>
      <c r="G207" t="inlineStr">
        <is>
          <t>HALMSTAD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46237</v>
      </c>
      <c r="F208" t="inlineStr">
        <is>
          <t>HALLANDS LÄN</t>
        </is>
      </c>
      <c r="G208" t="inlineStr">
        <is>
          <t>HALMSTAD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46237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46237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46237</v>
      </c>
      <c r="F211" t="inlineStr">
        <is>
          <t>HALLANDS LÄN</t>
        </is>
      </c>
      <c r="G211" t="inlineStr">
        <is>
          <t>HALMSTAD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46237</v>
      </c>
      <c r="F212" t="inlineStr">
        <is>
          <t>HALLANDS LÄN</t>
        </is>
      </c>
      <c r="G212" t="inlineStr">
        <is>
          <t>HALMSTAD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46237</v>
      </c>
      <c r="F213" t="inlineStr">
        <is>
          <t>HALLANDS LÄN</t>
        </is>
      </c>
      <c r="G213" t="inlineStr">
        <is>
          <t>HALMSTAD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46237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46237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51302-2021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44461</v>
      </c>
      <c r="E216" s="1" t="n">
        <v>46237</v>
      </c>
      <c r="F216" t="inlineStr">
        <is>
          <t>HALLANDS LÄN</t>
        </is>
      </c>
      <c r="G216" t="inlineStr">
        <is>
          <t>HALMSTAD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44713</v>
      </c>
      <c r="E217" s="1" t="n">
        <v>46237</v>
      </c>
      <c r="F217" t="inlineStr">
        <is>
          <t>HALLANDS LÄN</t>
        </is>
      </c>
      <c r="G217" t="inlineStr">
        <is>
          <t>HALMSTAD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46237</v>
      </c>
      <c r="F218" t="inlineStr">
        <is>
          <t>HALLANDS LÄN</t>
        </is>
      </c>
      <c r="G218" t="inlineStr">
        <is>
          <t>HALMSTAD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46237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46237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46237</v>
      </c>
      <c r="F221" t="inlineStr">
        <is>
          <t>HALLANDS LÄN</t>
        </is>
      </c>
      <c r="G221" t="inlineStr">
        <is>
          <t>HALMSTAD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46237</v>
      </c>
      <c r="F222" t="inlineStr">
        <is>
          <t>HALLANDS LÄN</t>
        </is>
      </c>
      <c r="G222" t="inlineStr">
        <is>
          <t>HALMSTAD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45610</v>
      </c>
      <c r="E223" s="1" t="n">
        <v>46237</v>
      </c>
      <c r="F223" t="inlineStr">
        <is>
          <t>HALLANDS LÄN</t>
        </is>
      </c>
      <c r="G223" t="inlineStr">
        <is>
          <t>HALMSTAD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46237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44622</v>
      </c>
      <c r="E225" s="1" t="n">
        <v>46237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44880</v>
      </c>
      <c r="E226" s="1" t="n">
        <v>46237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59254-2022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46237</v>
      </c>
      <c r="F227" t="inlineStr">
        <is>
          <t>HALLANDS LÄN</t>
        </is>
      </c>
      <c r="G227" t="inlineStr">
        <is>
          <t>HALMSTAD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45231</v>
      </c>
      <c r="E228" s="1" t="n">
        <v>46237</v>
      </c>
      <c r="F228" t="inlineStr">
        <is>
          <t>HALLANDS LÄN</t>
        </is>
      </c>
      <c r="G228" t="inlineStr">
        <is>
          <t>HALMSTAD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45267</v>
      </c>
      <c r="E229" s="1" t="n">
        <v>46237</v>
      </c>
      <c r="F229" t="inlineStr">
        <is>
          <t>HALLANDS LÄN</t>
        </is>
      </c>
      <c r="G229" t="inlineStr">
        <is>
          <t>HALMSTAD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46237</v>
      </c>
      <c r="F230" t="inlineStr">
        <is>
          <t>HALLANDS LÄN</t>
        </is>
      </c>
      <c r="G230" t="inlineStr">
        <is>
          <t>HALMSTAD</t>
        </is>
      </c>
      <c r="H230" t="inlineStr">
        <is>
          <t>Bergvik skog väst AB</t>
        </is>
      </c>
      <c r="I230" t="n">
        <v>19.5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44852</v>
      </c>
      <c r="E231" s="1" t="n">
        <v>46237</v>
      </c>
      <c r="F231" t="inlineStr">
        <is>
          <t>HALLANDS LÄN</t>
        </is>
      </c>
      <c r="G231" t="inlineStr">
        <is>
          <t>HALMSTAD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44753</v>
      </c>
      <c r="E232" s="1" t="n">
        <v>46237</v>
      </c>
      <c r="F232" t="inlineStr">
        <is>
          <t>HALLANDS LÄN</t>
        </is>
      </c>
      <c r="G232" t="inlineStr">
        <is>
          <t>HALMSTAD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46196</v>
      </c>
      <c r="E233" s="1" t="n">
        <v>46237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46237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46237</v>
      </c>
      <c r="F235" t="inlineStr">
        <is>
          <t>HALLANDS LÄN</t>
        </is>
      </c>
      <c r="G235" t="inlineStr">
        <is>
          <t>HALMSTAD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46237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46237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44775</v>
      </c>
      <c r="E238" s="1" t="n">
        <v>46237</v>
      </c>
      <c r="F238" t="inlineStr">
        <is>
          <t>HALLANDS LÄN</t>
        </is>
      </c>
      <c r="G238" t="inlineStr">
        <is>
          <t>HALMSTAD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46237</v>
      </c>
      <c r="F239" t="inlineStr">
        <is>
          <t>HALLANDS LÄN</t>
        </is>
      </c>
      <c r="G239" t="inlineStr">
        <is>
          <t>HALMSTAD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46237</v>
      </c>
      <c r="F240" t="inlineStr">
        <is>
          <t>HALLANDS LÄN</t>
        </is>
      </c>
      <c r="G240" t="inlineStr">
        <is>
          <t>HALMSTAD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46237</v>
      </c>
      <c r="F241" t="inlineStr">
        <is>
          <t>HALLANDS LÄN</t>
        </is>
      </c>
      <c r="G241" t="inlineStr">
        <is>
          <t>HALMSTAD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46237</v>
      </c>
      <c r="F242" t="inlineStr">
        <is>
          <t>HALLANDS LÄN</t>
        </is>
      </c>
      <c r="G242" t="inlineStr">
        <is>
          <t>HALMSTAD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46237</v>
      </c>
      <c r="F243" t="inlineStr">
        <is>
          <t>HALLANDS LÄN</t>
        </is>
      </c>
      <c r="G243" t="inlineStr">
        <is>
          <t>HALMSTAD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45733</v>
      </c>
      <c r="E244" s="1" t="n">
        <v>46237</v>
      </c>
      <c r="F244" t="inlineStr">
        <is>
          <t>HALLANDS LÄN</t>
        </is>
      </c>
      <c r="G244" t="inlineStr">
        <is>
          <t>HALMSTAD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46237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13.4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46237</v>
      </c>
      <c r="F246" t="inlineStr">
        <is>
          <t>HALLANDS LÄN</t>
        </is>
      </c>
      <c r="G246" t="inlineStr">
        <is>
          <t>HALMSTAD</t>
        </is>
      </c>
      <c r="H246" t="inlineStr">
        <is>
          <t>Kyrkan</t>
        </is>
      </c>
      <c r="I246" t="n">
        <v>10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46237</v>
      </c>
      <c r="F247" t="inlineStr">
        <is>
          <t>HALLANDS LÄN</t>
        </is>
      </c>
      <c r="G247" t="inlineStr">
        <is>
          <t>HALMSTAD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57031-2021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44482</v>
      </c>
      <c r="E248" s="1" t="n">
        <v>46237</v>
      </c>
      <c r="F248" t="inlineStr">
        <is>
          <t>HALLANDS LÄN</t>
        </is>
      </c>
      <c r="G248" t="inlineStr">
        <is>
          <t>HALMSTAD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44827</v>
      </c>
      <c r="E249" s="1" t="n">
        <v>46237</v>
      </c>
      <c r="F249" t="inlineStr">
        <is>
          <t>HALLANDS LÄN</t>
        </is>
      </c>
      <c r="G249" t="inlineStr">
        <is>
          <t>HALMSTAD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46237</v>
      </c>
      <c r="F250" t="inlineStr">
        <is>
          <t>HALLANDS LÄN</t>
        </is>
      </c>
      <c r="G250" t="inlineStr">
        <is>
          <t>HALMSTAD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46237</v>
      </c>
      <c r="F251" t="inlineStr">
        <is>
          <t>HALLANDS LÄN</t>
        </is>
      </c>
      <c r="G251" t="inlineStr">
        <is>
          <t>HALMSTAD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46237</v>
      </c>
      <c r="F252" t="inlineStr">
        <is>
          <t>HALLANDS LÄN</t>
        </is>
      </c>
      <c r="G252" t="inlineStr">
        <is>
          <t>HALMSTAD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45660</v>
      </c>
      <c r="E253" s="1" t="n">
        <v>46237</v>
      </c>
      <c r="F253" t="inlineStr">
        <is>
          <t>HALLANDS LÄN</t>
        </is>
      </c>
      <c r="G253" t="inlineStr">
        <is>
          <t>HALMSTAD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46237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46237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46237</v>
      </c>
      <c r="F256" t="inlineStr">
        <is>
          <t>HALLANDS LÄN</t>
        </is>
      </c>
      <c r="G256" t="inlineStr">
        <is>
          <t>HALMSTAD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54870-2022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44885</v>
      </c>
      <c r="E257" s="1" t="n">
        <v>46237</v>
      </c>
      <c r="F257" t="inlineStr">
        <is>
          <t>HALLANDS LÄN</t>
        </is>
      </c>
      <c r="G257" t="inlineStr">
        <is>
          <t>HALMSTAD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46162</v>
      </c>
      <c r="E258" s="1" t="n">
        <v>46237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40974-2025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46237</v>
      </c>
      <c r="F259" t="inlineStr">
        <is>
          <t>HALLANDS LÄN</t>
        </is>
      </c>
      <c r="G259" t="inlineStr">
        <is>
          <t>HALMSTAD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57922-2025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46237</v>
      </c>
      <c r="F260" t="inlineStr">
        <is>
          <t>HALLANDS LÄN</t>
        </is>
      </c>
      <c r="G260" t="inlineStr">
        <is>
          <t>HALMSTAD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46237</v>
      </c>
      <c r="F261" t="inlineStr">
        <is>
          <t>HALLANDS LÄN</t>
        </is>
      </c>
      <c r="G261" t="inlineStr">
        <is>
          <t>HALMSTAD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46237</v>
      </c>
      <c r="F262" t="inlineStr">
        <is>
          <t>HALLANDS LÄN</t>
        </is>
      </c>
      <c r="G262" t="inlineStr">
        <is>
          <t>HALMSTAD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46237</v>
      </c>
      <c r="F263" t="inlineStr">
        <is>
          <t>HALLANDS LÄN</t>
        </is>
      </c>
      <c r="G263" t="inlineStr">
        <is>
          <t>HALMSTAD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46237</v>
      </c>
      <c r="F264" t="inlineStr">
        <is>
          <t>HALLANDS LÄN</t>
        </is>
      </c>
      <c r="G264" t="inlineStr">
        <is>
          <t>HALMSTAD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45988</v>
      </c>
      <c r="E265" s="1" t="n">
        <v>46237</v>
      </c>
      <c r="F265" t="inlineStr">
        <is>
          <t>HALLANDS LÄN</t>
        </is>
      </c>
      <c r="G265" t="inlineStr">
        <is>
          <t>HALMSTAD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46237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45775</v>
      </c>
      <c r="E267" s="1" t="n">
        <v>46237</v>
      </c>
      <c r="F267" t="inlineStr">
        <is>
          <t>HALLANDS LÄN</t>
        </is>
      </c>
      <c r="G267" t="inlineStr">
        <is>
          <t>HALMSTAD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46237</v>
      </c>
      <c r="F268" t="inlineStr">
        <is>
          <t>HALLANDS LÄN</t>
        </is>
      </c>
      <c r="G268" t="inlineStr">
        <is>
          <t>HALMSTAD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45049</v>
      </c>
      <c r="E269" s="1" t="n">
        <v>46237</v>
      </c>
      <c r="F269" t="inlineStr">
        <is>
          <t>HALLANDS LÄN</t>
        </is>
      </c>
      <c r="G269" t="inlineStr">
        <is>
          <t>HALMSTAD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44712</v>
      </c>
      <c r="E270" s="1" t="n">
        <v>46237</v>
      </c>
      <c r="F270" t="inlineStr">
        <is>
          <t>HALLANDS LÄN</t>
        </is>
      </c>
      <c r="G270" t="inlineStr">
        <is>
          <t>HALMSTAD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46237</v>
      </c>
      <c r="F271" t="inlineStr">
        <is>
          <t>HALLANDS LÄN</t>
        </is>
      </c>
      <c r="G271" t="inlineStr">
        <is>
          <t>HALMSTAD</t>
        </is>
      </c>
      <c r="H271" t="inlineStr">
        <is>
          <t>Kyrkan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45050</v>
      </c>
      <c r="E272" s="1" t="n">
        <v>46237</v>
      </c>
      <c r="F272" t="inlineStr">
        <is>
          <t>HALLANDS LÄN</t>
        </is>
      </c>
      <c r="G272" t="inlineStr">
        <is>
          <t>HALMSTAD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46237</v>
      </c>
      <c r="F273" t="inlineStr">
        <is>
          <t>HALLANDS LÄN</t>
        </is>
      </c>
      <c r="G273" t="inlineStr">
        <is>
          <t>HALMSTAD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46237</v>
      </c>
      <c r="F274" t="inlineStr">
        <is>
          <t>HALLANDS LÄN</t>
        </is>
      </c>
      <c r="G274" t="inlineStr">
        <is>
          <t>HALMSTAD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46237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46205</v>
      </c>
      <c r="E276" s="1" t="n">
        <v>46237</v>
      </c>
      <c r="F276" t="inlineStr">
        <is>
          <t>HALLANDS LÄN</t>
        </is>
      </c>
      <c r="G276" t="inlineStr">
        <is>
          <t>HALMSTAD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45167</v>
      </c>
      <c r="E277" s="1" t="n">
        <v>46237</v>
      </c>
      <c r="F277" t="inlineStr">
        <is>
          <t>HALLANDS LÄN</t>
        </is>
      </c>
      <c r="G277" t="inlineStr">
        <is>
          <t>HALMSTAD</t>
        </is>
      </c>
      <c r="H277" t="inlineStr">
        <is>
          <t>Kommuner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30508-2026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46237</v>
      </c>
      <c r="F278" t="inlineStr">
        <is>
          <t>HALLANDS LÄN</t>
        </is>
      </c>
      <c r="G278" t="inlineStr">
        <is>
          <t>HALMSTAD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46237</v>
      </c>
      <c r="F279" t="inlineStr">
        <is>
          <t>HALLANDS LÄN</t>
        </is>
      </c>
      <c r="G279" t="inlineStr">
        <is>
          <t>HALMSTAD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45203</v>
      </c>
      <c r="E280" s="1" t="n">
        <v>46237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46210</v>
      </c>
      <c r="E281" s="1" t="n">
        <v>46237</v>
      </c>
      <c r="F281" t="inlineStr">
        <is>
          <t>HALLANDS LÄN</t>
        </is>
      </c>
      <c r="G281" t="inlineStr">
        <is>
          <t>HALMSTAD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46237</v>
      </c>
      <c r="F282" t="inlineStr">
        <is>
          <t>HALLANDS LÄN</t>
        </is>
      </c>
      <c r="G282" t="inlineStr">
        <is>
          <t>HALMSTAD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46210</v>
      </c>
      <c r="E283" s="1" t="n">
        <v>46237</v>
      </c>
      <c r="F283" t="inlineStr">
        <is>
          <t>HALLANDS LÄN</t>
        </is>
      </c>
      <c r="G283" t="inlineStr">
        <is>
          <t>HALMSTAD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46237</v>
      </c>
      <c r="F284" t="inlineStr">
        <is>
          <t>HALLANDS LÄN</t>
        </is>
      </c>
      <c r="G284" t="inlineStr">
        <is>
          <t>HALMSTAD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46237</v>
      </c>
      <c r="F285" t="inlineStr">
        <is>
          <t>HALLANDS LÄN</t>
        </is>
      </c>
      <c r="G285" t="inlineStr">
        <is>
          <t>HALMSTAD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46237</v>
      </c>
      <c r="F286" t="inlineStr">
        <is>
          <t>HALLANDS LÄN</t>
        </is>
      </c>
      <c r="G286" t="inlineStr">
        <is>
          <t>HALMSTAD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46210</v>
      </c>
      <c r="E287" s="1" t="n">
        <v>46237</v>
      </c>
      <c r="F287" t="inlineStr">
        <is>
          <t>HALLANDS LÄN</t>
        </is>
      </c>
      <c r="G287" t="inlineStr">
        <is>
          <t>HALMSTAD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46210</v>
      </c>
      <c r="E288" s="1" t="n">
        <v>46237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46210</v>
      </c>
      <c r="E289" s="1" t="n">
        <v>46237</v>
      </c>
      <c r="F289" t="inlineStr">
        <is>
          <t>HALLANDS LÄN</t>
        </is>
      </c>
      <c r="G289" t="inlineStr">
        <is>
          <t>HALMSTAD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46027</v>
      </c>
      <c r="E290" s="1" t="n">
        <v>46237</v>
      </c>
      <c r="F290" t="inlineStr">
        <is>
          <t>HALLANDS LÄN</t>
        </is>
      </c>
      <c r="G290" t="inlineStr">
        <is>
          <t>HALMSTAD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46237</v>
      </c>
      <c r="F291" t="inlineStr">
        <is>
          <t>HALLANDS LÄN</t>
        </is>
      </c>
      <c r="G291" t="inlineStr">
        <is>
          <t>HALMSTAD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46237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46237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46237</v>
      </c>
      <c r="F294" t="inlineStr">
        <is>
          <t>HALLANDS LÄN</t>
        </is>
      </c>
      <c r="G294" t="inlineStr">
        <is>
          <t>HALMSTAD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46237</v>
      </c>
      <c r="F295" t="inlineStr">
        <is>
          <t>HALLANDS LÄN</t>
        </is>
      </c>
      <c r="G295" t="inlineStr">
        <is>
          <t>HALMSTAD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46237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46237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45275</v>
      </c>
      <c r="E298" s="1" t="n">
        <v>46237</v>
      </c>
      <c r="F298" t="inlineStr">
        <is>
          <t>HALLANDS LÄN</t>
        </is>
      </c>
      <c r="G298" t="inlineStr">
        <is>
          <t>HALMSTAD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46237</v>
      </c>
      <c r="F299" t="inlineStr">
        <is>
          <t>HALLANDS LÄN</t>
        </is>
      </c>
      <c r="G299" t="inlineStr">
        <is>
          <t>HALMSTAD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46237</v>
      </c>
      <c r="F300" t="inlineStr">
        <is>
          <t>HALLANDS LÄN</t>
        </is>
      </c>
      <c r="G300" t="inlineStr">
        <is>
          <t>HALMSTAD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45015</v>
      </c>
      <c r="E301" s="1" t="n">
        <v>46237</v>
      </c>
      <c r="F301" t="inlineStr">
        <is>
          <t>HALLANDS LÄN</t>
        </is>
      </c>
      <c r="G301" t="inlineStr">
        <is>
          <t>HALMSTAD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45015</v>
      </c>
      <c r="E302" s="1" t="n">
        <v>46237</v>
      </c>
      <c r="F302" t="inlineStr">
        <is>
          <t>HALLANDS LÄN</t>
        </is>
      </c>
      <c r="G302" t="inlineStr">
        <is>
          <t>HALMSTAD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66311-2021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44518</v>
      </c>
      <c r="E303" s="1" t="n">
        <v>46237</v>
      </c>
      <c r="F303" t="inlineStr">
        <is>
          <t>HALLANDS LÄN</t>
        </is>
      </c>
      <c r="G303" t="inlineStr">
        <is>
          <t>HALMSTAD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46237</v>
      </c>
      <c r="F304" t="inlineStr">
        <is>
          <t>HALLANDS LÄN</t>
        </is>
      </c>
      <c r="G304" t="inlineStr">
        <is>
          <t>HALMSTAD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46237</v>
      </c>
      <c r="F305" t="inlineStr">
        <is>
          <t>HALLANDS LÄN</t>
        </is>
      </c>
      <c r="G305" t="inlineStr">
        <is>
          <t>HALMSTAD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46237</v>
      </c>
      <c r="F306" t="inlineStr">
        <is>
          <t>HALLANDS LÄN</t>
        </is>
      </c>
      <c r="G306" t="inlineStr">
        <is>
          <t>HALMSTAD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46237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46237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46237</v>
      </c>
      <c r="F309" t="inlineStr">
        <is>
          <t>HALLANDS LÄN</t>
        </is>
      </c>
      <c r="G309" t="inlineStr">
        <is>
          <t>HALMSTAD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46237</v>
      </c>
      <c r="F310" t="inlineStr">
        <is>
          <t>HALLANDS LÄN</t>
        </is>
      </c>
      <c r="G310" t="inlineStr">
        <is>
          <t>HALMSTAD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45279</v>
      </c>
      <c r="E311" s="1" t="n">
        <v>46237</v>
      </c>
      <c r="F311" t="inlineStr">
        <is>
          <t>HALLANDS LÄN</t>
        </is>
      </c>
      <c r="G311" t="inlineStr">
        <is>
          <t>HALMSTAD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46237</v>
      </c>
      <c r="F312" t="inlineStr">
        <is>
          <t>HALLANDS LÄN</t>
        </is>
      </c>
      <c r="G312" t="inlineStr">
        <is>
          <t>HALMSTAD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46237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46237</v>
      </c>
      <c r="F314" t="inlineStr">
        <is>
          <t>HALLANDS LÄN</t>
        </is>
      </c>
      <c r="G314" t="inlineStr">
        <is>
          <t>HALMSTAD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46237</v>
      </c>
      <c r="F315" t="inlineStr">
        <is>
          <t>HALLANDS LÄN</t>
        </is>
      </c>
      <c r="G315" t="inlineStr">
        <is>
          <t>HALMSTAD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46237</v>
      </c>
      <c r="F316" t="inlineStr">
        <is>
          <t>HALLANDS LÄN</t>
        </is>
      </c>
      <c r="G316" t="inlineStr">
        <is>
          <t>HALMSTAD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46237</v>
      </c>
      <c r="F317" t="inlineStr">
        <is>
          <t>HALLANDS LÄN</t>
        </is>
      </c>
      <c r="G317" t="inlineStr">
        <is>
          <t>HALMSTAD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45363</v>
      </c>
      <c r="E318" s="1" t="n">
        <v>46237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46173</v>
      </c>
      <c r="E319" s="1" t="n">
        <v>46237</v>
      </c>
      <c r="F319" t="inlineStr">
        <is>
          <t>HALLANDS LÄN</t>
        </is>
      </c>
      <c r="G319" t="inlineStr">
        <is>
          <t>HALMSTAD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45561</v>
      </c>
      <c r="E320" s="1" t="n">
        <v>46237</v>
      </c>
      <c r="F320" t="inlineStr">
        <is>
          <t>HALLANDS LÄN</t>
        </is>
      </c>
      <c r="G320" t="inlineStr">
        <is>
          <t>HALMSTAD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46173</v>
      </c>
      <c r="E321" s="1" t="n">
        <v>46237</v>
      </c>
      <c r="F321" t="inlineStr">
        <is>
          <t>HALLANDS LÄN</t>
        </is>
      </c>
      <c r="G321" t="inlineStr">
        <is>
          <t>HALMSTAD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45259</v>
      </c>
      <c r="E322" s="1" t="n">
        <v>46237</v>
      </c>
      <c r="F322" t="inlineStr">
        <is>
          <t>HALLANDS LÄN</t>
        </is>
      </c>
      <c r="G322" t="inlineStr">
        <is>
          <t>HALMSTAD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46237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46237</v>
      </c>
      <c r="F324" t="inlineStr">
        <is>
          <t>HALLANDS LÄN</t>
        </is>
      </c>
      <c r="G324" t="inlineStr">
        <is>
          <t>HALMSTAD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46237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46237</v>
      </c>
      <c r="F326" t="inlineStr">
        <is>
          <t>HALLANDS LÄN</t>
        </is>
      </c>
      <c r="G326" t="inlineStr">
        <is>
          <t>HALMSTAD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46237</v>
      </c>
      <c r="F327" t="inlineStr">
        <is>
          <t>HALLANDS LÄN</t>
        </is>
      </c>
      <c r="G327" t="inlineStr">
        <is>
          <t>HALMSTAD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46176</v>
      </c>
      <c r="E328" s="1" t="n">
        <v>46237</v>
      </c>
      <c r="F328" t="inlineStr">
        <is>
          <t>HALLANDS LÄN</t>
        </is>
      </c>
      <c r="G328" t="inlineStr">
        <is>
          <t>HALMSTAD</t>
        </is>
      </c>
      <c r="I328" t="n">
        <v>17.8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45589</v>
      </c>
      <c r="E329" s="1" t="n">
        <v>46237</v>
      </c>
      <c r="F329" t="inlineStr">
        <is>
          <t>HALLANDS LÄN</t>
        </is>
      </c>
      <c r="G329" t="inlineStr">
        <is>
          <t>HALMSTAD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74038-2021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44557</v>
      </c>
      <c r="E330" s="1" t="n">
        <v>46237</v>
      </c>
      <c r="F330" t="inlineStr">
        <is>
          <t>HALLANDS LÄN</t>
        </is>
      </c>
      <c r="G330" t="inlineStr">
        <is>
          <t>HALMSTAD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46237</v>
      </c>
      <c r="F331" t="inlineStr">
        <is>
          <t>HALLANDS LÄN</t>
        </is>
      </c>
      <c r="G331" t="inlineStr">
        <is>
          <t>HALMSTAD</t>
        </is>
      </c>
      <c r="I331" t="n">
        <v>12.6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46237</v>
      </c>
      <c r="F332" t="inlineStr">
        <is>
          <t>HALLANDS LÄN</t>
        </is>
      </c>
      <c r="G332" t="inlineStr">
        <is>
          <t>HALMSTAD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46176</v>
      </c>
      <c r="E333" s="1" t="n">
        <v>46237</v>
      </c>
      <c r="F333" t="inlineStr">
        <is>
          <t>HALLANDS LÄN</t>
        </is>
      </c>
      <c r="G333" t="inlineStr">
        <is>
          <t>HALMSTAD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45065</v>
      </c>
      <c r="E334" s="1" t="n">
        <v>46237</v>
      </c>
      <c r="F334" t="inlineStr">
        <is>
          <t>HALLANDS LÄN</t>
        </is>
      </c>
      <c r="G334" t="inlineStr">
        <is>
          <t>HALMSTAD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46237</v>
      </c>
      <c r="F335" t="inlineStr">
        <is>
          <t>HALLANDS LÄN</t>
        </is>
      </c>
      <c r="G335" t="inlineStr">
        <is>
          <t>HALMSTAD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46237</v>
      </c>
      <c r="F336" t="inlineStr">
        <is>
          <t>HALLANDS LÄN</t>
        </is>
      </c>
      <c r="G336" t="inlineStr">
        <is>
          <t>HALMSTAD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46237</v>
      </c>
      <c r="F337" t="inlineStr">
        <is>
          <t>HALLANDS LÄN</t>
        </is>
      </c>
      <c r="G337" t="inlineStr">
        <is>
          <t>HALMSTAD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46237</v>
      </c>
      <c r="F338" t="inlineStr">
        <is>
          <t>HALLANDS LÄN</t>
        </is>
      </c>
      <c r="G338" t="inlineStr">
        <is>
          <t>HALMSTAD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46237</v>
      </c>
      <c r="F339" t="inlineStr">
        <is>
          <t>HALLANDS LÄN</t>
        </is>
      </c>
      <c r="G339" t="inlineStr">
        <is>
          <t>HALMSTAD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45156</v>
      </c>
      <c r="E340" s="1" t="n">
        <v>46237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46237</v>
      </c>
      <c r="F341" t="inlineStr">
        <is>
          <t>HALLANDS LÄN</t>
        </is>
      </c>
      <c r="G341" t="inlineStr">
        <is>
          <t>HALMSTAD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46237</v>
      </c>
      <c r="F342" t="inlineStr">
        <is>
          <t>HALLANDS LÄN</t>
        </is>
      </c>
      <c r="G342" t="inlineStr">
        <is>
          <t>HALMSTAD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46237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46237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46237</v>
      </c>
      <c r="F345" t="inlineStr">
        <is>
          <t>HALLANDS LÄN</t>
        </is>
      </c>
      <c r="G345" t="inlineStr">
        <is>
          <t>HALMSTAD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40513-2024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46237</v>
      </c>
      <c r="F346" t="inlineStr">
        <is>
          <t>HALLANDS LÄN</t>
        </is>
      </c>
      <c r="G346" t="inlineStr">
        <is>
          <t>HALMSTAD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46237</v>
      </c>
      <c r="F347" t="inlineStr">
        <is>
          <t>HALLANDS LÄN</t>
        </is>
      </c>
      <c r="G347" t="inlineStr">
        <is>
          <t>HALMSTAD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46237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46237</v>
      </c>
      <c r="F349" t="inlineStr">
        <is>
          <t>HALLANDS LÄN</t>
        </is>
      </c>
      <c r="G349" t="inlineStr">
        <is>
          <t>HALMSTAD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45588</v>
      </c>
      <c r="E350" s="1" t="n">
        <v>46237</v>
      </c>
      <c r="F350" t="inlineStr">
        <is>
          <t>HALLANDS LÄN</t>
        </is>
      </c>
      <c r="G350" t="inlineStr">
        <is>
          <t>HALMSTAD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12009-2026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46237</v>
      </c>
      <c r="F351" t="inlineStr">
        <is>
          <t>HALLANDS LÄN</t>
        </is>
      </c>
      <c r="G351" t="inlineStr">
        <is>
          <t>HALMSTAD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46066</v>
      </c>
      <c r="E352" s="1" t="n">
        <v>46237</v>
      </c>
      <c r="F352" t="inlineStr">
        <is>
          <t>HALLANDS LÄN</t>
        </is>
      </c>
      <c r="G352" t="inlineStr">
        <is>
          <t>HALMSTAD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45348</v>
      </c>
      <c r="E353" s="1" t="n">
        <v>46237</v>
      </c>
      <c r="F353" t="inlineStr">
        <is>
          <t>HALLANDS LÄN</t>
        </is>
      </c>
      <c r="G353" t="inlineStr">
        <is>
          <t>HALMSTAD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40735-2023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46237</v>
      </c>
      <c r="F354" t="inlineStr">
        <is>
          <t>HALLANDS LÄN</t>
        </is>
      </c>
      <c r="G354" t="inlineStr">
        <is>
          <t>HALMSTAD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27197-2026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46237</v>
      </c>
      <c r="F355" t="inlineStr">
        <is>
          <t>HALLANDS LÄN</t>
        </is>
      </c>
      <c r="G355" t="inlineStr">
        <is>
          <t>HALMSTAD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46237</v>
      </c>
      <c r="F356" t="inlineStr">
        <is>
          <t>HALLANDS LÄN</t>
        </is>
      </c>
      <c r="G356" t="inlineStr">
        <is>
          <t>HALMSTAD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44594</v>
      </c>
      <c r="E357" s="1" t="n">
        <v>46237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46237</v>
      </c>
      <c r="F358" t="inlineStr">
        <is>
          <t>HALLANDS LÄN</t>
        </is>
      </c>
      <c r="G358" t="inlineStr">
        <is>
          <t>HALMSTAD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44628</v>
      </c>
      <c r="E359" s="1" t="n">
        <v>46237</v>
      </c>
      <c r="F359" t="inlineStr">
        <is>
          <t>HALLANDS LÄN</t>
        </is>
      </c>
      <c r="G359" t="inlineStr">
        <is>
          <t>HALMSTAD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46237</v>
      </c>
      <c r="F360" t="inlineStr">
        <is>
          <t>HALLANDS LÄN</t>
        </is>
      </c>
      <c r="G360" t="inlineStr">
        <is>
          <t>HALMSTAD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27189-2026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46237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46237</v>
      </c>
      <c r="F362" t="inlineStr">
        <is>
          <t>HALLANDS LÄN</t>
        </is>
      </c>
      <c r="G362" t="inlineStr">
        <is>
          <t>HALMSTAD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46237</v>
      </c>
      <c r="F363" t="inlineStr">
        <is>
          <t>HALLANDS LÄN</t>
        </is>
      </c>
      <c r="G363" t="inlineStr">
        <is>
          <t>HALMSTAD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46237</v>
      </c>
      <c r="F364" t="inlineStr">
        <is>
          <t>HALLANDS LÄN</t>
        </is>
      </c>
      <c r="G364" t="inlineStr">
        <is>
          <t>HALMSTAD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46237</v>
      </c>
      <c r="F365" t="inlineStr">
        <is>
          <t>HALLANDS LÄN</t>
        </is>
      </c>
      <c r="G365" t="inlineStr">
        <is>
          <t>HALMSTAD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46237</v>
      </c>
      <c r="F366" t="inlineStr">
        <is>
          <t>HALLANDS LÄN</t>
        </is>
      </c>
      <c r="G366" t="inlineStr">
        <is>
          <t>HALMSTAD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46237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46237</v>
      </c>
      <c r="F368" t="inlineStr">
        <is>
          <t>HALLANDS LÄN</t>
        </is>
      </c>
      <c r="G368" t="inlineStr">
        <is>
          <t>HALMSTAD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46059</v>
      </c>
      <c r="E369" s="1" t="n">
        <v>46237</v>
      </c>
      <c r="F369" t="inlineStr">
        <is>
          <t>HALLANDS LÄN</t>
        </is>
      </c>
      <c r="G369" t="inlineStr">
        <is>
          <t>HALMSTAD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46237</v>
      </c>
      <c r="F370" t="inlineStr">
        <is>
          <t>HALLANDS LÄN</t>
        </is>
      </c>
      <c r="G370" t="inlineStr">
        <is>
          <t>HALMSTAD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46237</v>
      </c>
      <c r="F371" t="inlineStr">
        <is>
          <t>HALLANDS LÄN</t>
        </is>
      </c>
      <c r="G371" t="inlineStr">
        <is>
          <t>HALMSTAD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46237</v>
      </c>
      <c r="F372" t="inlineStr">
        <is>
          <t>HALLANDS LÄN</t>
        </is>
      </c>
      <c r="G372" t="inlineStr">
        <is>
          <t>HALMSTAD</t>
        </is>
      </c>
      <c r="H372" t="inlineStr">
        <is>
          <t>Kommuner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46237</v>
      </c>
      <c r="F373" t="inlineStr">
        <is>
          <t>HALLANDS LÄN</t>
        </is>
      </c>
      <c r="G373" t="inlineStr">
        <is>
          <t>HALMSTAD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46237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45660</v>
      </c>
      <c r="E375" s="1" t="n">
        <v>46237</v>
      </c>
      <c r="F375" t="inlineStr">
        <is>
          <t>HALLANDS LÄN</t>
        </is>
      </c>
      <c r="G375" t="inlineStr">
        <is>
          <t>HALMSTAD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46237</v>
      </c>
      <c r="F376" t="inlineStr">
        <is>
          <t>HALLANDS LÄN</t>
        </is>
      </c>
      <c r="G376" t="inlineStr">
        <is>
          <t>HALMSTAD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46237</v>
      </c>
      <c r="F377" t="inlineStr">
        <is>
          <t>HALLANDS LÄN</t>
        </is>
      </c>
      <c r="G377" t="inlineStr">
        <is>
          <t>HALMSTAD</t>
        </is>
      </c>
      <c r="H377" t="inlineStr">
        <is>
          <t>Kommuner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40385-2025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45895</v>
      </c>
      <c r="E378" s="1" t="n">
        <v>46237</v>
      </c>
      <c r="F378" t="inlineStr">
        <is>
          <t>HALLANDS LÄN</t>
        </is>
      </c>
      <c r="G378" t="inlineStr">
        <is>
          <t>HALMSTAD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55078-2025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46237</v>
      </c>
      <c r="F379" t="inlineStr">
        <is>
          <t>HALLANDS LÄN</t>
        </is>
      </c>
      <c r="G379" t="inlineStr">
        <is>
          <t>HALMSTAD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45712</v>
      </c>
      <c r="E380" s="1" t="n">
        <v>46237</v>
      </c>
      <c r="F380" t="inlineStr">
        <is>
          <t>HALLANDS LÄN</t>
        </is>
      </c>
      <c r="G380" t="inlineStr">
        <is>
          <t>HALMSTAD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46237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40741-2023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46237</v>
      </c>
      <c r="F382" t="inlineStr">
        <is>
          <t>HALLANDS LÄN</t>
        </is>
      </c>
      <c r="G382" t="inlineStr">
        <is>
          <t>HALMSTAD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46237</v>
      </c>
      <c r="F383" t="inlineStr">
        <is>
          <t>HALLANDS LÄN</t>
        </is>
      </c>
      <c r="G383" t="inlineStr">
        <is>
          <t>HALMSTAD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45681</v>
      </c>
      <c r="E384" s="1" t="n">
        <v>46237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45681</v>
      </c>
      <c r="E385" s="1" t="n">
        <v>46237</v>
      </c>
      <c r="F385" t="inlineStr">
        <is>
          <t>HALLANDS LÄN</t>
        </is>
      </c>
      <c r="G385" t="inlineStr">
        <is>
          <t>HALMSTAD</t>
        </is>
      </c>
      <c r="H385" t="inlineStr">
        <is>
          <t>Kommuner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66730-2021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44520</v>
      </c>
      <c r="E386" s="1" t="n">
        <v>46237</v>
      </c>
      <c r="F386" t="inlineStr">
        <is>
          <t>HALLANDS LÄN</t>
        </is>
      </c>
      <c r="G386" t="inlineStr">
        <is>
          <t>HALMSTAD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46237</v>
      </c>
      <c r="F387" t="inlineStr">
        <is>
          <t>HALLANDS LÄN</t>
        </is>
      </c>
      <c r="G387" t="inlineStr">
        <is>
          <t>HALMSTAD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46237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46237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46237</v>
      </c>
      <c r="F390" t="inlineStr">
        <is>
          <t>HALLANDS LÄN</t>
        </is>
      </c>
      <c r="G390" t="inlineStr">
        <is>
          <t>HALMSTAD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46237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44721</v>
      </c>
      <c r="E392" s="1" t="n">
        <v>46237</v>
      </c>
      <c r="F392" t="inlineStr">
        <is>
          <t>HALLANDS LÄN</t>
        </is>
      </c>
      <c r="G392" t="inlineStr">
        <is>
          <t>HALMSTAD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45636</v>
      </c>
      <c r="E393" s="1" t="n">
        <v>46237</v>
      </c>
      <c r="F393" t="inlineStr">
        <is>
          <t>HALLANDS LÄN</t>
        </is>
      </c>
      <c r="G393" t="inlineStr">
        <is>
          <t>HALMSTAD</t>
        </is>
      </c>
      <c r="H393" t="inlineStr">
        <is>
          <t>Kommuner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58983-2024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45636</v>
      </c>
      <c r="E394" s="1" t="n">
        <v>46237</v>
      </c>
      <c r="F394" t="inlineStr">
        <is>
          <t>HALLANDS LÄN</t>
        </is>
      </c>
      <c r="G394" t="inlineStr">
        <is>
          <t>HALMSTAD</t>
        </is>
      </c>
      <c r="H394" t="inlineStr">
        <is>
          <t>Kommuner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46237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44662</v>
      </c>
      <c r="E396" s="1" t="n">
        <v>46237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45329</v>
      </c>
      <c r="E397" s="1" t="n">
        <v>46237</v>
      </c>
      <c r="F397" t="inlineStr">
        <is>
          <t>HALLANDS LÄN</t>
        </is>
      </c>
      <c r="G397" t="inlineStr">
        <is>
          <t>HALMSTAD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15550-2024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45401</v>
      </c>
      <c r="E398" s="1" t="n">
        <v>46237</v>
      </c>
      <c r="F398" t="inlineStr">
        <is>
          <t>HALLANDS LÄN</t>
        </is>
      </c>
      <c r="G398" t="inlineStr">
        <is>
          <t>HALMSTAD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46237</v>
      </c>
      <c r="F399" t="inlineStr">
        <is>
          <t>HALLANDS LÄN</t>
        </is>
      </c>
      <c r="G399" t="inlineStr">
        <is>
          <t>HALMSTAD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46237</v>
      </c>
      <c r="F400" t="inlineStr">
        <is>
          <t>HALLANDS LÄN</t>
        </is>
      </c>
      <c r="G400" t="inlineStr">
        <is>
          <t>HALMSTAD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44722</v>
      </c>
      <c r="E401" s="1" t="n">
        <v>46237</v>
      </c>
      <c r="F401" t="inlineStr">
        <is>
          <t>HALLANDS LÄN</t>
        </is>
      </c>
      <c r="G401" t="inlineStr">
        <is>
          <t>HALMSTAD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45358</v>
      </c>
      <c r="E402" s="1" t="n">
        <v>46237</v>
      </c>
      <c r="F402" t="inlineStr">
        <is>
          <t>HALLANDS LÄN</t>
        </is>
      </c>
      <c r="G402" t="inlineStr">
        <is>
          <t>HALMSTAD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46237</v>
      </c>
      <c r="F403" t="inlineStr">
        <is>
          <t>HALLANDS LÄN</t>
        </is>
      </c>
      <c r="G403" t="inlineStr">
        <is>
          <t>HALMSTAD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46237</v>
      </c>
      <c r="F404" t="inlineStr">
        <is>
          <t>HALLANDS LÄN</t>
        </is>
      </c>
      <c r="G404" t="inlineStr">
        <is>
          <t>HALMSTAD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46237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46237</v>
      </c>
      <c r="F406" t="inlineStr">
        <is>
          <t>HALLANDS LÄN</t>
        </is>
      </c>
      <c r="G406" t="inlineStr">
        <is>
          <t>HALMSTAD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45209</v>
      </c>
      <c r="E407" s="1" t="n">
        <v>46237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46237</v>
      </c>
      <c r="F408" t="inlineStr">
        <is>
          <t>HALLANDS LÄN</t>
        </is>
      </c>
      <c r="G408" t="inlineStr">
        <is>
          <t>HALMSTAD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45183</v>
      </c>
      <c r="E409" s="1" t="n">
        <v>46237</v>
      </c>
      <c r="F409" t="inlineStr">
        <is>
          <t>HALLANDS LÄN</t>
        </is>
      </c>
      <c r="G409" t="inlineStr">
        <is>
          <t>HALMSTAD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46237</v>
      </c>
      <c r="F410" t="inlineStr">
        <is>
          <t>HALLANDS LÄN</t>
        </is>
      </c>
      <c r="G410" t="inlineStr">
        <is>
          <t>HALMSTAD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46237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46237</v>
      </c>
      <c r="F412" t="inlineStr">
        <is>
          <t>HALLANDS LÄN</t>
        </is>
      </c>
      <c r="G412" t="inlineStr">
        <is>
          <t>HALMSTAD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46237</v>
      </c>
      <c r="F413" t="inlineStr">
        <is>
          <t>HALLANDS LÄN</t>
        </is>
      </c>
      <c r="G413" t="inlineStr">
        <is>
          <t>HALMSTAD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46237</v>
      </c>
      <c r="F414" t="inlineStr">
        <is>
          <t>HALLANDS LÄN</t>
        </is>
      </c>
      <c r="G414" t="inlineStr">
        <is>
          <t>HALMSTAD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45183</v>
      </c>
      <c r="E415" s="1" t="n">
        <v>46237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46237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46237</v>
      </c>
      <c r="F417" t="inlineStr">
        <is>
          <t>HALLANDS LÄN</t>
        </is>
      </c>
      <c r="G417" t="inlineStr">
        <is>
          <t>HALMSTAD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46237</v>
      </c>
      <c r="F418" t="inlineStr">
        <is>
          <t>HALLANDS LÄN</t>
        </is>
      </c>
      <c r="G418" t="inlineStr">
        <is>
          <t>HALMSTAD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46237</v>
      </c>
      <c r="F419" t="inlineStr">
        <is>
          <t>HALLANDS LÄN</t>
        </is>
      </c>
      <c r="G419" t="inlineStr">
        <is>
          <t>HALMSTAD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46237</v>
      </c>
      <c r="F420" t="inlineStr">
        <is>
          <t>HALLANDS LÄN</t>
        </is>
      </c>
      <c r="G420" t="inlineStr">
        <is>
          <t>HALMSTAD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46237</v>
      </c>
      <c r="F421" t="inlineStr">
        <is>
          <t>HALLANDS LÄN</t>
        </is>
      </c>
      <c r="G421" t="inlineStr">
        <is>
          <t>HALMSTAD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46237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21946-2024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45443</v>
      </c>
      <c r="E423" s="1" t="n">
        <v>46237</v>
      </c>
      <c r="F423" t="inlineStr">
        <is>
          <t>HALLANDS LÄN</t>
        </is>
      </c>
      <c r="G423" t="inlineStr">
        <is>
          <t>HALMSTAD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44910</v>
      </c>
      <c r="E424" s="1" t="n">
        <v>46237</v>
      </c>
      <c r="F424" t="inlineStr">
        <is>
          <t>HALLANDS LÄN</t>
        </is>
      </c>
      <c r="G424" t="inlineStr">
        <is>
          <t>HALMSTAD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46237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46237</v>
      </c>
      <c r="F426" t="inlineStr">
        <is>
          <t>HALLANDS LÄN</t>
        </is>
      </c>
      <c r="G426" t="inlineStr">
        <is>
          <t>HALMSTAD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46237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46237</v>
      </c>
      <c r="F428" t="inlineStr">
        <is>
          <t>HALLANDS LÄN</t>
        </is>
      </c>
      <c r="G428" t="inlineStr">
        <is>
          <t>HALMSTAD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22149-2022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44712</v>
      </c>
      <c r="E429" s="1" t="n">
        <v>46237</v>
      </c>
      <c r="F429" t="inlineStr">
        <is>
          <t>HALLANDS LÄN</t>
        </is>
      </c>
      <c r="G429" t="inlineStr">
        <is>
          <t>HALMSTAD</t>
        </is>
      </c>
      <c r="I429" t="n">
        <v>9.699999999999999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46237</v>
      </c>
      <c r="F430" t="inlineStr">
        <is>
          <t>HALLANDS LÄN</t>
        </is>
      </c>
      <c r="G430" t="inlineStr">
        <is>
          <t>HALMSTAD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46237</v>
      </c>
      <c r="F431" t="inlineStr">
        <is>
          <t>HALLANDS LÄN</t>
        </is>
      </c>
      <c r="G431" t="inlineStr">
        <is>
          <t>HALMSTAD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45729</v>
      </c>
      <c r="E432" s="1" t="n">
        <v>46237</v>
      </c>
      <c r="F432" t="inlineStr">
        <is>
          <t>HALLANDS LÄN</t>
        </is>
      </c>
      <c r="G432" t="inlineStr">
        <is>
          <t>HALMSTAD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46237</v>
      </c>
      <c r="F433" t="inlineStr">
        <is>
          <t>HALLANDS LÄN</t>
        </is>
      </c>
      <c r="G433" t="inlineStr">
        <is>
          <t>HALMSTAD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60394-2023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45259</v>
      </c>
      <c r="E434" s="1" t="n">
        <v>46237</v>
      </c>
      <c r="F434" t="inlineStr">
        <is>
          <t>HALLANDS LÄN</t>
        </is>
      </c>
      <c r="G434" t="inlineStr">
        <is>
          <t>HALMSTAD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41951-2022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44830</v>
      </c>
      <c r="E435" s="1" t="n">
        <v>46237</v>
      </c>
      <c r="F435" t="inlineStr">
        <is>
          <t>HALLANDS LÄN</t>
        </is>
      </c>
      <c r="G435" t="inlineStr">
        <is>
          <t>HALMSTAD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45279</v>
      </c>
      <c r="E436" s="1" t="n">
        <v>46237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46237</v>
      </c>
      <c r="F437" t="inlineStr">
        <is>
          <t>HALLANDS LÄN</t>
        </is>
      </c>
      <c r="G437" t="inlineStr">
        <is>
          <t>HALMSTAD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46237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46237</v>
      </c>
      <c r="F439" t="inlineStr">
        <is>
          <t>HALLANDS LÄN</t>
        </is>
      </c>
      <c r="G439" t="inlineStr">
        <is>
          <t>HALMSTAD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45747</v>
      </c>
      <c r="E440" s="1" t="n">
        <v>46237</v>
      </c>
      <c r="F440" t="inlineStr">
        <is>
          <t>HALLANDS LÄN</t>
        </is>
      </c>
      <c r="G440" t="inlineStr">
        <is>
          <t>HALMSTAD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51190-2022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44868</v>
      </c>
      <c r="E441" s="1" t="n">
        <v>46237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45694</v>
      </c>
      <c r="E442" s="1" t="n">
        <v>46237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45627</v>
      </c>
      <c r="E443" s="1" t="n">
        <v>46237</v>
      </c>
      <c r="F443" t="inlineStr">
        <is>
          <t>HALLANDS LÄN</t>
        </is>
      </c>
      <c r="G443" t="inlineStr">
        <is>
          <t>HALMSTAD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46237</v>
      </c>
      <c r="F444" t="inlineStr">
        <is>
          <t>HALLANDS LÄN</t>
        </is>
      </c>
      <c r="G444" t="inlineStr">
        <is>
          <t>HALMSTAD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44677</v>
      </c>
      <c r="E445" s="1" t="n">
        <v>46237</v>
      </c>
      <c r="F445" t="inlineStr">
        <is>
          <t>HALLANDS LÄN</t>
        </is>
      </c>
      <c r="G445" t="inlineStr">
        <is>
          <t>HALMSTAD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46237</v>
      </c>
      <c r="F446" t="inlineStr">
        <is>
          <t>HALLANDS LÄN</t>
        </is>
      </c>
      <c r="G446" t="inlineStr">
        <is>
          <t>HALMSTAD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46237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45386</v>
      </c>
      <c r="E448" s="1" t="n">
        <v>46237</v>
      </c>
      <c r="F448" t="inlineStr">
        <is>
          <t>HALLANDS LÄN</t>
        </is>
      </c>
      <c r="G448" t="inlineStr">
        <is>
          <t>HALMSTAD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46237</v>
      </c>
      <c r="F449" t="inlineStr">
        <is>
          <t>HALLANDS LÄN</t>
        </is>
      </c>
      <c r="G449" t="inlineStr">
        <is>
          <t>HALMSTAD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45450</v>
      </c>
      <c r="E450" s="1" t="n">
        <v>46237</v>
      </c>
      <c r="F450" t="inlineStr">
        <is>
          <t>HALLANDS LÄN</t>
        </is>
      </c>
      <c r="G450" t="inlineStr">
        <is>
          <t>HALMSTAD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45716</v>
      </c>
      <c r="E451" s="1" t="n">
        <v>46237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46237</v>
      </c>
      <c r="F452" t="inlineStr">
        <is>
          <t>HALLANDS LÄN</t>
        </is>
      </c>
      <c r="G452" t="inlineStr">
        <is>
          <t>HALMSTAD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46237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46237</v>
      </c>
      <c r="F454" t="inlineStr">
        <is>
          <t>HALLANDS LÄN</t>
        </is>
      </c>
      <c r="G454" t="inlineStr">
        <is>
          <t>HALMSTAD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45797</v>
      </c>
      <c r="E455" s="1" t="n">
        <v>46237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45330</v>
      </c>
      <c r="E456" s="1" t="n">
        <v>46237</v>
      </c>
      <c r="F456" t="inlineStr">
        <is>
          <t>HALLANDS LÄN</t>
        </is>
      </c>
      <c r="G456" t="inlineStr">
        <is>
          <t>HALMSTAD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46237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45359</v>
      </c>
      <c r="E458" s="1" t="n">
        <v>46237</v>
      </c>
      <c r="F458" t="inlineStr">
        <is>
          <t>HALLANDS LÄN</t>
        </is>
      </c>
      <c r="G458" t="inlineStr">
        <is>
          <t>HALMSTAD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45817</v>
      </c>
      <c r="E459" s="1" t="n">
        <v>46237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46237</v>
      </c>
      <c r="F460" t="inlineStr">
        <is>
          <t>HALLANDS LÄN</t>
        </is>
      </c>
      <c r="G460" t="inlineStr">
        <is>
          <t>HALMSTAD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46237</v>
      </c>
      <c r="F461" t="inlineStr">
        <is>
          <t>HALLANDS LÄN</t>
        </is>
      </c>
      <c r="G461" t="inlineStr">
        <is>
          <t>HALMSTAD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46237</v>
      </c>
      <c r="F462" t="inlineStr">
        <is>
          <t>HALLANDS LÄN</t>
        </is>
      </c>
      <c r="G462" t="inlineStr">
        <is>
          <t>HALMSTAD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46237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46237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46237</v>
      </c>
      <c r="F465" t="inlineStr">
        <is>
          <t>HALLANDS LÄN</t>
        </is>
      </c>
      <c r="G465" t="inlineStr">
        <is>
          <t>HALMSTAD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46237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11.2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45831</v>
      </c>
      <c r="E467" s="1" t="n">
        <v>46237</v>
      </c>
      <c r="F467" t="inlineStr">
        <is>
          <t>HALLANDS LÄN</t>
        </is>
      </c>
      <c r="G467" t="inlineStr">
        <is>
          <t>HALMSTAD</t>
        </is>
      </c>
      <c r="I467" t="n">
        <v>9.1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46237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33688-2025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46237</v>
      </c>
      <c r="F469" t="inlineStr">
        <is>
          <t>HALLANDS LÄN</t>
        </is>
      </c>
      <c r="G469" t="inlineStr">
        <is>
          <t>HALMSTAD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45841</v>
      </c>
      <c r="E470" s="1" t="n">
        <v>46237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45846</v>
      </c>
      <c r="E471" s="1" t="n">
        <v>46237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23785-2025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46237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45708</v>
      </c>
      <c r="E473" s="1" t="n">
        <v>46237</v>
      </c>
      <c r="F473" t="inlineStr">
        <is>
          <t>HALLANDS LÄN</t>
        </is>
      </c>
      <c r="G473" t="inlineStr">
        <is>
          <t>HALMSTAD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45681</v>
      </c>
      <c r="E474" s="1" t="n">
        <v>46237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45854</v>
      </c>
      <c r="E475" s="1" t="n">
        <v>46237</v>
      </c>
      <c r="F475" t="inlineStr">
        <is>
          <t>HALLANDS LÄN</t>
        </is>
      </c>
      <c r="G475" t="inlineStr">
        <is>
          <t>HALMSTAD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45856</v>
      </c>
      <c r="E476" s="1" t="n">
        <v>46237</v>
      </c>
      <c r="F476" t="inlineStr">
        <is>
          <t>HALLANDS LÄN</t>
        </is>
      </c>
      <c r="G476" t="inlineStr">
        <is>
          <t>HALMSTAD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46237</v>
      </c>
      <c r="F477" t="inlineStr">
        <is>
          <t>HALLANDS LÄN</t>
        </is>
      </c>
      <c r="G477" t="inlineStr">
        <is>
          <t>HALMSTAD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45741</v>
      </c>
      <c r="E478" s="1" t="n">
        <v>46237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45493</v>
      </c>
      <c r="E479" s="1" t="n">
        <v>46237</v>
      </c>
      <c r="F479" t="inlineStr">
        <is>
          <t>HALLANDS LÄN</t>
        </is>
      </c>
      <c r="G479" t="inlineStr">
        <is>
          <t>HALMSTAD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61775-2022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46237</v>
      </c>
      <c r="F480" t="inlineStr">
        <is>
          <t>HALLANDS LÄN</t>
        </is>
      </c>
      <c r="G480" t="inlineStr">
        <is>
          <t>HALMSTAD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61783-2022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44917</v>
      </c>
      <c r="E481" s="1" t="n">
        <v>46237</v>
      </c>
      <c r="F481" t="inlineStr">
        <is>
          <t>HALLANDS LÄN</t>
        </is>
      </c>
      <c r="G481" t="inlineStr">
        <is>
          <t>HALMSTAD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45099</v>
      </c>
      <c r="E482" s="1" t="n">
        <v>46237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12762-2023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45001</v>
      </c>
      <c r="E483" s="1" t="n">
        <v>46237</v>
      </c>
      <c r="F483" t="inlineStr">
        <is>
          <t>HALLANDS LÄN</t>
        </is>
      </c>
      <c r="G483" t="inlineStr">
        <is>
          <t>HALMSTAD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46237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39274-2022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44817</v>
      </c>
      <c r="E485" s="1" t="n">
        <v>46237</v>
      </c>
      <c r="F485" t="inlineStr">
        <is>
          <t>HALLANDS LÄN</t>
        </is>
      </c>
      <c r="G485" t="inlineStr">
        <is>
          <t>HALMSTAD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53109-2024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45611</v>
      </c>
      <c r="E486" s="1" t="n">
        <v>46237</v>
      </c>
      <c r="F486" t="inlineStr">
        <is>
          <t>HALLANDS LÄN</t>
        </is>
      </c>
      <c r="G486" t="inlineStr">
        <is>
          <t>HALMSTAD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45736</v>
      </c>
      <c r="E487" s="1" t="n">
        <v>46237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45692</v>
      </c>
      <c r="E488" s="1" t="n">
        <v>46237</v>
      </c>
      <c r="F488" t="inlineStr">
        <is>
          <t>HALLANDS LÄN</t>
        </is>
      </c>
      <c r="G488" t="inlineStr">
        <is>
          <t>HALMSTAD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46237</v>
      </c>
      <c r="F489" t="inlineStr">
        <is>
          <t>HALLANDS LÄN</t>
        </is>
      </c>
      <c r="G489" t="inlineStr">
        <is>
          <t>HALMSTAD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44879</v>
      </c>
      <c r="E490" s="1" t="n">
        <v>46237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46237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46237</v>
      </c>
      <c r="F492" t="inlineStr">
        <is>
          <t>HALLANDS LÄN</t>
        </is>
      </c>
      <c r="G492" t="inlineStr">
        <is>
          <t>HALMSTAD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46237</v>
      </c>
      <c r="F493" t="inlineStr">
        <is>
          <t>HALLANDS LÄN</t>
        </is>
      </c>
      <c r="G493" t="inlineStr">
        <is>
          <t>HALMSTAD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44699</v>
      </c>
      <c r="E494" s="1" t="n">
        <v>46237</v>
      </c>
      <c r="F494" t="inlineStr">
        <is>
          <t>HALLANDS LÄN</t>
        </is>
      </c>
      <c r="G494" t="inlineStr">
        <is>
          <t>HALMSTAD</t>
        </is>
      </c>
      <c r="H494" t="inlineStr">
        <is>
          <t>Kommuner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46237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46237</v>
      </c>
      <c r="F496" t="inlineStr">
        <is>
          <t>HALLANDS LÄN</t>
        </is>
      </c>
      <c r="G496" t="inlineStr">
        <is>
          <t>HALMSTAD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45299</v>
      </c>
      <c r="E497" s="1" t="n">
        <v>46237</v>
      </c>
      <c r="F497" t="inlineStr">
        <is>
          <t>HALLANDS LÄN</t>
        </is>
      </c>
      <c r="G497" t="inlineStr">
        <is>
          <t>HALMSTAD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45311</v>
      </c>
      <c r="E498" s="1" t="n">
        <v>46237</v>
      </c>
      <c r="F498" t="inlineStr">
        <is>
          <t>HALLANDS LÄN</t>
        </is>
      </c>
      <c r="G498" t="inlineStr">
        <is>
          <t>HALMSTAD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44621</v>
      </c>
      <c r="E499" s="1" t="n">
        <v>46237</v>
      </c>
      <c r="F499" t="inlineStr">
        <is>
          <t>HALLANDS LÄN</t>
        </is>
      </c>
      <c r="G499" t="inlineStr">
        <is>
          <t>HALMSTAD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45000</v>
      </c>
      <c r="E500" s="1" t="n">
        <v>46237</v>
      </c>
      <c r="F500" t="inlineStr">
        <is>
          <t>HALLANDS LÄN</t>
        </is>
      </c>
      <c r="G500" t="inlineStr">
        <is>
          <t>HALMSTAD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13532-2023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45006</v>
      </c>
      <c r="E501" s="1" t="n">
        <v>46237</v>
      </c>
      <c r="F501" t="inlineStr">
        <is>
          <t>HALLANDS LÄN</t>
        </is>
      </c>
      <c r="G501" t="inlineStr">
        <is>
          <t>HALMSTAD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53126-2023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45229</v>
      </c>
      <c r="E502" s="1" t="n">
        <v>46237</v>
      </c>
      <c r="F502" t="inlineStr">
        <is>
          <t>HALLANDS LÄN</t>
        </is>
      </c>
      <c r="G502" t="inlineStr">
        <is>
          <t>HALMSTAD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46237</v>
      </c>
      <c r="F503" t="inlineStr">
        <is>
          <t>HALLANDS LÄN</t>
        </is>
      </c>
      <c r="G503" t="inlineStr">
        <is>
          <t>HALMSTAD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46237</v>
      </c>
      <c r="F504" t="inlineStr">
        <is>
          <t>HALLANDS LÄN</t>
        </is>
      </c>
      <c r="G504" t="inlineStr">
        <is>
          <t>HALMSTAD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45357</v>
      </c>
      <c r="E505" s="1" t="n">
        <v>46237</v>
      </c>
      <c r="F505" t="inlineStr">
        <is>
          <t>HALLANDS LÄN</t>
        </is>
      </c>
      <c r="G505" t="inlineStr">
        <is>
          <t>HALMSTAD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46237</v>
      </c>
      <c r="F506" t="inlineStr">
        <is>
          <t>HALLANDS LÄN</t>
        </is>
      </c>
      <c r="G506" t="inlineStr">
        <is>
          <t>HALMSTAD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45579</v>
      </c>
      <c r="E507" s="1" t="n">
        <v>46237</v>
      </c>
      <c r="F507" t="inlineStr">
        <is>
          <t>HALLANDS LÄN</t>
        </is>
      </c>
      <c r="G507" t="inlineStr">
        <is>
          <t>HALMSTAD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45079</v>
      </c>
      <c r="E508" s="1" t="n">
        <v>46237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45750</v>
      </c>
      <c r="E509" s="1" t="n">
        <v>46237</v>
      </c>
      <c r="F509" t="inlineStr">
        <is>
          <t>HALLANDS LÄN</t>
        </is>
      </c>
      <c r="G509" t="inlineStr">
        <is>
          <t>HALMSTAD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45874</v>
      </c>
      <c r="E510" s="1" t="n">
        <v>46237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45581</v>
      </c>
      <c r="E511" s="1" t="n">
        <v>46237</v>
      </c>
      <c r="F511" t="inlineStr">
        <is>
          <t>HALLANDS LÄN</t>
        </is>
      </c>
      <c r="G511" t="inlineStr">
        <is>
          <t>HALMSTAD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46237</v>
      </c>
      <c r="F512" t="inlineStr">
        <is>
          <t>HALLANDS LÄN</t>
        </is>
      </c>
      <c r="G512" t="inlineStr">
        <is>
          <t>HALMSTAD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46237</v>
      </c>
      <c r="F513" t="inlineStr">
        <is>
          <t>HALLANDS LÄN</t>
        </is>
      </c>
      <c r="G513" t="inlineStr">
        <is>
          <t>HALMSTAD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44917</v>
      </c>
      <c r="E514" s="1" t="n">
        <v>46237</v>
      </c>
      <c r="F514" t="inlineStr">
        <is>
          <t>HALLANDS LÄN</t>
        </is>
      </c>
      <c r="G514" t="inlineStr">
        <is>
          <t>HALMSTAD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45172</v>
      </c>
      <c r="E515" s="1" t="n">
        <v>46237</v>
      </c>
      <c r="F515" t="inlineStr">
        <is>
          <t>HALLANDS LÄN</t>
        </is>
      </c>
      <c r="G515" t="inlineStr">
        <is>
          <t>HALMSTAD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45082</v>
      </c>
      <c r="E516" s="1" t="n">
        <v>46237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45876</v>
      </c>
      <c r="E517" s="1" t="n">
        <v>46237</v>
      </c>
      <c r="F517" t="inlineStr">
        <is>
          <t>HALLANDS LÄN</t>
        </is>
      </c>
      <c r="G517" t="inlineStr">
        <is>
          <t>HALMSTAD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45880</v>
      </c>
      <c r="E518" s="1" t="n">
        <v>46237</v>
      </c>
      <c r="F518" t="inlineStr">
        <is>
          <t>HALLANDS LÄN</t>
        </is>
      </c>
      <c r="G518" t="inlineStr">
        <is>
          <t>HALMSTAD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46237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46237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46237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46237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46237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46237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46237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46237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46237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46237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46237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46237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46237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2016-2026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46212</v>
      </c>
      <c r="E532" s="1" t="n">
        <v>46237</v>
      </c>
      <c r="F532" t="inlineStr">
        <is>
          <t>HALLANDS LÄN</t>
        </is>
      </c>
      <c r="G532" t="inlineStr">
        <is>
          <t>HALMSTAD</t>
        </is>
      </c>
      <c r="I532" t="n">
        <v>18.8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2026-08-03T01:54:32Z</dcterms:created>
  <dcterms:modified xmlns:dcterms="http://purl.org/dc/terms/" xmlns:xsi="http://www.w3.org/2001/XMLSchema-instance" xsi:type="dcterms:W3CDTF">2026-08-03T01:54:33Z</dcterms:modified>
</cp:coreProperties>
</file>
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45875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45875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45875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45875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45875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45875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45875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45875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45875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45875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45875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45875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2938-2021</t>
        </is>
      </c>
      <c r="B14" s="1" t="n">
        <v>44214</v>
      </c>
      <c r="C14" s="1" t="n">
        <v>45875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2938-2021 artfynd.xlsx", "A 2938-2021")</f>
        <v/>
      </c>
      <c r="T14">
        <f>HYPERLINK("https://klasma.github.io/Logging_1380/kartor/A 2938-2021 karta.png", "A 2938-2021")</f>
        <v/>
      </c>
      <c r="V14">
        <f>HYPERLINK("https://klasma.github.io/Logging_1380/klagomål/A 2938-2021 FSC-klagomål.docx", "A 2938-2021")</f>
        <v/>
      </c>
      <c r="W14">
        <f>HYPERLINK("https://klasma.github.io/Logging_1380/klagomålsmail/A 2938-2021 FSC-klagomål mail.docx", "A 2938-2021")</f>
        <v/>
      </c>
      <c r="X14">
        <f>HYPERLINK("https://klasma.github.io/Logging_1380/tillsyn/A 2938-2021 tillsynsbegäran.docx", "A 2938-2021")</f>
        <v/>
      </c>
      <c r="Y14">
        <f>HYPERLINK("https://klasma.github.io/Logging_1380/tillsynsmail/A 2938-2021 tillsynsbegäran mail.docx", "A 2938-2021")</f>
        <v/>
      </c>
    </row>
    <row r="15" ht="15" customHeight="1">
      <c r="A15" t="inlineStr">
        <is>
          <t>A 17350-2021</t>
        </is>
      </c>
      <c r="B15" s="1" t="n">
        <v>44298</v>
      </c>
      <c r="C15" s="1" t="n">
        <v>45875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35502-2021</t>
        </is>
      </c>
      <c r="B16" s="1" t="n">
        <v>44385</v>
      </c>
      <c r="C16" s="1" t="n">
        <v>45875</v>
      </c>
      <c r="D16" t="inlineStr">
        <is>
          <t>HALLANDS LÄN</t>
        </is>
      </c>
      <c r="E16" t="inlineStr">
        <is>
          <t>HALMSTAD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Praktgrusmossa</t>
        </is>
      </c>
      <c r="S16">
        <f>HYPERLINK("https://klasma.github.io/Logging_1380/artfynd/A 35502-2021 artfynd.xlsx", "A 35502-2021")</f>
        <v/>
      </c>
      <c r="T16">
        <f>HYPERLINK("https://klasma.github.io/Logging_1380/kartor/A 35502-2021 karta.png", "A 35502-2021")</f>
        <v/>
      </c>
      <c r="V16">
        <f>HYPERLINK("https://klasma.github.io/Logging_1380/klagomål/A 35502-2021 FSC-klagomål.docx", "A 35502-2021")</f>
        <v/>
      </c>
      <c r="W16">
        <f>HYPERLINK("https://klasma.github.io/Logging_1380/klagomålsmail/A 35502-2021 FSC-klagomål mail.docx", "A 35502-2021")</f>
        <v/>
      </c>
      <c r="X16">
        <f>HYPERLINK("https://klasma.github.io/Logging_1380/tillsyn/A 35502-2021 tillsynsbegäran.docx", "A 35502-2021")</f>
        <v/>
      </c>
      <c r="Y16">
        <f>HYPERLINK("https://klasma.github.io/Logging_1380/tillsynsmail/A 35502-2021 tillsynsbegäran mail.docx", "A 35502-2021")</f>
        <v/>
      </c>
    </row>
    <row r="17" ht="15" customHeight="1">
      <c r="A17" t="inlineStr">
        <is>
          <t>A 70738-2021</t>
        </is>
      </c>
      <c r="B17" s="1" t="n">
        <v>44537</v>
      </c>
      <c r="C17" s="1" t="n">
        <v>45875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Hårginst</t>
        </is>
      </c>
      <c r="S17">
        <f>HYPERLINK("https://klasma.github.io/Logging_1380/artfynd/A 70738-2021 artfynd.xlsx", "A 70738-2021")</f>
        <v/>
      </c>
      <c r="T17">
        <f>HYPERLINK("https://klasma.github.io/Logging_1380/kartor/A 70738-2021 karta.png", "A 70738-2021")</f>
        <v/>
      </c>
      <c r="V17">
        <f>HYPERLINK("https://klasma.github.io/Logging_1380/klagomål/A 70738-2021 FSC-klagomål.docx", "A 70738-2021")</f>
        <v/>
      </c>
      <c r="W17">
        <f>HYPERLINK("https://klasma.github.io/Logging_1380/klagomålsmail/A 70738-2021 FSC-klagomål mail.docx", "A 70738-2021")</f>
        <v/>
      </c>
      <c r="X17">
        <f>HYPERLINK("https://klasma.github.io/Logging_1380/tillsyn/A 70738-2021 tillsynsbegäran.docx", "A 70738-2021")</f>
        <v/>
      </c>
      <c r="Y17">
        <f>HYPERLINK("https://klasma.github.io/Logging_1380/tillsynsmail/A 70738-2021 tillsynsbegäran mail.docx", "A 70738-2021")</f>
        <v/>
      </c>
    </row>
    <row r="18" ht="15" customHeight="1">
      <c r="A18" t="inlineStr">
        <is>
          <t>A 70769-2021</t>
        </is>
      </c>
      <c r="B18" s="1" t="n">
        <v>44537</v>
      </c>
      <c r="C18" s="1" t="n">
        <v>45875</v>
      </c>
      <c r="D18" t="inlineStr">
        <is>
          <t>HALLANDS LÄN</t>
        </is>
      </c>
      <c r="E18" t="inlineStr">
        <is>
          <t>HALMSTAD</t>
        </is>
      </c>
      <c r="F18" t="inlineStr">
        <is>
          <t>Kyrkan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HYPERLINK("https://klasma.github.io/Logging_1380/artfynd/A 70769-2021 artfynd.xlsx", "A 70769-2021")</f>
        <v/>
      </c>
      <c r="T18">
        <f>HYPERLINK("https://klasma.github.io/Logging_1380/kartor/A 70769-2021 karta.png", "A 70769-2021")</f>
        <v/>
      </c>
      <c r="V18">
        <f>HYPERLINK("https://klasma.github.io/Logging_1380/klagomål/A 70769-2021 FSC-klagomål.docx", "A 70769-2021")</f>
        <v/>
      </c>
      <c r="W18">
        <f>HYPERLINK("https://klasma.github.io/Logging_1380/klagomålsmail/A 70769-2021 FSC-klagomål mail.docx", "A 70769-2021")</f>
        <v/>
      </c>
      <c r="X18">
        <f>HYPERLINK("https://klasma.github.io/Logging_1380/tillsyn/A 70769-2021 tillsynsbegäran.docx", "A 70769-2021")</f>
        <v/>
      </c>
      <c r="Y18">
        <f>HYPERLINK("https://klasma.github.io/Logging_1380/tillsynsmail/A 70769-2021 tillsynsbegäran mail.docx", "A 70769-2021")</f>
        <v/>
      </c>
    </row>
    <row r="19" ht="15" customHeight="1">
      <c r="A19" t="inlineStr">
        <is>
          <t>A 8071-2022</t>
        </is>
      </c>
      <c r="B19" s="1" t="n">
        <v>44609</v>
      </c>
      <c r="C19" s="1" t="n">
        <v>45875</v>
      </c>
      <c r="D19" t="inlineStr">
        <is>
          <t>HALLANDS LÄN</t>
        </is>
      </c>
      <c r="E19" t="inlineStr">
        <is>
          <t>HALMSTAD</t>
        </is>
      </c>
      <c r="G19" t="n">
        <v>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8071-2022 artfynd.xlsx", "A 8071-2022")</f>
        <v/>
      </c>
      <c r="T19">
        <f>HYPERLINK("https://klasma.github.io/Logging_1380/kartor/A 8071-2022 karta.png", "A 8071-2022")</f>
        <v/>
      </c>
      <c r="V19">
        <f>HYPERLINK("https://klasma.github.io/Logging_1380/klagomål/A 8071-2022 FSC-klagomål.docx", "A 8071-2022")</f>
        <v/>
      </c>
      <c r="W19">
        <f>HYPERLINK("https://klasma.github.io/Logging_1380/klagomålsmail/A 8071-2022 FSC-klagomål mail.docx", "A 8071-2022")</f>
        <v/>
      </c>
      <c r="X19">
        <f>HYPERLINK("https://klasma.github.io/Logging_1380/tillsyn/A 8071-2022 tillsynsbegäran.docx", "A 8071-2022")</f>
        <v/>
      </c>
      <c r="Y19">
        <f>HYPERLINK("https://klasma.github.io/Logging_1380/tillsynsmail/A 8071-2022 tillsynsbegäran mail.docx", "A 8071-2022")</f>
        <v/>
      </c>
    </row>
    <row r="20" ht="15" customHeight="1">
      <c r="A20" t="inlineStr">
        <is>
          <t>A 22842-2022</t>
        </is>
      </c>
      <c r="B20" s="1" t="n">
        <v>44715</v>
      </c>
      <c r="C20" s="1" t="n">
        <v>45875</v>
      </c>
      <c r="D20" t="inlineStr">
        <is>
          <t>HALLANDS LÄN</t>
        </is>
      </c>
      <c r="E20" t="inlineStr">
        <is>
          <t>HALMSTAD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22842-2022 artfynd.xlsx", "A 22842-2022")</f>
        <v/>
      </c>
      <c r="T20">
        <f>HYPERLINK("https://klasma.github.io/Logging_1380/kartor/A 22842-2022 karta.png", "A 22842-2022")</f>
        <v/>
      </c>
      <c r="V20">
        <f>HYPERLINK("https://klasma.github.io/Logging_1380/klagomål/A 22842-2022 FSC-klagomål.docx", "A 22842-2022")</f>
        <v/>
      </c>
      <c r="W20">
        <f>HYPERLINK("https://klasma.github.io/Logging_1380/klagomålsmail/A 22842-2022 FSC-klagomål mail.docx", "A 22842-2022")</f>
        <v/>
      </c>
      <c r="X20">
        <f>HYPERLINK("https://klasma.github.io/Logging_1380/tillsyn/A 22842-2022 tillsynsbegäran.docx", "A 22842-2022")</f>
        <v/>
      </c>
      <c r="Y20">
        <f>HYPERLINK("https://klasma.github.io/Logging_1380/tillsynsmail/A 22842-2022 tillsynsbegäran mail.docx", "A 22842-2022")</f>
        <v/>
      </c>
      <c r="Z20">
        <f>HYPERLINK("https://klasma.github.io/Logging_1380/fåglar/A 22842-2022 prioriterade fågelarter.docx", "A 22842-2022")</f>
        <v/>
      </c>
    </row>
    <row r="21" ht="15" customHeight="1">
      <c r="A21" t="inlineStr">
        <is>
          <t>A 44937-2022</t>
        </is>
      </c>
      <c r="B21" s="1" t="n">
        <v>44840</v>
      </c>
      <c r="C21" s="1" t="n">
        <v>45875</v>
      </c>
      <c r="D21" t="inlineStr">
        <is>
          <t>HALLANDS LÄN</t>
        </is>
      </c>
      <c r="E21" t="inlineStr">
        <is>
          <t>HALMSTAD</t>
        </is>
      </c>
      <c r="F21" t="inlineStr">
        <is>
          <t>Sveaskog</t>
        </is>
      </c>
      <c r="G21" t="n">
        <v>15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Granbräken</t>
        </is>
      </c>
      <c r="S21">
        <f>HYPERLINK("https://klasma.github.io/Logging_1380/artfynd/A 44937-2022 artfynd.xlsx", "A 44937-2022")</f>
        <v/>
      </c>
      <c r="T21">
        <f>HYPERLINK("https://klasma.github.io/Logging_1380/kartor/A 44937-2022 karta.png", "A 44937-2022")</f>
        <v/>
      </c>
      <c r="V21">
        <f>HYPERLINK("https://klasma.github.io/Logging_1380/klagomål/A 44937-2022 FSC-klagomål.docx", "A 44937-2022")</f>
        <v/>
      </c>
      <c r="W21">
        <f>HYPERLINK("https://klasma.github.io/Logging_1380/klagomålsmail/A 44937-2022 FSC-klagomål mail.docx", "A 44937-2022")</f>
        <v/>
      </c>
      <c r="X21">
        <f>HYPERLINK("https://klasma.github.io/Logging_1380/tillsyn/A 44937-2022 tillsynsbegäran.docx", "A 44937-2022")</f>
        <v/>
      </c>
      <c r="Y21">
        <f>HYPERLINK("https://klasma.github.io/Logging_1380/tillsynsmail/A 44937-2022 tillsynsbegäran mail.docx", "A 44937-2022")</f>
        <v/>
      </c>
    </row>
    <row r="22" ht="15" customHeight="1">
      <c r="A22" t="inlineStr">
        <is>
          <t>A 12185-2023</t>
        </is>
      </c>
      <c r="B22" s="1" t="n">
        <v>44998</v>
      </c>
      <c r="C22" s="1" t="n">
        <v>45875</v>
      </c>
      <c r="D22" t="inlineStr">
        <is>
          <t>HALLANDS LÄN</t>
        </is>
      </c>
      <c r="E22" t="inlineStr">
        <is>
          <t>HALMSTAD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Loppstarr</t>
        </is>
      </c>
      <c r="S22">
        <f>HYPERLINK("https://klasma.github.io/Logging_1380/artfynd/A 12185-2023 artfynd.xlsx", "A 12185-2023")</f>
        <v/>
      </c>
      <c r="T22">
        <f>HYPERLINK("https://klasma.github.io/Logging_1380/kartor/A 12185-2023 karta.png", "A 12185-2023")</f>
        <v/>
      </c>
      <c r="V22">
        <f>HYPERLINK("https://klasma.github.io/Logging_1380/klagomål/A 12185-2023 FSC-klagomål.docx", "A 12185-2023")</f>
        <v/>
      </c>
      <c r="W22">
        <f>HYPERLINK("https://klasma.github.io/Logging_1380/klagomålsmail/A 12185-2023 FSC-klagomål mail.docx", "A 12185-2023")</f>
        <v/>
      </c>
      <c r="X22">
        <f>HYPERLINK("https://klasma.github.io/Logging_1380/tillsyn/A 12185-2023 tillsynsbegäran.docx", "A 12185-2023")</f>
        <v/>
      </c>
      <c r="Y22">
        <f>HYPERLINK("https://klasma.github.io/Logging_1380/tillsynsmail/A 12185-2023 tillsynsbegäran mail.docx", "A 12185-2023")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45875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33757-2023</t>
        </is>
      </c>
      <c r="B24" s="1" t="n">
        <v>45120</v>
      </c>
      <c r="C24" s="1" t="n">
        <v>45875</v>
      </c>
      <c r="D24" t="inlineStr">
        <is>
          <t>HALLANDS LÄN</t>
        </is>
      </c>
      <c r="E24" t="inlineStr">
        <is>
          <t>HALMSTAD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33757-2023 artfynd.xlsx", "A 33757-2023")</f>
        <v/>
      </c>
      <c r="T24">
        <f>HYPERLINK("https://klasma.github.io/Logging_1380/kartor/A 33757-2023 karta.png", "A 33757-2023")</f>
        <v/>
      </c>
      <c r="V24">
        <f>HYPERLINK("https://klasma.github.io/Logging_1380/klagomål/A 33757-2023 FSC-klagomål.docx", "A 33757-2023")</f>
        <v/>
      </c>
      <c r="W24">
        <f>HYPERLINK("https://klasma.github.io/Logging_1380/klagomålsmail/A 33757-2023 FSC-klagomål mail.docx", "A 33757-2023")</f>
        <v/>
      </c>
      <c r="X24">
        <f>HYPERLINK("https://klasma.github.io/Logging_1380/tillsyn/A 33757-2023 tillsynsbegäran.docx", "A 33757-2023")</f>
        <v/>
      </c>
      <c r="Y24">
        <f>HYPERLINK("https://klasma.github.io/Logging_1380/tillsynsmail/A 33757-2023 tillsynsbegäran mail.docx", "A 33757-2023")</f>
        <v/>
      </c>
    </row>
    <row r="25" ht="15" customHeight="1">
      <c r="A25" t="inlineStr">
        <is>
          <t>A 40600-2023</t>
        </is>
      </c>
      <c r="B25" s="1" t="n">
        <v>45168</v>
      </c>
      <c r="C25" s="1" t="n">
        <v>45875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40600-2023 artfynd.xlsx", "A 40600-2023")</f>
        <v/>
      </c>
      <c r="T25">
        <f>HYPERLINK("https://klasma.github.io/Logging_1380/kartor/A 40600-2023 karta.png", "A 40600-2023")</f>
        <v/>
      </c>
      <c r="V25">
        <f>HYPERLINK("https://klasma.github.io/Logging_1380/klagomål/A 40600-2023 FSC-klagomål.docx", "A 40600-2023")</f>
        <v/>
      </c>
      <c r="W25">
        <f>HYPERLINK("https://klasma.github.io/Logging_1380/klagomålsmail/A 40600-2023 FSC-klagomål mail.docx", "A 40600-2023")</f>
        <v/>
      </c>
      <c r="X25">
        <f>HYPERLINK("https://klasma.github.io/Logging_1380/tillsyn/A 40600-2023 tillsynsbegäran.docx", "A 40600-2023")</f>
        <v/>
      </c>
      <c r="Y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40523-2023</t>
        </is>
      </c>
      <c r="B26" s="1" t="n">
        <v>45168</v>
      </c>
      <c r="C26" s="1" t="n">
        <v>45875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40523-2023 artfynd.xlsx", "A 40523-2023")</f>
        <v/>
      </c>
      <c r="T26">
        <f>HYPERLINK("https://klasma.github.io/Logging_1380/kartor/A 40523-2023 karta.png", "A 40523-2023")</f>
        <v/>
      </c>
      <c r="V26">
        <f>HYPERLINK("https://klasma.github.io/Logging_1380/klagomål/A 40523-2023 FSC-klagomål.docx", "A 40523-2023")</f>
        <v/>
      </c>
      <c r="W26">
        <f>HYPERLINK("https://klasma.github.io/Logging_1380/klagomålsmail/A 40523-2023 FSC-klagomål mail.docx", "A 40523-2023")</f>
        <v/>
      </c>
      <c r="X26">
        <f>HYPERLINK("https://klasma.github.io/Logging_1380/tillsyn/A 40523-2023 tillsynsbegäran.docx", "A 40523-2023")</f>
        <v/>
      </c>
      <c r="Y26">
        <f>HYPERLINK("https://klasma.github.io/Logging_1380/tillsynsmail/A 40523-2023 tillsynsbegäran mail.docx", "A 40523-2023")</f>
        <v/>
      </c>
      <c r="Z26">
        <f>HYPERLINK("https://klasma.github.io/Logging_1380/fåglar/A 40523-2023 prioriterade fågelarter.docx", "A 40523-2023")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45875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40531-2023</t>
        </is>
      </c>
      <c r="B28" s="1" t="n">
        <v>45168</v>
      </c>
      <c r="C28" s="1" t="n">
        <v>45875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40531-2023 artfynd.xlsx", "A 40531-2023")</f>
        <v/>
      </c>
      <c r="T28">
        <f>HYPERLINK("https://klasma.github.io/Logging_1380/kartor/A 40531-2023 karta.png", "A 40531-2023")</f>
        <v/>
      </c>
      <c r="V28">
        <f>HYPERLINK("https://klasma.github.io/Logging_1380/klagomål/A 40531-2023 FSC-klagomål.docx", "A 40531-2023")</f>
        <v/>
      </c>
      <c r="W28">
        <f>HYPERLINK("https://klasma.github.io/Logging_1380/klagomålsmail/A 40531-2023 FSC-klagomål mail.docx", "A 40531-2023")</f>
        <v/>
      </c>
      <c r="X28">
        <f>HYPERLINK("https://klasma.github.io/Logging_1380/tillsyn/A 40531-2023 tillsynsbegäran.docx", "A 40531-2023")</f>
        <v/>
      </c>
      <c r="Y28">
        <f>HYPERLINK("https://klasma.github.io/Logging_1380/tillsynsmail/A 40531-2023 tillsynsbegäran mail.docx", "A 40531-2023")</f>
        <v/>
      </c>
      <c r="Z28">
        <f>HYPERLINK("https://klasma.github.io/Logging_1380/fåglar/A 40531-2023 prioriterade fågelarter.docx", "A 40531-2023")</f>
        <v/>
      </c>
    </row>
    <row r="29" ht="15" customHeight="1">
      <c r="A29" t="inlineStr">
        <is>
          <t>A 42311-2023</t>
        </is>
      </c>
      <c r="B29" s="1" t="n">
        <v>45175</v>
      </c>
      <c r="C29" s="1" t="n">
        <v>45875</v>
      </c>
      <c r="D29" t="inlineStr">
        <is>
          <t>HALLANDS LÄN</t>
        </is>
      </c>
      <c r="E29" t="inlineStr">
        <is>
          <t>HALMSTAD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42311-2023 artfynd.xlsx", "A 42311-2023")</f>
        <v/>
      </c>
      <c r="T29">
        <f>HYPERLINK("https://klasma.github.io/Logging_1380/kartor/A 42311-2023 karta.png", "A 42311-2023")</f>
        <v/>
      </c>
      <c r="V29">
        <f>HYPERLINK("https://klasma.github.io/Logging_1380/klagomål/A 42311-2023 FSC-klagomål.docx", "A 42311-2023")</f>
        <v/>
      </c>
      <c r="W29">
        <f>HYPERLINK("https://klasma.github.io/Logging_1380/klagomålsmail/A 42311-2023 FSC-klagomål mail.docx", "A 42311-2023")</f>
        <v/>
      </c>
      <c r="X29">
        <f>HYPERLINK("https://klasma.github.io/Logging_1380/tillsyn/A 42311-2023 tillsynsbegäran.docx", "A 42311-2023")</f>
        <v/>
      </c>
      <c r="Y29">
        <f>HYPERLINK("https://klasma.github.io/Logging_1380/tillsynsmail/A 42311-2023 tillsynsbegäran mail.docx", "A 42311-2023")</f>
        <v/>
      </c>
    </row>
    <row r="30" ht="15" customHeight="1">
      <c r="A30" t="inlineStr">
        <is>
          <t>A 47773-2023</t>
        </is>
      </c>
      <c r="B30" s="1" t="n">
        <v>45203</v>
      </c>
      <c r="C30" s="1" t="n">
        <v>45875</v>
      </c>
      <c r="D30" t="inlineStr">
        <is>
          <t>HALLANDS LÄN</t>
        </is>
      </c>
      <c r="E30" t="inlineStr">
        <is>
          <t>HALMSTAD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HYPERLINK("https://klasma.github.io/Logging_1380/artfynd/A 47773-2023 artfynd.xlsx", "A 47773-2023")</f>
        <v/>
      </c>
      <c r="T30">
        <f>HYPERLINK("https://klasma.github.io/Logging_1380/kartor/A 47773-2023 karta.png", "A 47773-2023")</f>
        <v/>
      </c>
      <c r="V30">
        <f>HYPERLINK("https://klasma.github.io/Logging_1380/klagomål/A 47773-2023 FSC-klagomål.docx", "A 47773-2023")</f>
        <v/>
      </c>
      <c r="W30">
        <f>HYPERLINK("https://klasma.github.io/Logging_1380/klagomålsmail/A 47773-2023 FSC-klagomål mail.docx", "A 47773-2023")</f>
        <v/>
      </c>
      <c r="X30">
        <f>HYPERLINK("https://klasma.github.io/Logging_1380/tillsyn/A 47773-2023 tillsynsbegäran.docx", "A 47773-2023")</f>
        <v/>
      </c>
      <c r="Y30">
        <f>HYPERLINK("https://klasma.github.io/Logging_1380/tillsynsmail/A 47773-2023 tillsynsbegäran mail.docx", "A 47773-2023")</f>
        <v/>
      </c>
    </row>
    <row r="31" ht="15" customHeight="1">
      <c r="A31" t="inlineStr">
        <is>
          <t>A 47997-2023</t>
        </is>
      </c>
      <c r="B31" s="1" t="n">
        <v>45204</v>
      </c>
      <c r="C31" s="1" t="n">
        <v>45875</v>
      </c>
      <c r="D31" t="inlineStr">
        <is>
          <t>HALLANDS LÄN</t>
        </is>
      </c>
      <c r="E31" t="inlineStr">
        <is>
          <t>HALMSTAD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HYPERLINK("https://klasma.github.io/Logging_1380/artfynd/A 47997-2023 artfynd.xlsx", "A 47997-2023")</f>
        <v/>
      </c>
      <c r="T31">
        <f>HYPERLINK("https://klasma.github.io/Logging_1380/kartor/A 47997-2023 karta.png", "A 47997-2023")</f>
        <v/>
      </c>
      <c r="V31">
        <f>HYPERLINK("https://klasma.github.io/Logging_1380/klagomål/A 47997-2023 FSC-klagomål.docx", "A 47997-2023")</f>
        <v/>
      </c>
      <c r="W31">
        <f>HYPERLINK("https://klasma.github.io/Logging_1380/klagomålsmail/A 47997-2023 FSC-klagomål mail.docx", "A 47997-2023")</f>
        <v/>
      </c>
      <c r="X31">
        <f>HYPERLINK("https://klasma.github.io/Logging_1380/tillsyn/A 47997-2023 tillsynsbegäran.docx", "A 47997-2023")</f>
        <v/>
      </c>
      <c r="Y31">
        <f>HYPERLINK("https://klasma.github.io/Logging_1380/tillsynsmail/A 47997-2023 tillsynsbegäran mail.docx", "A 47997-2023")</f>
        <v/>
      </c>
    </row>
    <row r="32" ht="15" customHeight="1">
      <c r="A32" t="inlineStr">
        <is>
          <t>A 55580-2023</t>
        </is>
      </c>
      <c r="B32" s="1" t="n">
        <v>45238</v>
      </c>
      <c r="C32" s="1" t="n">
        <v>45875</v>
      </c>
      <c r="D32" t="inlineStr">
        <is>
          <t>HALLANDS LÄN</t>
        </is>
      </c>
      <c r="E32" t="inlineStr">
        <is>
          <t>HALMSTAD</t>
        </is>
      </c>
      <c r="G32" t="n">
        <v>1.6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Hårginst</t>
        </is>
      </c>
      <c r="S32">
        <f>HYPERLINK("https://klasma.github.io/Logging_1380/artfynd/A 55580-2023 artfynd.xlsx", "A 55580-2023")</f>
        <v/>
      </c>
      <c r="T32">
        <f>HYPERLINK("https://klasma.github.io/Logging_1380/kartor/A 55580-2023 karta.png", "A 55580-2023")</f>
        <v/>
      </c>
      <c r="V32">
        <f>HYPERLINK("https://klasma.github.io/Logging_1380/klagomål/A 55580-2023 FSC-klagomål.docx", "A 55580-2023")</f>
        <v/>
      </c>
      <c r="W32">
        <f>HYPERLINK("https://klasma.github.io/Logging_1380/klagomålsmail/A 55580-2023 FSC-klagomål mail.docx", "A 55580-2023")</f>
        <v/>
      </c>
      <c r="X32">
        <f>HYPERLINK("https://klasma.github.io/Logging_1380/tillsyn/A 55580-2023 tillsynsbegäran.docx", "A 55580-2023")</f>
        <v/>
      </c>
      <c r="Y32">
        <f>HYPERLINK("https://klasma.github.io/Logging_1380/tillsynsmail/A 55580-2023 tillsynsbegäran mail.docx", "A 55580-2023")</f>
        <v/>
      </c>
    </row>
    <row r="33" ht="15" customHeight="1">
      <c r="A33" t="inlineStr">
        <is>
          <t>A 60387-2023</t>
        </is>
      </c>
      <c r="B33" s="1" t="n">
        <v>45259</v>
      </c>
      <c r="C33" s="1" t="n">
        <v>45875</v>
      </c>
      <c r="D33" t="inlineStr">
        <is>
          <t>HALLANDS LÄN</t>
        </is>
      </c>
      <c r="E33" t="inlineStr">
        <is>
          <t>HALMSTAD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HYPERLINK("https://klasma.github.io/Logging_1380/artfynd/A 60387-2023 artfynd.xlsx", "A 60387-2023")</f>
        <v/>
      </c>
      <c r="T33">
        <f>HYPERLINK("https://klasma.github.io/Logging_1380/kartor/A 60387-2023 karta.png", "A 60387-2023")</f>
        <v/>
      </c>
      <c r="V33">
        <f>HYPERLINK("https://klasma.github.io/Logging_1380/klagomål/A 60387-2023 FSC-klagomål.docx", "A 60387-2023")</f>
        <v/>
      </c>
      <c r="W33">
        <f>HYPERLINK("https://klasma.github.io/Logging_1380/klagomålsmail/A 60387-2023 FSC-klagomål mail.docx", "A 60387-2023")</f>
        <v/>
      </c>
      <c r="X33">
        <f>HYPERLINK("https://klasma.github.io/Logging_1380/tillsyn/A 60387-2023 tillsynsbegäran.docx", "A 60387-2023")</f>
        <v/>
      </c>
      <c r="Y33">
        <f>HYPERLINK("https://klasma.github.io/Logging_1380/tillsynsmail/A 60387-2023 tillsynsbegäran mail.docx", "A 60387-2023")</f>
        <v/>
      </c>
      <c r="Z33">
        <f>HYPERLINK("https://klasma.github.io/Logging_1380/fåglar/A 60387-2023 prioriterade fågelarter.docx", "A 60387-2023")</f>
        <v/>
      </c>
    </row>
    <row r="34" ht="15" customHeight="1">
      <c r="A34" t="inlineStr">
        <is>
          <t>A 2994-2024</t>
        </is>
      </c>
      <c r="B34" s="1" t="n">
        <v>45315</v>
      </c>
      <c r="C34" s="1" t="n">
        <v>45875</v>
      </c>
      <c r="D34" t="inlineStr">
        <is>
          <t>HALLANDS LÄN</t>
        </is>
      </c>
      <c r="E34" t="inlineStr">
        <is>
          <t>HALMSTAD</t>
        </is>
      </c>
      <c r="G34" t="n">
        <v>7.9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HYPERLINK("https://klasma.github.io/Logging_1380/artfynd/A 2994-2024 artfynd.xlsx", "A 2994-2024")</f>
        <v/>
      </c>
      <c r="T34">
        <f>HYPERLINK("https://klasma.github.io/Logging_1380/kartor/A 2994-2024 karta.png", "A 2994-2024")</f>
        <v/>
      </c>
      <c r="V34">
        <f>HYPERLINK("https://klasma.github.io/Logging_1380/klagomål/A 2994-2024 FSC-klagomål.docx", "A 2994-2024")</f>
        <v/>
      </c>
      <c r="W34">
        <f>HYPERLINK("https://klasma.github.io/Logging_1380/klagomålsmail/A 2994-2024 FSC-klagomål mail.docx", "A 2994-2024")</f>
        <v/>
      </c>
      <c r="X34">
        <f>HYPERLINK("https://klasma.github.io/Logging_1380/tillsyn/A 2994-2024 tillsynsbegäran.docx", "A 2994-2024")</f>
        <v/>
      </c>
      <c r="Y34">
        <f>HYPERLINK("https://klasma.github.io/Logging_1380/tillsynsmail/A 2994-2024 tillsynsbegäran mail.docx", "A 2994-2024")</f>
        <v/>
      </c>
    </row>
    <row r="35" ht="15" customHeight="1">
      <c r="A35" t="inlineStr">
        <is>
          <t>A 8102-2024</t>
        </is>
      </c>
      <c r="B35" s="1" t="n">
        <v>45351</v>
      </c>
      <c r="C35" s="1" t="n">
        <v>45875</v>
      </c>
      <c r="D35" t="inlineStr">
        <is>
          <t>HALLANDS LÄN</t>
        </is>
      </c>
      <c r="E35" t="inlineStr">
        <is>
          <t>HALMSTAD</t>
        </is>
      </c>
      <c r="G35" t="n">
        <v>7.6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HYPERLINK("https://klasma.github.io/Logging_1380/artfynd/A 8102-2024 artfynd.xlsx", "A 8102-2024")</f>
        <v/>
      </c>
      <c r="T35">
        <f>HYPERLINK("https://klasma.github.io/Logging_1380/kartor/A 8102-2024 karta.png", "A 8102-2024")</f>
        <v/>
      </c>
      <c r="V35">
        <f>HYPERLINK("https://klasma.github.io/Logging_1380/klagomål/A 8102-2024 FSC-klagomål.docx", "A 8102-2024")</f>
        <v/>
      </c>
      <c r="W35">
        <f>HYPERLINK("https://klasma.github.io/Logging_1380/klagomålsmail/A 8102-2024 FSC-klagomål mail.docx", "A 8102-2024")</f>
        <v/>
      </c>
      <c r="X35">
        <f>HYPERLINK("https://klasma.github.io/Logging_1380/tillsyn/A 8102-2024 tillsynsbegäran.docx", "A 8102-2024")</f>
        <v/>
      </c>
      <c r="Y35">
        <f>HYPERLINK("https://klasma.github.io/Logging_1380/tillsynsmail/A 8102-2024 tillsynsbegäran mail.docx", "A 8102-2024")</f>
        <v/>
      </c>
      <c r="Z35">
        <f>HYPERLINK("https://klasma.github.io/Logging_1380/fåglar/A 8102-2024 prioriterade fågelarter.docx", "A 8102-2024")</f>
        <v/>
      </c>
    </row>
    <row r="36" ht="15" customHeight="1">
      <c r="A36" t="inlineStr">
        <is>
          <t>A 10229-2024</t>
        </is>
      </c>
      <c r="B36" s="1" t="n">
        <v>45365</v>
      </c>
      <c r="C36" s="1" t="n">
        <v>45875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Trind spretmossa</t>
        </is>
      </c>
      <c r="S36">
        <f>HYPERLINK("https://klasma.github.io/Logging_1380/artfynd/A 10229-2024 artfynd.xlsx", "A 10229-2024")</f>
        <v/>
      </c>
      <c r="T36">
        <f>HYPERLINK("https://klasma.github.io/Logging_1380/kartor/A 10229-2024 karta.png", "A 10229-2024")</f>
        <v/>
      </c>
      <c r="V36">
        <f>HYPERLINK("https://klasma.github.io/Logging_1380/klagomål/A 10229-2024 FSC-klagomål.docx", "A 10229-2024")</f>
        <v/>
      </c>
      <c r="W36">
        <f>HYPERLINK("https://klasma.github.io/Logging_1380/klagomålsmail/A 10229-2024 FSC-klagomål mail.docx", "A 10229-2024")</f>
        <v/>
      </c>
      <c r="X36">
        <f>HYPERLINK("https://klasma.github.io/Logging_1380/tillsyn/A 10229-2024 tillsynsbegäran.docx", "A 10229-2024")</f>
        <v/>
      </c>
      <c r="Y36">
        <f>HYPERLINK("https://klasma.github.io/Logging_1380/tillsynsmail/A 10229-2024 tillsynsbegäran mail.docx", "A 10229-2024")</f>
        <v/>
      </c>
    </row>
    <row r="37" ht="15" customHeight="1">
      <c r="A37" t="inlineStr">
        <is>
          <t>A 21622-2024</t>
        </is>
      </c>
      <c r="B37" s="1" t="n">
        <v>45442</v>
      </c>
      <c r="C37" s="1" t="n">
        <v>45875</v>
      </c>
      <c r="D37" t="inlineStr">
        <is>
          <t>HALLANDS LÄN</t>
        </is>
      </c>
      <c r="E37" t="inlineStr">
        <is>
          <t>HALMSTAD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Barbastell</t>
        </is>
      </c>
      <c r="S37">
        <f>HYPERLINK("https://klasma.github.io/Logging_1380/artfynd/A 21622-2024 artfynd.xlsx", "A 21622-2024")</f>
        <v/>
      </c>
      <c r="T37">
        <f>HYPERLINK("https://klasma.github.io/Logging_1380/kartor/A 21622-2024 karta.png", "A 21622-2024")</f>
        <v/>
      </c>
      <c r="V37">
        <f>HYPERLINK("https://klasma.github.io/Logging_1380/klagomål/A 21622-2024 FSC-klagomål.docx", "A 21622-2024")</f>
        <v/>
      </c>
      <c r="W37">
        <f>HYPERLINK("https://klasma.github.io/Logging_1380/klagomålsmail/A 21622-2024 FSC-klagomål mail.docx", "A 21622-2024")</f>
        <v/>
      </c>
      <c r="X37">
        <f>HYPERLINK("https://klasma.github.io/Logging_1380/tillsyn/A 21622-2024 tillsynsbegäran.docx", "A 21622-2024")</f>
        <v/>
      </c>
      <c r="Y37">
        <f>HYPERLINK("https://klasma.github.io/Logging_1380/tillsynsmail/A 21622-2024 tillsynsbegäran mail.docx", "A 21622-2024")</f>
        <v/>
      </c>
    </row>
    <row r="38" ht="15" customHeight="1">
      <c r="A38" t="inlineStr">
        <is>
          <t>A 37600-2024</t>
        </is>
      </c>
      <c r="B38" s="1" t="n">
        <v>45541</v>
      </c>
      <c r="C38" s="1" t="n">
        <v>45875</v>
      </c>
      <c r="D38" t="inlineStr">
        <is>
          <t>HALLANDS LÄN</t>
        </is>
      </c>
      <c r="E38" t="inlineStr">
        <is>
          <t>HALMSTAD</t>
        </is>
      </c>
      <c r="G38" t="n">
        <v>23.1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37600-2024 artfynd.xlsx", "A 37600-2024")</f>
        <v/>
      </c>
      <c r="T38">
        <f>HYPERLINK("https://klasma.github.io/Logging_1380/kartor/A 37600-2024 karta.png", "A 37600-2024")</f>
        <v/>
      </c>
      <c r="V38">
        <f>HYPERLINK("https://klasma.github.io/Logging_1380/klagomål/A 37600-2024 FSC-klagomål.docx", "A 37600-2024")</f>
        <v/>
      </c>
      <c r="W38">
        <f>HYPERLINK("https://klasma.github.io/Logging_1380/klagomålsmail/A 37600-2024 FSC-klagomål mail.docx", "A 37600-2024")</f>
        <v/>
      </c>
      <c r="X38">
        <f>HYPERLINK("https://klasma.github.io/Logging_1380/tillsyn/A 37600-2024 tillsynsbegäran.docx", "A 37600-2024")</f>
        <v/>
      </c>
      <c r="Y38">
        <f>HYPERLINK("https://klasma.github.io/Logging_1380/tillsynsmail/A 37600-2024 tillsynsbegäran mail.docx", "A 37600-2024")</f>
        <v/>
      </c>
    </row>
    <row r="39" ht="15" customHeight="1">
      <c r="A39" t="inlineStr">
        <is>
          <t>A 42732-2024</t>
        </is>
      </c>
      <c r="B39" s="1" t="n">
        <v>45566</v>
      </c>
      <c r="C39" s="1" t="n">
        <v>45875</v>
      </c>
      <c r="D39" t="inlineStr">
        <is>
          <t>HALLANDS LÄN</t>
        </is>
      </c>
      <c r="E39" t="inlineStr">
        <is>
          <t>HALMSTAD</t>
        </is>
      </c>
      <c r="G39" t="n">
        <v>13.9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42732-2024 artfynd.xlsx", "A 42732-2024")</f>
        <v/>
      </c>
      <c r="T39">
        <f>HYPERLINK("https://klasma.github.io/Logging_1380/kartor/A 42732-2024 karta.png", "A 42732-2024")</f>
        <v/>
      </c>
      <c r="V39">
        <f>HYPERLINK("https://klasma.github.io/Logging_1380/klagomål/A 42732-2024 FSC-klagomål.docx", "A 42732-2024")</f>
        <v/>
      </c>
      <c r="W39">
        <f>HYPERLINK("https://klasma.github.io/Logging_1380/klagomålsmail/A 42732-2024 FSC-klagomål mail.docx", "A 42732-2024")</f>
        <v/>
      </c>
      <c r="X39">
        <f>HYPERLINK("https://klasma.github.io/Logging_1380/tillsyn/A 42732-2024 tillsynsbegäran.docx", "A 42732-2024")</f>
        <v/>
      </c>
      <c r="Y39">
        <f>HYPERLINK("https://klasma.github.io/Logging_1380/tillsynsmail/A 42732-2024 tillsynsbegäran mail.docx", "A 42732-2024")</f>
        <v/>
      </c>
    </row>
    <row r="40" ht="15" customHeight="1">
      <c r="A40" t="inlineStr">
        <is>
          <t>A 5530-2025</t>
        </is>
      </c>
      <c r="B40" s="1" t="n">
        <v>45692</v>
      </c>
      <c r="C40" s="1" t="n">
        <v>45875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HYPERLINK("https://klasma.github.io/Logging_1380/artfynd/A 5530-2025 artfynd.xlsx", "A 5530-2025")</f>
        <v/>
      </c>
      <c r="T40">
        <f>HYPERLINK("https://klasma.github.io/Logging_1380/kartor/A 5530-2025 karta.png", "A 5530-2025")</f>
        <v/>
      </c>
      <c r="V40">
        <f>HYPERLINK("https://klasma.github.io/Logging_1380/klagomål/A 5530-2025 FSC-klagomål.docx", "A 5530-2025")</f>
        <v/>
      </c>
      <c r="W40">
        <f>HYPERLINK("https://klasma.github.io/Logging_1380/klagomålsmail/A 5530-2025 FSC-klagomål mail.docx", "A 5530-2025")</f>
        <v/>
      </c>
      <c r="X40">
        <f>HYPERLINK("https://klasma.github.io/Logging_1380/tillsyn/A 5530-2025 tillsynsbegäran.docx", "A 5530-2025")</f>
        <v/>
      </c>
      <c r="Y40">
        <f>HYPERLINK("https://klasma.github.io/Logging_1380/tillsynsmail/A 5530-2025 tillsynsbegäran mail.docx", "A 5530-2025")</f>
        <v/>
      </c>
    </row>
    <row r="41" ht="15" customHeight="1">
      <c r="A41" t="inlineStr">
        <is>
          <t>A 5240-2025</t>
        </is>
      </c>
      <c r="B41" s="1" t="n">
        <v>45692</v>
      </c>
      <c r="C41" s="1" t="n">
        <v>45875</v>
      </c>
      <c r="D41" t="inlineStr">
        <is>
          <t>HALLANDS LÄN</t>
        </is>
      </c>
      <c r="E41" t="inlineStr">
        <is>
          <t>HALMSTAD</t>
        </is>
      </c>
      <c r="G41" t="n">
        <v>8.300000000000001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Mussellav</t>
        </is>
      </c>
      <c r="S41">
        <f>HYPERLINK("https://klasma.github.io/Logging_1380/artfynd/A 5240-2025 artfynd.xlsx", "A 5240-2025")</f>
        <v/>
      </c>
      <c r="T41">
        <f>HYPERLINK("https://klasma.github.io/Logging_1380/kartor/A 5240-2025 karta.png", "A 5240-2025")</f>
        <v/>
      </c>
      <c r="V41">
        <f>HYPERLINK("https://klasma.github.io/Logging_1380/klagomål/A 5240-2025 FSC-klagomål.docx", "A 5240-2025")</f>
        <v/>
      </c>
      <c r="W41">
        <f>HYPERLINK("https://klasma.github.io/Logging_1380/klagomålsmail/A 5240-2025 FSC-klagomål mail.docx", "A 5240-2025")</f>
        <v/>
      </c>
      <c r="X41">
        <f>HYPERLINK("https://klasma.github.io/Logging_1380/tillsyn/A 5240-2025 tillsynsbegäran.docx", "A 5240-2025")</f>
        <v/>
      </c>
      <c r="Y41">
        <f>HYPERLINK("https://klasma.github.io/Logging_1380/tillsynsmail/A 5240-2025 tillsynsbegäran mail.docx", "A 5240-2025")</f>
        <v/>
      </c>
    </row>
    <row r="42" ht="15" customHeight="1">
      <c r="A42" t="inlineStr">
        <is>
          <t>A 32822-2025</t>
        </is>
      </c>
      <c r="B42" s="1" t="n">
        <v>45839</v>
      </c>
      <c r="C42" s="1" t="n">
        <v>45875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HYPERLINK("https://klasma.github.io/Logging_131380/artfynd/A 32822-2025 artfynd.xlsx", "A 32822-2025")</f>
        <v/>
      </c>
      <c r="T42">
        <f>HYPERLINK("https://klasma.github.io/Logging_131380/kartor/A 32822-2025 karta.png", "A 32822-2025")</f>
        <v/>
      </c>
      <c r="V42">
        <f>HYPERLINK("https://klasma.github.io/Logging_131380/klagomål/A 32822-2025 FSC-klagomål.docx", "A 32822-2025")</f>
        <v/>
      </c>
      <c r="W42">
        <f>HYPERLINK("https://klasma.github.io/Logging_131380/klagomålsmail/A 32822-2025 FSC-klagomål mail.docx", "A 32822-2025")</f>
        <v/>
      </c>
      <c r="X42">
        <f>HYPERLINK("https://klasma.github.io/Logging_131380/tillsyn/A 32822-2025 tillsynsbegäran.docx", "A 32822-2025")</f>
        <v/>
      </c>
      <c r="Y42">
        <f>HYPERLINK("https://klasma.github.io/Logging_131380/tillsynsmail/A 32822-2025 tillsynsbegäran mail.docx", "A 32822-2025")</f>
        <v/>
      </c>
    </row>
    <row r="43" ht="15" customHeight="1">
      <c r="A43" t="inlineStr">
        <is>
          <t>A 17740-2019</t>
        </is>
      </c>
      <c r="B43" s="1" t="n">
        <v>43556</v>
      </c>
      <c r="C43" s="1" t="n">
        <v>45875</v>
      </c>
      <c r="D43" t="inlineStr">
        <is>
          <t>HALLANDS LÄN</t>
        </is>
      </c>
      <c r="E43" t="inlineStr">
        <is>
          <t>HALMSTAD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17783-2019</t>
        </is>
      </c>
      <c r="B44" s="1" t="n">
        <v>43556</v>
      </c>
      <c r="C44" s="1" t="n">
        <v>45875</v>
      </c>
      <c r="D44" t="inlineStr">
        <is>
          <t>HALLANDS LÄN</t>
        </is>
      </c>
      <c r="E44" t="inlineStr">
        <is>
          <t>HALMSTAD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17776-2019</t>
        </is>
      </c>
      <c r="B45" s="1" t="n">
        <v>43556</v>
      </c>
      <c r="C45" s="1" t="n">
        <v>45875</v>
      </c>
      <c r="D45" t="inlineStr">
        <is>
          <t>HALLANDS LÄN</t>
        </is>
      </c>
      <c r="E45" t="inlineStr">
        <is>
          <t>HALMSTAD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18661-2019</t>
        </is>
      </c>
      <c r="B46" s="1" t="n">
        <v>43560</v>
      </c>
      <c r="C46" s="1" t="n">
        <v>45875</v>
      </c>
      <c r="D46" t="inlineStr">
        <is>
          <t>HALLANDS LÄN</t>
        </is>
      </c>
      <c r="E46" t="inlineStr">
        <is>
          <t>HALMSTAD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19203-2019</t>
        </is>
      </c>
      <c r="B47" s="1" t="n">
        <v>43564</v>
      </c>
      <c r="C47" s="1" t="n">
        <v>45875</v>
      </c>
      <c r="D47" t="inlineStr">
        <is>
          <t>HALLANDS LÄN</t>
        </is>
      </c>
      <c r="E47" t="inlineStr">
        <is>
          <t>HALMSTAD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20327-2019</t>
        </is>
      </c>
      <c r="B48" s="1" t="n">
        <v>43571</v>
      </c>
      <c r="C48" s="1" t="n">
        <v>45875</v>
      </c>
      <c r="D48" t="inlineStr">
        <is>
          <t>HALLANDS LÄN</t>
        </is>
      </c>
      <c r="E48" t="inlineStr">
        <is>
          <t>HALMSTAD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20554-2019</t>
        </is>
      </c>
      <c r="B49" s="1" t="n">
        <v>43572</v>
      </c>
      <c r="C49" s="1" t="n">
        <v>45875</v>
      </c>
      <c r="D49" t="inlineStr">
        <is>
          <t>HALLANDS LÄN</t>
        </is>
      </c>
      <c r="E49" t="inlineStr">
        <is>
          <t>HALMSTAD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21163-2019</t>
        </is>
      </c>
      <c r="B50" s="1" t="n">
        <v>43578</v>
      </c>
      <c r="C50" s="1" t="n">
        <v>45875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21159-2019</t>
        </is>
      </c>
      <c r="B51" s="1" t="n">
        <v>43578</v>
      </c>
      <c r="C51" s="1" t="n">
        <v>45875</v>
      </c>
      <c r="D51" t="inlineStr">
        <is>
          <t>HALLANDS LÄN</t>
        </is>
      </c>
      <c r="E51" t="inlineStr">
        <is>
          <t>HALMSTAD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21536-2019</t>
        </is>
      </c>
      <c r="B52" s="1" t="n">
        <v>43580</v>
      </c>
      <c r="C52" s="1" t="n">
        <v>45875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21713-2019</t>
        </is>
      </c>
      <c r="B53" s="1" t="n">
        <v>43581</v>
      </c>
      <c r="C53" s="1" t="n">
        <v>45875</v>
      </c>
      <c r="D53" t="inlineStr">
        <is>
          <t>HALLANDS LÄN</t>
        </is>
      </c>
      <c r="E53" t="inlineStr">
        <is>
          <t>HALMSTAD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23552-2019</t>
        </is>
      </c>
      <c r="B54" s="1" t="n">
        <v>43593</v>
      </c>
      <c r="C54" s="1" t="n">
        <v>45875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23522-2019</t>
        </is>
      </c>
      <c r="B55" s="1" t="n">
        <v>43593</v>
      </c>
      <c r="C55" s="1" t="n">
        <v>45875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24480-2019</t>
        </is>
      </c>
      <c r="B56" s="1" t="n">
        <v>43600</v>
      </c>
      <c r="C56" s="1" t="n">
        <v>45875</v>
      </c>
      <c r="D56" t="inlineStr">
        <is>
          <t>HALLANDS LÄN</t>
        </is>
      </c>
      <c r="E56" t="inlineStr">
        <is>
          <t>HALMSTAD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25198-2019</t>
        </is>
      </c>
      <c r="B57" s="1" t="n">
        <v>43605</v>
      </c>
      <c r="C57" s="1" t="n">
        <v>45875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25222-2019</t>
        </is>
      </c>
      <c r="B58" s="1" t="n">
        <v>43605</v>
      </c>
      <c r="C58" s="1" t="n">
        <v>45875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26295-2019</t>
        </is>
      </c>
      <c r="B59" s="1" t="n">
        <v>43606</v>
      </c>
      <c r="C59" s="1" t="n">
        <v>45875</v>
      </c>
      <c r="D59" t="inlineStr">
        <is>
          <t>HALLANDS LÄN</t>
        </is>
      </c>
      <c r="E59" t="inlineStr">
        <is>
          <t>HALMSTAD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26135-2019</t>
        </is>
      </c>
      <c r="B60" s="1" t="n">
        <v>43609</v>
      </c>
      <c r="C60" s="1" t="n">
        <v>45875</v>
      </c>
      <c r="D60" t="inlineStr">
        <is>
          <t>HALLANDS LÄN</t>
        </is>
      </c>
      <c r="E60" t="inlineStr">
        <is>
          <t>HALMSTAD</t>
        </is>
      </c>
      <c r="F60" t="inlineStr">
        <is>
          <t>Övriga statliga verk och myndigheter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27796-2019</t>
        </is>
      </c>
      <c r="B61" s="1" t="n">
        <v>43620</v>
      </c>
      <c r="C61" s="1" t="n">
        <v>45875</v>
      </c>
      <c r="D61" t="inlineStr">
        <is>
          <t>HALLANDS LÄN</t>
        </is>
      </c>
      <c r="E61" t="inlineStr">
        <is>
          <t>HALMSTAD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29870-2019</t>
        </is>
      </c>
      <c r="B62" s="1" t="n">
        <v>43633</v>
      </c>
      <c r="C62" s="1" t="n">
        <v>45875</v>
      </c>
      <c r="D62" t="inlineStr">
        <is>
          <t>HALLANDS LÄN</t>
        </is>
      </c>
      <c r="E62" t="inlineStr">
        <is>
          <t>HALMSTAD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30422-2019</t>
        </is>
      </c>
      <c r="B63" s="1" t="n">
        <v>43633</v>
      </c>
      <c r="C63" s="1" t="n">
        <v>45875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30490-2019</t>
        </is>
      </c>
      <c r="B64" s="1" t="n">
        <v>43635</v>
      </c>
      <c r="C64" s="1" t="n">
        <v>45875</v>
      </c>
      <c r="D64" t="inlineStr">
        <is>
          <t>HALLANDS LÄN</t>
        </is>
      </c>
      <c r="E64" t="inlineStr">
        <is>
          <t>HALMSTAD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31527-2019</t>
        </is>
      </c>
      <c r="B65" s="1" t="n">
        <v>43641</v>
      </c>
      <c r="C65" s="1" t="n">
        <v>45875</v>
      </c>
      <c r="D65" t="inlineStr">
        <is>
          <t>HALLANDS LÄN</t>
        </is>
      </c>
      <c r="E65" t="inlineStr">
        <is>
          <t>HALMSTAD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31367-2019</t>
        </is>
      </c>
      <c r="B66" s="1" t="n">
        <v>43641</v>
      </c>
      <c r="C66" s="1" t="n">
        <v>45875</v>
      </c>
      <c r="D66" t="inlineStr">
        <is>
          <t>HALLANDS LÄN</t>
        </is>
      </c>
      <c r="E66" t="inlineStr">
        <is>
          <t>HALMSTAD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32265-2019</t>
        </is>
      </c>
      <c r="B67" s="1" t="n">
        <v>43644</v>
      </c>
      <c r="C67" s="1" t="n">
        <v>45875</v>
      </c>
      <c r="D67" t="inlineStr">
        <is>
          <t>HALLANDS LÄN</t>
        </is>
      </c>
      <c r="E67" t="inlineStr">
        <is>
          <t>HALMSTAD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32755-2019</t>
        </is>
      </c>
      <c r="B68" s="1" t="n">
        <v>43648</v>
      </c>
      <c r="C68" s="1" t="n">
        <v>45875</v>
      </c>
      <c r="D68" t="inlineStr">
        <is>
          <t>HALLANDS LÄN</t>
        </is>
      </c>
      <c r="E68" t="inlineStr">
        <is>
          <t>HALMSTAD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33945-2019</t>
        </is>
      </c>
      <c r="B69" s="1" t="n">
        <v>43654</v>
      </c>
      <c r="C69" s="1" t="n">
        <v>45875</v>
      </c>
      <c r="D69" t="inlineStr">
        <is>
          <t>HALLANDS LÄN</t>
        </is>
      </c>
      <c r="E69" t="inlineStr">
        <is>
          <t>HALMSTAD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34849-2019</t>
        </is>
      </c>
      <c r="B70" s="1" t="n">
        <v>43658</v>
      </c>
      <c r="C70" s="1" t="n">
        <v>45875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34850-2019</t>
        </is>
      </c>
      <c r="B71" s="1" t="n">
        <v>43658</v>
      </c>
      <c r="C71" s="1" t="n">
        <v>45875</v>
      </c>
      <c r="D71" t="inlineStr">
        <is>
          <t>HALLANDS LÄN</t>
        </is>
      </c>
      <c r="E71" t="inlineStr">
        <is>
          <t>HALMSTAD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36757-2019</t>
        </is>
      </c>
      <c r="B72" s="1" t="n">
        <v>43672</v>
      </c>
      <c r="C72" s="1" t="n">
        <v>45875</v>
      </c>
      <c r="D72" t="inlineStr">
        <is>
          <t>HALLANDS LÄN</t>
        </is>
      </c>
      <c r="E72" t="inlineStr">
        <is>
          <t>HALMSTAD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38958-2019</t>
        </is>
      </c>
      <c r="B73" s="1" t="n">
        <v>43685</v>
      </c>
      <c r="C73" s="1" t="n">
        <v>45875</v>
      </c>
      <c r="D73" t="inlineStr">
        <is>
          <t>HALLANDS LÄN</t>
        </is>
      </c>
      <c r="E73" t="inlineStr">
        <is>
          <t>HALMSTAD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38962-2019</t>
        </is>
      </c>
      <c r="B74" s="1" t="n">
        <v>43685</v>
      </c>
      <c r="C74" s="1" t="n">
        <v>45875</v>
      </c>
      <c r="D74" t="inlineStr">
        <is>
          <t>HALLANDS LÄN</t>
        </is>
      </c>
      <c r="E74" t="inlineStr">
        <is>
          <t>HALMSTAD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39657-2019</t>
        </is>
      </c>
      <c r="B75" s="1" t="n">
        <v>43691</v>
      </c>
      <c r="C75" s="1" t="n">
        <v>45875</v>
      </c>
      <c r="D75" t="inlineStr">
        <is>
          <t>HALLANDS LÄN</t>
        </is>
      </c>
      <c r="E75" t="inlineStr">
        <is>
          <t>HALMSTAD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39820-2019</t>
        </is>
      </c>
      <c r="B76" s="1" t="n">
        <v>43692</v>
      </c>
      <c r="C76" s="1" t="n">
        <v>45875</v>
      </c>
      <c r="D76" t="inlineStr">
        <is>
          <t>HALLANDS LÄN</t>
        </is>
      </c>
      <c r="E76" t="inlineStr">
        <is>
          <t>HALMSTAD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41064-2019</t>
        </is>
      </c>
      <c r="B77" s="1" t="n">
        <v>43698</v>
      </c>
      <c r="C77" s="1" t="n">
        <v>45875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41177-2019</t>
        </is>
      </c>
      <c r="B78" s="1" t="n">
        <v>43698</v>
      </c>
      <c r="C78" s="1" t="n">
        <v>45875</v>
      </c>
      <c r="D78" t="inlineStr">
        <is>
          <t>HALLANDS LÄN</t>
        </is>
      </c>
      <c r="E78" t="inlineStr">
        <is>
          <t>HALMSTAD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41295-2019</t>
        </is>
      </c>
      <c r="B79" s="1" t="n">
        <v>43698</v>
      </c>
      <c r="C79" s="1" t="n">
        <v>45875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41302-2019</t>
        </is>
      </c>
      <c r="B80" s="1" t="n">
        <v>43698</v>
      </c>
      <c r="C80" s="1" t="n">
        <v>45875</v>
      </c>
      <c r="D80" t="inlineStr">
        <is>
          <t>HALLANDS LÄN</t>
        </is>
      </c>
      <c r="E80" t="inlineStr">
        <is>
          <t>HALMSTAD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41301-2019</t>
        </is>
      </c>
      <c r="B81" s="1" t="n">
        <v>43698</v>
      </c>
      <c r="C81" s="1" t="n">
        <v>45875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44175-2019</t>
        </is>
      </c>
      <c r="B82" s="1" t="n">
        <v>43710</v>
      </c>
      <c r="C82" s="1" t="n">
        <v>45875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44170-2019</t>
        </is>
      </c>
      <c r="B83" s="1" t="n">
        <v>43710</v>
      </c>
      <c r="C83" s="1" t="n">
        <v>45875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46030-2019</t>
        </is>
      </c>
      <c r="B84" s="1" t="n">
        <v>43718</v>
      </c>
      <c r="C84" s="1" t="n">
        <v>45875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46041-2019</t>
        </is>
      </c>
      <c r="B85" s="1" t="n">
        <v>43718</v>
      </c>
      <c r="C85" s="1" t="n">
        <v>45875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46035-2019</t>
        </is>
      </c>
      <c r="B86" s="1" t="n">
        <v>43718</v>
      </c>
      <c r="C86" s="1" t="n">
        <v>45875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46042-2019</t>
        </is>
      </c>
      <c r="B87" s="1" t="n">
        <v>43718</v>
      </c>
      <c r="C87" s="1" t="n">
        <v>45875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46025-2019</t>
        </is>
      </c>
      <c r="B88" s="1" t="n">
        <v>43718</v>
      </c>
      <c r="C88" s="1" t="n">
        <v>45875</v>
      </c>
      <c r="D88" t="inlineStr">
        <is>
          <t>HALLANDS LÄN</t>
        </is>
      </c>
      <c r="E88" t="inlineStr">
        <is>
          <t>HALMSTAD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47139-2019</t>
        </is>
      </c>
      <c r="B89" s="1" t="n">
        <v>43721</v>
      </c>
      <c r="C89" s="1" t="n">
        <v>45875</v>
      </c>
      <c r="D89" t="inlineStr">
        <is>
          <t>HALLANDS LÄN</t>
        </is>
      </c>
      <c r="E89" t="inlineStr">
        <is>
          <t>HALMSTAD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47480-2019</t>
        </is>
      </c>
      <c r="B90" s="1" t="n">
        <v>43724</v>
      </c>
      <c r="C90" s="1" t="n">
        <v>45875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48619-2019</t>
        </is>
      </c>
      <c r="B91" s="1" t="n">
        <v>43727</v>
      </c>
      <c r="C91" s="1" t="n">
        <v>45875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49808-2019</t>
        </is>
      </c>
      <c r="B92" s="1" t="n">
        <v>43733</v>
      </c>
      <c r="C92" s="1" t="n">
        <v>45875</v>
      </c>
      <c r="D92" t="inlineStr">
        <is>
          <t>HALLANDS LÄN</t>
        </is>
      </c>
      <c r="E92" t="inlineStr">
        <is>
          <t>HALMSTAD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52108-2019</t>
        </is>
      </c>
      <c r="B93" s="1" t="n">
        <v>43742</v>
      </c>
      <c r="C93" s="1" t="n">
        <v>45875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53861-2019</t>
        </is>
      </c>
      <c r="B94" s="1" t="n">
        <v>43742</v>
      </c>
      <c r="C94" s="1" t="n">
        <v>45875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52106-2019</t>
        </is>
      </c>
      <c r="B95" s="1" t="n">
        <v>43742</v>
      </c>
      <c r="C95" s="1" t="n">
        <v>45875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52118-2019</t>
        </is>
      </c>
      <c r="B96" s="1" t="n">
        <v>43742</v>
      </c>
      <c r="C96" s="1" t="n">
        <v>45875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53283-2019</t>
        </is>
      </c>
      <c r="B97" s="1" t="n">
        <v>43748</v>
      </c>
      <c r="C97" s="1" t="n">
        <v>45875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54461-2019</t>
        </is>
      </c>
      <c r="B98" s="1" t="n">
        <v>43754</v>
      </c>
      <c r="C98" s="1" t="n">
        <v>45875</v>
      </c>
      <c r="D98" t="inlineStr">
        <is>
          <t>HALLANDS LÄN</t>
        </is>
      </c>
      <c r="E98" t="inlineStr">
        <is>
          <t>HALMSTAD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58277-2019</t>
        </is>
      </c>
      <c r="B99" s="1" t="n">
        <v>43770</v>
      </c>
      <c r="C99" s="1" t="n">
        <v>45875</v>
      </c>
      <c r="D99" t="inlineStr">
        <is>
          <t>HALLANDS LÄN</t>
        </is>
      </c>
      <c r="E99" t="inlineStr">
        <is>
          <t>HALMSTAD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59406-2019</t>
        </is>
      </c>
      <c r="B100" s="1" t="n">
        <v>43775</v>
      </c>
      <c r="C100" s="1" t="n">
        <v>45875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59410-2019</t>
        </is>
      </c>
      <c r="B101" s="1" t="n">
        <v>43775</v>
      </c>
      <c r="C101" s="1" t="n">
        <v>45875</v>
      </c>
      <c r="D101" t="inlineStr">
        <is>
          <t>HALLANDS LÄN</t>
        </is>
      </c>
      <c r="E101" t="inlineStr">
        <is>
          <t>HALMSTAD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59407-2019</t>
        </is>
      </c>
      <c r="B102" s="1" t="n">
        <v>43775</v>
      </c>
      <c r="C102" s="1" t="n">
        <v>45875</v>
      </c>
      <c r="D102" t="inlineStr">
        <is>
          <t>HALLANDS LÄN</t>
        </is>
      </c>
      <c r="E102" t="inlineStr">
        <is>
          <t>HALMSTAD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59348-2019</t>
        </is>
      </c>
      <c r="B103" s="1" t="n">
        <v>43775</v>
      </c>
      <c r="C103" s="1" t="n">
        <v>45875</v>
      </c>
      <c r="D103" t="inlineStr">
        <is>
          <t>HALLANDS LÄN</t>
        </is>
      </c>
      <c r="E103" t="inlineStr">
        <is>
          <t>HALMSTAD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62365-2019</t>
        </is>
      </c>
      <c r="B104" s="1" t="n">
        <v>43788</v>
      </c>
      <c r="C104" s="1" t="n">
        <v>45875</v>
      </c>
      <c r="D104" t="inlineStr">
        <is>
          <t>HALLANDS LÄN</t>
        </is>
      </c>
      <c r="E104" t="inlineStr">
        <is>
          <t>HALMSTAD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62601-2019</t>
        </is>
      </c>
      <c r="B105" s="1" t="n">
        <v>43789</v>
      </c>
      <c r="C105" s="1" t="n">
        <v>45875</v>
      </c>
      <c r="D105" t="inlineStr">
        <is>
          <t>HALLANDS LÄN</t>
        </is>
      </c>
      <c r="E105" t="inlineStr">
        <is>
          <t>HALMSTAD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64877-2019</t>
        </is>
      </c>
      <c r="B106" s="1" t="n">
        <v>43795</v>
      </c>
      <c r="C106" s="1" t="n">
        <v>45875</v>
      </c>
      <c r="D106" t="inlineStr">
        <is>
          <t>HALLANDS LÄN</t>
        </is>
      </c>
      <c r="E106" t="inlineStr">
        <is>
          <t>HALMSTAD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64033-2019</t>
        </is>
      </c>
      <c r="B107" s="1" t="n">
        <v>43795</v>
      </c>
      <c r="C107" s="1" t="n">
        <v>45875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63858-2019</t>
        </is>
      </c>
      <c r="B108" s="1" t="n">
        <v>43796</v>
      </c>
      <c r="C108" s="1" t="n">
        <v>45875</v>
      </c>
      <c r="D108" t="inlineStr">
        <is>
          <t>HALLANDS LÄN</t>
        </is>
      </c>
      <c r="E108" t="inlineStr">
        <is>
          <t>HALMSTAD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63907-2019</t>
        </is>
      </c>
      <c r="B109" s="1" t="n">
        <v>43796</v>
      </c>
      <c r="C109" s="1" t="n">
        <v>45875</v>
      </c>
      <c r="D109" t="inlineStr">
        <is>
          <t>HALLANDS LÄN</t>
        </is>
      </c>
      <c r="E109" t="inlineStr">
        <is>
          <t>HALMSTAD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63975-2019</t>
        </is>
      </c>
      <c r="B110" s="1" t="n">
        <v>43796</v>
      </c>
      <c r="C110" s="1" t="n">
        <v>45875</v>
      </c>
      <c r="D110" t="inlineStr">
        <is>
          <t>HALLANDS LÄN</t>
        </is>
      </c>
      <c r="E110" t="inlineStr">
        <is>
          <t>HALMSTAD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66779-2019</t>
        </is>
      </c>
      <c r="B111" s="1" t="n">
        <v>43810</v>
      </c>
      <c r="C111" s="1" t="n">
        <v>45875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66778-2019</t>
        </is>
      </c>
      <c r="B112" s="1" t="n">
        <v>43810</v>
      </c>
      <c r="C112" s="1" t="n">
        <v>45875</v>
      </c>
      <c r="D112" t="inlineStr">
        <is>
          <t>HALLANDS LÄN</t>
        </is>
      </c>
      <c r="E112" t="inlineStr">
        <is>
          <t>HALMSTAD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67209-2019</t>
        </is>
      </c>
      <c r="B113" s="1" t="n">
        <v>43811</v>
      </c>
      <c r="C113" s="1" t="n">
        <v>45875</v>
      </c>
      <c r="D113" t="inlineStr">
        <is>
          <t>HALLANDS LÄN</t>
        </is>
      </c>
      <c r="E113" t="inlineStr">
        <is>
          <t>HALMSTAD</t>
        </is>
      </c>
      <c r="F113" t="inlineStr">
        <is>
          <t>Övriga statliga verk och myndigheter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1959-2020</t>
        </is>
      </c>
      <c r="B114" s="1" t="n">
        <v>43845</v>
      </c>
      <c r="C114" s="1" t="n">
        <v>45875</v>
      </c>
      <c r="D114" t="inlineStr">
        <is>
          <t>HALLANDS LÄN</t>
        </is>
      </c>
      <c r="E114" t="inlineStr">
        <is>
          <t>HALMSTAD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4903-2020</t>
        </is>
      </c>
      <c r="B115" s="1" t="n">
        <v>43859</v>
      </c>
      <c r="C115" s="1" t="n">
        <v>45875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5019-2020</t>
        </is>
      </c>
      <c r="B116" s="1" t="n">
        <v>43859</v>
      </c>
      <c r="C116" s="1" t="n">
        <v>45875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5414-2020</t>
        </is>
      </c>
      <c r="B117" s="1" t="n">
        <v>43860</v>
      </c>
      <c r="C117" s="1" t="n">
        <v>45875</v>
      </c>
      <c r="D117" t="inlineStr">
        <is>
          <t>HALLANDS LÄN</t>
        </is>
      </c>
      <c r="E117" t="inlineStr">
        <is>
          <t>HALMSTAD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5771-2020</t>
        </is>
      </c>
      <c r="B118" s="1" t="n">
        <v>43864</v>
      </c>
      <c r="C118" s="1" t="n">
        <v>45875</v>
      </c>
      <c r="D118" t="inlineStr">
        <is>
          <t>HALLANDS LÄN</t>
        </is>
      </c>
      <c r="E118" t="inlineStr">
        <is>
          <t>HALMSTAD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7593-2020</t>
        </is>
      </c>
      <c r="B119" s="1" t="n">
        <v>43872</v>
      </c>
      <c r="C119" s="1" t="n">
        <v>45875</v>
      </c>
      <c r="D119" t="inlineStr">
        <is>
          <t>HALLANDS LÄN</t>
        </is>
      </c>
      <c r="E119" t="inlineStr">
        <is>
          <t>HALMSTAD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9221-2020</t>
        </is>
      </c>
      <c r="B120" s="1" t="n">
        <v>43879</v>
      </c>
      <c r="C120" s="1" t="n">
        <v>45875</v>
      </c>
      <c r="D120" t="inlineStr">
        <is>
          <t>HALLANDS LÄN</t>
        </is>
      </c>
      <c r="E120" t="inlineStr">
        <is>
          <t>HALMSTAD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9219-2020</t>
        </is>
      </c>
      <c r="B121" s="1" t="n">
        <v>43879</v>
      </c>
      <c r="C121" s="1" t="n">
        <v>45875</v>
      </c>
      <c r="D121" t="inlineStr">
        <is>
          <t>HALLANDS LÄN</t>
        </is>
      </c>
      <c r="E121" t="inlineStr">
        <is>
          <t>HALMSTAD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9477-2020</t>
        </is>
      </c>
      <c r="B122" s="1" t="n">
        <v>43880</v>
      </c>
      <c r="C122" s="1" t="n">
        <v>45875</v>
      </c>
      <c r="D122" t="inlineStr">
        <is>
          <t>HALLANDS LÄN</t>
        </is>
      </c>
      <c r="E122" t="inlineStr">
        <is>
          <t>HALMSTAD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9452-2020</t>
        </is>
      </c>
      <c r="B123" s="1" t="n">
        <v>43880</v>
      </c>
      <c r="C123" s="1" t="n">
        <v>45875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9459-2020</t>
        </is>
      </c>
      <c r="B124" s="1" t="n">
        <v>43880</v>
      </c>
      <c r="C124" s="1" t="n">
        <v>45875</v>
      </c>
      <c r="D124" t="inlineStr">
        <is>
          <t>HALLANDS LÄN</t>
        </is>
      </c>
      <c r="E124" t="inlineStr">
        <is>
          <t>HALMSTAD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10232-2020</t>
        </is>
      </c>
      <c r="B125" s="1" t="n">
        <v>43887</v>
      </c>
      <c r="C125" s="1" t="n">
        <v>45875</v>
      </c>
      <c r="D125" t="inlineStr">
        <is>
          <t>HALLANDS LÄN</t>
        </is>
      </c>
      <c r="E125" t="inlineStr">
        <is>
          <t>HALMSTAD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12189-2020</t>
        </is>
      </c>
      <c r="B126" s="1" t="n">
        <v>43895</v>
      </c>
      <c r="C126" s="1" t="n">
        <v>45875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13405-2020</t>
        </is>
      </c>
      <c r="B127" s="1" t="n">
        <v>43902</v>
      </c>
      <c r="C127" s="1" t="n">
        <v>45875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13398-2020</t>
        </is>
      </c>
      <c r="B128" s="1" t="n">
        <v>43902</v>
      </c>
      <c r="C128" s="1" t="n">
        <v>45875</v>
      </c>
      <c r="D128" t="inlineStr">
        <is>
          <t>HALLANDS LÄN</t>
        </is>
      </c>
      <c r="E128" t="inlineStr">
        <is>
          <t>HALMSTAD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16582-2020</t>
        </is>
      </c>
      <c r="B129" s="1" t="n">
        <v>43909</v>
      </c>
      <c r="C129" s="1" t="n">
        <v>45875</v>
      </c>
      <c r="D129" t="inlineStr">
        <is>
          <t>HALLANDS LÄN</t>
        </is>
      </c>
      <c r="E129" t="inlineStr">
        <is>
          <t>HALMSTAD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16029-2020</t>
        </is>
      </c>
      <c r="B130" s="1" t="n">
        <v>43916</v>
      </c>
      <c r="C130" s="1" t="n">
        <v>45875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17724-2020</t>
        </is>
      </c>
      <c r="B131" s="1" t="n">
        <v>43924</v>
      </c>
      <c r="C131" s="1" t="n">
        <v>45875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17725-2020</t>
        </is>
      </c>
      <c r="B132" s="1" t="n">
        <v>43924</v>
      </c>
      <c r="C132" s="1" t="n">
        <v>45875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18125-2020</t>
        </is>
      </c>
      <c r="B133" s="1" t="n">
        <v>43927</v>
      </c>
      <c r="C133" s="1" t="n">
        <v>45875</v>
      </c>
      <c r="D133" t="inlineStr">
        <is>
          <t>HALLANDS LÄN</t>
        </is>
      </c>
      <c r="E133" t="inlineStr">
        <is>
          <t>HALMSTAD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19209-2020</t>
        </is>
      </c>
      <c r="B134" s="1" t="n">
        <v>43937</v>
      </c>
      <c r="C134" s="1" t="n">
        <v>45875</v>
      </c>
      <c r="D134" t="inlineStr">
        <is>
          <t>HALLANDS LÄN</t>
        </is>
      </c>
      <c r="E134" t="inlineStr">
        <is>
          <t>HALMSTAD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19737-2020</t>
        </is>
      </c>
      <c r="B135" s="1" t="n">
        <v>43942</v>
      </c>
      <c r="C135" s="1" t="n">
        <v>45875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20208-2020</t>
        </is>
      </c>
      <c r="B136" s="1" t="n">
        <v>43944</v>
      </c>
      <c r="C136" s="1" t="n">
        <v>45875</v>
      </c>
      <c r="D136" t="inlineStr">
        <is>
          <t>HALLANDS LÄN</t>
        </is>
      </c>
      <c r="E136" t="inlineStr">
        <is>
          <t>HALMSTAD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20297-2020</t>
        </is>
      </c>
      <c r="B137" s="1" t="n">
        <v>43944</v>
      </c>
      <c r="C137" s="1" t="n">
        <v>45875</v>
      </c>
      <c r="D137" t="inlineStr">
        <is>
          <t>HALLANDS LÄN</t>
        </is>
      </c>
      <c r="E137" t="inlineStr">
        <is>
          <t>HALMSTAD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20457-2020</t>
        </is>
      </c>
      <c r="B138" s="1" t="n">
        <v>43948</v>
      </c>
      <c r="C138" s="1" t="n">
        <v>45875</v>
      </c>
      <c r="D138" t="inlineStr">
        <is>
          <t>HALLANDS LÄN</t>
        </is>
      </c>
      <c r="E138" t="inlineStr">
        <is>
          <t>HALMSTAD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20637-2020</t>
        </is>
      </c>
      <c r="B139" s="1" t="n">
        <v>43949</v>
      </c>
      <c r="C139" s="1" t="n">
        <v>45875</v>
      </c>
      <c r="D139" t="inlineStr">
        <is>
          <t>HALLANDS LÄN</t>
        </is>
      </c>
      <c r="E139" t="inlineStr">
        <is>
          <t>HALMSTAD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20828-2020</t>
        </is>
      </c>
      <c r="B140" s="1" t="n">
        <v>43949</v>
      </c>
      <c r="C140" s="1" t="n">
        <v>45875</v>
      </c>
      <c r="D140" t="inlineStr">
        <is>
          <t>HALLANDS LÄN</t>
        </is>
      </c>
      <c r="E140" t="inlineStr">
        <is>
          <t>HALMSTAD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20896-2020</t>
        </is>
      </c>
      <c r="B141" s="1" t="n">
        <v>43950</v>
      </c>
      <c r="C141" s="1" t="n">
        <v>45875</v>
      </c>
      <c r="D141" t="inlineStr">
        <is>
          <t>HALLANDS LÄN</t>
        </is>
      </c>
      <c r="E141" t="inlineStr">
        <is>
          <t>HALMSTAD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24545-2020</t>
        </is>
      </c>
      <c r="B142" s="1" t="n">
        <v>43977</v>
      </c>
      <c r="C142" s="1" t="n">
        <v>45875</v>
      </c>
      <c r="D142" t="inlineStr">
        <is>
          <t>HALLANDS LÄN</t>
        </is>
      </c>
      <c r="E142" t="inlineStr">
        <is>
          <t>HALMSTAD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24544-2020</t>
        </is>
      </c>
      <c r="B143" s="1" t="n">
        <v>43977</v>
      </c>
      <c r="C143" s="1" t="n">
        <v>45875</v>
      </c>
      <c r="D143" t="inlineStr">
        <is>
          <t>HALLANDS LÄN</t>
        </is>
      </c>
      <c r="E143" t="inlineStr">
        <is>
          <t>HALMSTAD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24848-2020</t>
        </is>
      </c>
      <c r="B144" s="1" t="n">
        <v>43978</v>
      </c>
      <c r="C144" s="1" t="n">
        <v>45875</v>
      </c>
      <c r="D144" t="inlineStr">
        <is>
          <t>HALLANDS LÄN</t>
        </is>
      </c>
      <c r="E144" t="inlineStr">
        <is>
          <t>HALMSTAD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24686-2020</t>
        </is>
      </c>
      <c r="B145" s="1" t="n">
        <v>43978</v>
      </c>
      <c r="C145" s="1" t="n">
        <v>45875</v>
      </c>
      <c r="D145" t="inlineStr">
        <is>
          <t>HALLANDS LÄN</t>
        </is>
      </c>
      <c r="E145" t="inlineStr">
        <is>
          <t>HALMSTAD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26294-2020</t>
        </is>
      </c>
      <c r="B146" s="1" t="n">
        <v>43986</v>
      </c>
      <c r="C146" s="1" t="n">
        <v>45875</v>
      </c>
      <c r="D146" t="inlineStr">
        <is>
          <t>HALLANDS LÄN</t>
        </is>
      </c>
      <c r="E146" t="inlineStr">
        <is>
          <t>HALMSTAD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27024-2020</t>
        </is>
      </c>
      <c r="B147" s="1" t="n">
        <v>43991</v>
      </c>
      <c r="C147" s="1" t="n">
        <v>45875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27021-2020</t>
        </is>
      </c>
      <c r="B148" s="1" t="n">
        <v>43991</v>
      </c>
      <c r="C148" s="1" t="n">
        <v>45875</v>
      </c>
      <c r="D148" t="inlineStr">
        <is>
          <t>HALLANDS LÄN</t>
        </is>
      </c>
      <c r="E148" t="inlineStr">
        <is>
          <t>HALMSTAD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27795-2020</t>
        </is>
      </c>
      <c r="B149" s="1" t="n">
        <v>43994</v>
      </c>
      <c r="C149" s="1" t="n">
        <v>45875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28651-2020</t>
        </is>
      </c>
      <c r="B150" s="1" t="n">
        <v>43999</v>
      </c>
      <c r="C150" s="1" t="n">
        <v>45875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28657-2020</t>
        </is>
      </c>
      <c r="B151" s="1" t="n">
        <v>43999</v>
      </c>
      <c r="C151" s="1" t="n">
        <v>45875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28639-2020</t>
        </is>
      </c>
      <c r="B152" s="1" t="n">
        <v>43999</v>
      </c>
      <c r="C152" s="1" t="n">
        <v>45875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28847-2020</t>
        </is>
      </c>
      <c r="B153" s="1" t="n">
        <v>44000</v>
      </c>
      <c r="C153" s="1" t="n">
        <v>45875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28841-2020</t>
        </is>
      </c>
      <c r="B154" s="1" t="n">
        <v>44000</v>
      </c>
      <c r="C154" s="1" t="n">
        <v>45875</v>
      </c>
      <c r="D154" t="inlineStr">
        <is>
          <t>HALLANDS LÄN</t>
        </is>
      </c>
      <c r="E154" t="inlineStr">
        <is>
          <t>HALMSTAD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29265-2020</t>
        </is>
      </c>
      <c r="B155" s="1" t="n">
        <v>44004</v>
      </c>
      <c r="C155" s="1" t="n">
        <v>45875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29535-2020</t>
        </is>
      </c>
      <c r="B156" s="1" t="n">
        <v>44005</v>
      </c>
      <c r="C156" s="1" t="n">
        <v>45875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30693-2020</t>
        </is>
      </c>
      <c r="B157" s="1" t="n">
        <v>44008</v>
      </c>
      <c r="C157" s="1" t="n">
        <v>45875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33308-2020</t>
        </is>
      </c>
      <c r="B158" s="1" t="n">
        <v>44022</v>
      </c>
      <c r="C158" s="1" t="n">
        <v>45875</v>
      </c>
      <c r="D158" t="inlineStr">
        <is>
          <t>HALLANDS LÄN</t>
        </is>
      </c>
      <c r="E158" t="inlineStr">
        <is>
          <t>HALMSTAD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36129-2020</t>
        </is>
      </c>
      <c r="B159" s="1" t="n">
        <v>44048</v>
      </c>
      <c r="C159" s="1" t="n">
        <v>45875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37792-2020</t>
        </is>
      </c>
      <c r="B160" s="1" t="n">
        <v>44057</v>
      </c>
      <c r="C160" s="1" t="n">
        <v>45875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39483-2020</t>
        </is>
      </c>
      <c r="B161" s="1" t="n">
        <v>44064</v>
      </c>
      <c r="C161" s="1" t="n">
        <v>45875</v>
      </c>
      <c r="D161" t="inlineStr">
        <is>
          <t>HALLANDS LÄN</t>
        </is>
      </c>
      <c r="E161" t="inlineStr">
        <is>
          <t>HALMSTAD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40270-2020</t>
        </is>
      </c>
      <c r="B162" s="1" t="n">
        <v>44068</v>
      </c>
      <c r="C162" s="1" t="n">
        <v>45875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40488-2020</t>
        </is>
      </c>
      <c r="B163" s="1" t="n">
        <v>44069</v>
      </c>
      <c r="C163" s="1" t="n">
        <v>45875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42015-2020</t>
        </is>
      </c>
      <c r="B164" s="1" t="n">
        <v>44075</v>
      </c>
      <c r="C164" s="1" t="n">
        <v>45875</v>
      </c>
      <c r="D164" t="inlineStr">
        <is>
          <t>HALLANDS LÄN</t>
        </is>
      </c>
      <c r="E164" t="inlineStr">
        <is>
          <t>HALMSTAD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42122-2020</t>
        </is>
      </c>
      <c r="B165" s="1" t="n">
        <v>44075</v>
      </c>
      <c r="C165" s="1" t="n">
        <v>45875</v>
      </c>
      <c r="D165" t="inlineStr">
        <is>
          <t>HALLANDS LÄN</t>
        </is>
      </c>
      <c r="E165" t="inlineStr">
        <is>
          <t>HALMSTAD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42339-2020</t>
        </is>
      </c>
      <c r="B166" s="1" t="n">
        <v>44076</v>
      </c>
      <c r="C166" s="1" t="n">
        <v>45875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44402-2020</t>
        </is>
      </c>
      <c r="B167" s="1" t="n">
        <v>44084</v>
      </c>
      <c r="C167" s="1" t="n">
        <v>45875</v>
      </c>
      <c r="D167" t="inlineStr">
        <is>
          <t>HALLANDS LÄN</t>
        </is>
      </c>
      <c r="E167" t="inlineStr">
        <is>
          <t>HALMSTAD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47492-2020</t>
        </is>
      </c>
      <c r="B168" s="1" t="n">
        <v>44098</v>
      </c>
      <c r="C168" s="1" t="n">
        <v>45875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52978-2020</t>
        </is>
      </c>
      <c r="B169" s="1" t="n">
        <v>44119</v>
      </c>
      <c r="C169" s="1" t="n">
        <v>45875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53012-2020</t>
        </is>
      </c>
      <c r="B170" s="1" t="n">
        <v>44120</v>
      </c>
      <c r="C170" s="1" t="n">
        <v>45875</v>
      </c>
      <c r="D170" t="inlineStr">
        <is>
          <t>HALLANDS LÄN</t>
        </is>
      </c>
      <c r="E170" t="inlineStr">
        <is>
          <t>HALMSTAD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53631-2020</t>
        </is>
      </c>
      <c r="B171" s="1" t="n">
        <v>44124</v>
      </c>
      <c r="C171" s="1" t="n">
        <v>45875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57849-2020</t>
        </is>
      </c>
      <c r="B172" s="1" t="n">
        <v>44141</v>
      </c>
      <c r="C172" s="1" t="n">
        <v>45875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59719-2020</t>
        </is>
      </c>
      <c r="B173" s="1" t="n">
        <v>44151</v>
      </c>
      <c r="C173" s="1" t="n">
        <v>45875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61907-2020</t>
        </is>
      </c>
      <c r="B174" s="1" t="n">
        <v>44159</v>
      </c>
      <c r="C174" s="1" t="n">
        <v>45875</v>
      </c>
      <c r="D174" t="inlineStr">
        <is>
          <t>HALLANDS LÄN</t>
        </is>
      </c>
      <c r="E174" t="inlineStr">
        <is>
          <t>HALMSTAD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61849-2020</t>
        </is>
      </c>
      <c r="B175" s="1" t="n">
        <v>44159</v>
      </c>
      <c r="C175" s="1" t="n">
        <v>45875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65404-2020</t>
        </is>
      </c>
      <c r="B176" s="1" t="n">
        <v>44173</v>
      </c>
      <c r="C176" s="1" t="n">
        <v>45875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65872-2020</t>
        </is>
      </c>
      <c r="B177" s="1" t="n">
        <v>44174</v>
      </c>
      <c r="C177" s="1" t="n">
        <v>45875</v>
      </c>
      <c r="D177" t="inlineStr">
        <is>
          <t>HALLANDS LÄN</t>
        </is>
      </c>
      <c r="E177" t="inlineStr">
        <is>
          <t>HALMSTAD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65870-2020</t>
        </is>
      </c>
      <c r="B178" s="1" t="n">
        <v>44174</v>
      </c>
      <c r="C178" s="1" t="n">
        <v>45875</v>
      </c>
      <c r="D178" t="inlineStr">
        <is>
          <t>HALLANDS LÄN</t>
        </is>
      </c>
      <c r="E178" t="inlineStr">
        <is>
          <t>HALMSTAD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66992-2020</t>
        </is>
      </c>
      <c r="B179" s="1" t="n">
        <v>44176</v>
      </c>
      <c r="C179" s="1" t="n">
        <v>45875</v>
      </c>
      <c r="D179" t="inlineStr">
        <is>
          <t>HALLANDS LÄN</t>
        </is>
      </c>
      <c r="E179" t="inlineStr">
        <is>
          <t>HALMSTAD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66575-2020</t>
        </is>
      </c>
      <c r="B180" s="1" t="n">
        <v>44179</v>
      </c>
      <c r="C180" s="1" t="n">
        <v>45875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66573-2020</t>
        </is>
      </c>
      <c r="B181" s="1" t="n">
        <v>44179</v>
      </c>
      <c r="C181" s="1" t="n">
        <v>45875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66920-2020</t>
        </is>
      </c>
      <c r="B182" s="1" t="n">
        <v>44180</v>
      </c>
      <c r="C182" s="1" t="n">
        <v>45875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66928-2020</t>
        </is>
      </c>
      <c r="B183" s="1" t="n">
        <v>44180</v>
      </c>
      <c r="C183" s="1" t="n">
        <v>45875</v>
      </c>
      <c r="D183" t="inlineStr">
        <is>
          <t>HALLANDS LÄN</t>
        </is>
      </c>
      <c r="E183" t="inlineStr">
        <is>
          <t>HALMSTAD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68830-2020</t>
        </is>
      </c>
      <c r="B184" s="1" t="n">
        <v>44187</v>
      </c>
      <c r="C184" s="1" t="n">
        <v>45875</v>
      </c>
      <c r="D184" t="inlineStr">
        <is>
          <t>HALLANDS LÄN</t>
        </is>
      </c>
      <c r="E184" t="inlineStr">
        <is>
          <t>HALMSTAD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68894-2020</t>
        </is>
      </c>
      <c r="B185" s="1" t="n">
        <v>44187</v>
      </c>
      <c r="C185" s="1" t="n">
        <v>45875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720-2021</t>
        </is>
      </c>
      <c r="B186" s="1" t="n">
        <v>44204</v>
      </c>
      <c r="C186" s="1" t="n">
        <v>45875</v>
      </c>
      <c r="D186" t="inlineStr">
        <is>
          <t>HALLANDS LÄN</t>
        </is>
      </c>
      <c r="E186" t="inlineStr">
        <is>
          <t>HALMSTAD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1583-2021</t>
        </is>
      </c>
      <c r="B187" s="1" t="n">
        <v>44209</v>
      </c>
      <c r="C187" s="1" t="n">
        <v>45875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2180-2021</t>
        </is>
      </c>
      <c r="B188" s="1" t="n">
        <v>44211</v>
      </c>
      <c r="C188" s="1" t="n">
        <v>45875</v>
      </c>
      <c r="D188" t="inlineStr">
        <is>
          <t>HALLANDS LÄN</t>
        </is>
      </c>
      <c r="E188" t="inlineStr">
        <is>
          <t>HALMSTAD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2070-2021</t>
        </is>
      </c>
      <c r="B189" s="1" t="n">
        <v>44211</v>
      </c>
      <c r="C189" s="1" t="n">
        <v>45875</v>
      </c>
      <c r="D189" t="inlineStr">
        <is>
          <t>HALLANDS LÄN</t>
        </is>
      </c>
      <c r="E189" t="inlineStr">
        <is>
          <t>HALMSTAD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45875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45875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45875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45875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45875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45875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45875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45875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45875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45875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45875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45875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45875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45875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45875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45875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45875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45875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45875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45875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45875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45875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45875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45875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45875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45875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45875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45875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45875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45875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45875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45875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45875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45875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45875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45875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45875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45875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45875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45875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45875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45875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45875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45875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45875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45875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45875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45875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45875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45875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45875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45875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45875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45875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45875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45875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45875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45875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45875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45875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45875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45875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45875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45875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45875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45875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45875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45875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45875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45875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45875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45875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45875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45875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45875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45875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45875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45875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45875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45875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45875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45875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45875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45875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45875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45875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45875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45875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45875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45875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45875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45875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45875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45875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45875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45875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45875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45875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45875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45875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45875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45875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45875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45875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45875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45875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45875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45875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45875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45875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45875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45875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45875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45875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45875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45875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45875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45875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45875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45875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45875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45875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45875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45875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45875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45875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45875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45875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45875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45875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45875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45875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45875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45875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45875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45875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45875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45875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45875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45875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45875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45875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45875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45875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45875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45875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45875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45875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45875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45875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45875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45875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45875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45875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45875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45875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45875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45875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45875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45875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45875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45875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45875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45875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45875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45875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45875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45875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45875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45875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45875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45875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45875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45875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45875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45875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45875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45875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45875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45875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45875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45875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45875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45875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45875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45875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45875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45875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45875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45875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45875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45875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45875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45875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45875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45875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45875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45875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45875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45875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45875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45875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45875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45875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45875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45875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45875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45875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45875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45875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45875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45875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45875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45875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45875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45875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45875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45875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45875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45875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45875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45875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45875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45875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45875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45875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45875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45875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45875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45875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45875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45875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45875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45875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45875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45875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45875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45875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45875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45875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45875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45875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45875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45875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45875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45875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45875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45875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45875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45875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45875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45875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45875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45875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45875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45875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45875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45875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45875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45875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45875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45875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45875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45875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45875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45875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45875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45875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45875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45875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45875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45875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45875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45875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45875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45875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45875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45875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45875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45875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45875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45875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45875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45875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45875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45875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45875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45875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45875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45875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45875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45875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45875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45875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45875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45875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45875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45875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45875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45875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45875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45875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45875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45875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45875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45875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45875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45875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45875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45875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45875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45875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45875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45875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45875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45875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45875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45875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45875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45875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45875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45875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45875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45875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45875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45875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45875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45875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45875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45875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45875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45875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45875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45875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45875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45875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45875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45875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45875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45875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45875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45875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45875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45875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45875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45875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45875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45875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45875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45875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45875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45875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45875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45875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45875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45875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45875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45875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45875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45875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45875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45875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45875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45875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45875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45875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45875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45875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45875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45875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45875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45875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45875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45875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45875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45875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45875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45875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45875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45875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45875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45875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45875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45875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45875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45875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45875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45875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45875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45875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45875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45875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45875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45875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45875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45875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45875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45875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45875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45875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45875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45875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45875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45875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45875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45875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45875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45875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45875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45875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45875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45875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45875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45875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45875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45875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45875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45875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45875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45875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45875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45875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45875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45875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45875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45875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45875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45875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45875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45875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45875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45875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45875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45875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45875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45875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45875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45875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45875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45875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45875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45875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45875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45875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45875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45875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45875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45875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45875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45875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45875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45875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45875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45875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45875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45875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45875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45875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45875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45875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45875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45875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45875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45875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45875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45875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45875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45875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45875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45875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45875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45875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45875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45875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45875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45875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45875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45875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45875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45875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45875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45875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45875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45875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45875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45875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45875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45875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45875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45875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45875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45875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45875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45875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45875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45875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45875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45875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45875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45875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45875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45875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45875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45875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45875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45875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45875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45875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45875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45875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45875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45875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45875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45875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45875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45875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45875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45875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45875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45875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45875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45875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45875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45875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45875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45875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45875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45875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45875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45875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45875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45875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45875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45875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45875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45875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45875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45875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45875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45875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45875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45875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45875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45875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45875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45875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45875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45875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45875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45875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45875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45875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45875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45875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45875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45875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45875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45875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45875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45875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45875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45875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45875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45875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45875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45875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45875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45875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45875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45875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45875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45875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45875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45875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45875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45875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45875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45875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45875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45875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45875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45875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45875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45875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45875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45875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45875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45875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45875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45875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45875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45875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45875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45875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45875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45875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45875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45875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45875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45875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45875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45875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45875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45875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45875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45875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45875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45875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45875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45875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45875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45875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45875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45875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45875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45875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45875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45875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45875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45875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45875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45875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45875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45875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45875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45875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45875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45875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45875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45875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45875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45875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45875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45875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45875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45875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45875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45875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45875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45875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45875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45875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45875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45875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45875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45875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45875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45875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45875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45875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45875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45875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45875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45875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45875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45875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45875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45875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45875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45875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45875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45875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45875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45875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45875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45875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45875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45875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45875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45875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45875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45875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45875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45875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45875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45875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45875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45875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45875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45875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45875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45875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45875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45875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45875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45875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45875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45875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45875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45875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45875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45875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45875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45875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45875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45875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45875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45875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45875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45875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45875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45875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45875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45875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45875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45875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45875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45875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45875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45875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45875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45875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45875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45875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45875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45875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45875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45875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45875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45875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45875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45875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45875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45875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28127-2025</t>
        </is>
      </c>
      <c r="B914" s="1" t="n">
        <v>45818</v>
      </c>
      <c r="C914" s="1" t="n">
        <v>45875</v>
      </c>
      <c r="D914" t="inlineStr">
        <is>
          <t>HALLANDS LÄN</t>
        </is>
      </c>
      <c r="E914" t="inlineStr">
        <is>
          <t>HALMSTAD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28128-2025</t>
        </is>
      </c>
      <c r="B915" s="1" t="n">
        <v>45818</v>
      </c>
      <c r="C915" s="1" t="n">
        <v>45875</v>
      </c>
      <c r="D915" t="inlineStr">
        <is>
          <t>HALLANDS LÄN</t>
        </is>
      </c>
      <c r="E915" t="inlineStr">
        <is>
          <t>HALMSTAD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45875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45875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29302-2025</t>
        </is>
      </c>
      <c r="B918" s="1" t="n">
        <v>45824</v>
      </c>
      <c r="C918" s="1" t="n">
        <v>45875</v>
      </c>
      <c r="D918" t="inlineStr">
        <is>
          <t>HALLANDS LÄN</t>
        </is>
      </c>
      <c r="E918" t="inlineStr">
        <is>
          <t>HALMSTAD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45875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45875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31103-2025</t>
        </is>
      </c>
      <c r="B921" s="1" t="n">
        <v>45831</v>
      </c>
      <c r="C921" s="1" t="n">
        <v>45875</v>
      </c>
      <c r="D921" t="inlineStr">
        <is>
          <t>HALLANDS LÄN</t>
        </is>
      </c>
      <c r="E921" t="inlineStr">
        <is>
          <t>HALMSTAD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31112-2025</t>
        </is>
      </c>
      <c r="B922" s="1" t="n">
        <v>45831</v>
      </c>
      <c r="C922" s="1" t="n">
        <v>45875</v>
      </c>
      <c r="D922" t="inlineStr">
        <is>
          <t>HALLANDS LÄN</t>
        </is>
      </c>
      <c r="E922" t="inlineStr">
        <is>
          <t>HALMSTAD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31109-2025</t>
        </is>
      </c>
      <c r="B923" s="1" t="n">
        <v>45831</v>
      </c>
      <c r="C923" s="1" t="n">
        <v>45875</v>
      </c>
      <c r="D923" t="inlineStr">
        <is>
          <t>HALLANDS LÄN</t>
        </is>
      </c>
      <c r="E923" t="inlineStr">
        <is>
          <t>HALMSTAD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30692-2025</t>
        </is>
      </c>
      <c r="B924" s="1" t="n">
        <v>45831</v>
      </c>
      <c r="C924" s="1" t="n">
        <v>45875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30698-2025</t>
        </is>
      </c>
      <c r="B925" s="1" t="n">
        <v>45831</v>
      </c>
      <c r="C925" s="1" t="n">
        <v>45875</v>
      </c>
      <c r="D925" t="inlineStr">
        <is>
          <t>HALLANDS LÄN</t>
        </is>
      </c>
      <c r="E925" t="inlineStr">
        <is>
          <t>HALMSTAD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30694-2025</t>
        </is>
      </c>
      <c r="B926" s="1" t="n">
        <v>45831</v>
      </c>
      <c r="C926" s="1" t="n">
        <v>45875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45875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30641-2025</t>
        </is>
      </c>
      <c r="B928" s="1" t="n">
        <v>45831</v>
      </c>
      <c r="C928" s="1" t="n">
        <v>45875</v>
      </c>
      <c r="D928" t="inlineStr">
        <is>
          <t>HALLANDS LÄN</t>
        </is>
      </c>
      <c r="E928" t="inlineStr">
        <is>
          <t>HALMSTAD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31151-2025</t>
        </is>
      </c>
      <c r="B929" s="1" t="n">
        <v>45831</v>
      </c>
      <c r="C929" s="1" t="n">
        <v>45875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45875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32827-2025</t>
        </is>
      </c>
      <c r="B931" s="1" t="n">
        <v>45839</v>
      </c>
      <c r="C931" s="1" t="n">
        <v>45875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32819-2025</t>
        </is>
      </c>
      <c r="B932" s="1" t="n">
        <v>45839</v>
      </c>
      <c r="C932" s="1" t="n">
        <v>45875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45875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33688-2025</t>
        </is>
      </c>
      <c r="B934" s="1" t="n">
        <v>45841</v>
      </c>
      <c r="C934" s="1" t="n">
        <v>45875</v>
      </c>
      <c r="D934" t="inlineStr">
        <is>
          <t>HALLANDS LÄN</t>
        </is>
      </c>
      <c r="E934" t="inlineStr">
        <is>
          <t>HALMSTAD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33686-2025</t>
        </is>
      </c>
      <c r="B935" s="1" t="n">
        <v>45841</v>
      </c>
      <c r="C935" s="1" t="n">
        <v>45875</v>
      </c>
      <c r="D935" t="inlineStr">
        <is>
          <t>HALLANDS LÄN</t>
        </is>
      </c>
      <c r="E935" t="inlineStr">
        <is>
          <t>HALMSTAD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33789-2025</t>
        </is>
      </c>
      <c r="B936" s="1" t="n">
        <v>45842</v>
      </c>
      <c r="C936" s="1" t="n">
        <v>45875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34076-2025</t>
        </is>
      </c>
      <c r="B937" s="1" t="n">
        <v>45845</v>
      </c>
      <c r="C937" s="1" t="n">
        <v>45875</v>
      </c>
      <c r="D937" t="inlineStr">
        <is>
          <t>HALLANDS LÄN</t>
        </is>
      </c>
      <c r="E937" t="inlineStr">
        <is>
          <t>HALMSTAD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34364-2025</t>
        </is>
      </c>
      <c r="B938" s="1" t="n">
        <v>45846</v>
      </c>
      <c r="C938" s="1" t="n">
        <v>45875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35362-2025</t>
        </is>
      </c>
      <c r="B939" s="1" t="n">
        <v>45854</v>
      </c>
      <c r="C939" s="1" t="n">
        <v>45875</v>
      </c>
      <c r="D939" t="inlineStr">
        <is>
          <t>HALLANDS LÄN</t>
        </is>
      </c>
      <c r="E939" t="inlineStr">
        <is>
          <t>HALMSTAD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35439-2025</t>
        </is>
      </c>
      <c r="B940" s="1" t="n">
        <v>45855</v>
      </c>
      <c r="C940" s="1" t="n">
        <v>45875</v>
      </c>
      <c r="D940" t="inlineStr">
        <is>
          <t>HALLANDS LÄN</t>
        </is>
      </c>
      <c r="E940" t="inlineStr">
        <is>
          <t>HALMSTAD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35515-2025</t>
        </is>
      </c>
      <c r="B941" s="1" t="n">
        <v>45856</v>
      </c>
      <c r="C941" s="1" t="n">
        <v>45875</v>
      </c>
      <c r="D941" t="inlineStr">
        <is>
          <t>HALLANDS LÄN</t>
        </is>
      </c>
      <c r="E941" t="inlineStr">
        <is>
          <t>HALMSTAD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36980-2025</t>
        </is>
      </c>
      <c r="B942" s="1" t="n">
        <v>45874</v>
      </c>
      <c r="C942" s="1" t="n">
        <v>45875</v>
      </c>
      <c r="D942" t="inlineStr">
        <is>
          <t>HALLANDS LÄN</t>
        </is>
      </c>
      <c r="E942" t="inlineStr">
        <is>
          <t>HALMSTAD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2025-08-06T19:56:32Z</dcterms:created>
  <dcterms:modified xmlns:dcterms="http://purl.org/dc/terms/" xmlns:xsi="http://www.w3.org/2001/XMLSchema-instance" xsi:type="dcterms:W3CDTF">2025-08-06T19:56:32Z</dcterms:modified>
</cp:coreProperties>
</file>
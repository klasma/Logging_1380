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45835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45835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45835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45835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45835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45835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45835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45835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45835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45835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62408-2019</t>
        </is>
      </c>
      <c r="B12" s="1" t="n">
        <v>43788</v>
      </c>
      <c r="C12" s="1" t="n">
        <v>45835</v>
      </c>
      <c r="D12" t="inlineStr">
        <is>
          <t>HALLANDS LÄN</t>
        </is>
      </c>
      <c r="E12" t="inlineStr">
        <is>
          <t>HALMSTAD</t>
        </is>
      </c>
      <c r="G12" t="n">
        <v>12.8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62408-2019 artfynd.xlsx", "A 62408-2019")</f>
        <v/>
      </c>
      <c r="T12">
        <f>HYPERLINK("https://klasma.github.io/Logging_1380/kartor/A 62408-2019 karta.png", "A 62408-2019")</f>
        <v/>
      </c>
      <c r="V12">
        <f>HYPERLINK("https://klasma.github.io/Logging_1380/klagomål/A 62408-2019 FSC-klagomål.docx", "A 62408-2019")</f>
        <v/>
      </c>
      <c r="W12">
        <f>HYPERLINK("https://klasma.github.io/Logging_1380/klagomålsmail/A 62408-2019 FSC-klagomål mail.docx", "A 62408-2019")</f>
        <v/>
      </c>
      <c r="X12">
        <f>HYPERLINK("https://klasma.github.io/Logging_1380/tillsyn/A 62408-2019 tillsynsbegäran.docx", "A 62408-2019")</f>
        <v/>
      </c>
      <c r="Y12">
        <f>HYPERLINK("https://klasma.github.io/Logging_1380/tillsynsmail/A 62408-2019 tillsynsbegäran mail.docx", "A 62408-2019")</f>
        <v/>
      </c>
    </row>
    <row r="13" ht="15" customHeight="1">
      <c r="A13" t="inlineStr">
        <is>
          <t>A 35100-2020</t>
        </is>
      </c>
      <c r="B13" s="1" t="n">
        <v>44040</v>
      </c>
      <c r="C13" s="1" t="n">
        <v>45835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HYPERLINK("https://klasma.github.io/Logging_1380/artfynd/A 35100-2020 artfynd.xlsx", "A 35100-2020")</f>
        <v/>
      </c>
      <c r="T13">
        <f>HYPERLINK("https://klasma.github.io/Logging_1380/kartor/A 35100-2020 karta.png", "A 35100-2020")</f>
        <v/>
      </c>
      <c r="V13">
        <f>HYPERLINK("https://klasma.github.io/Logging_1380/klagomål/A 35100-2020 FSC-klagomål.docx", "A 35100-2020")</f>
        <v/>
      </c>
      <c r="W13">
        <f>HYPERLINK("https://klasma.github.io/Logging_1380/klagomålsmail/A 35100-2020 FSC-klagomål mail.docx", "A 35100-2020")</f>
        <v/>
      </c>
      <c r="X13">
        <f>HYPERLINK("https://klasma.github.io/Logging_1380/tillsyn/A 35100-2020 tillsynsbegäran.docx", "A 35100-2020")</f>
        <v/>
      </c>
      <c r="Y13">
        <f>HYPERLINK("https://klasma.github.io/Logging_1380/tillsynsmail/A 35100-2020 tillsynsbegäran mail.docx", "A 35100-2020")</f>
        <v/>
      </c>
    </row>
    <row r="14" ht="15" customHeight="1">
      <c r="A14" t="inlineStr">
        <is>
          <t>A 17350-2021</t>
        </is>
      </c>
      <c r="B14" s="1" t="n">
        <v>44298</v>
      </c>
      <c r="C14" s="1" t="n">
        <v>45835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35502-2021</t>
        </is>
      </c>
      <c r="B15" s="1" t="n">
        <v>44385</v>
      </c>
      <c r="C15" s="1" t="n">
        <v>45835</v>
      </c>
      <c r="D15" t="inlineStr">
        <is>
          <t>HALLANDS LÄN</t>
        </is>
      </c>
      <c r="E15" t="inlineStr">
        <is>
          <t>HALMSTAD</t>
        </is>
      </c>
      <c r="G15" t="n">
        <v>12.3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Praktgrusmossa</t>
        </is>
      </c>
      <c r="S15">
        <f>HYPERLINK("https://klasma.github.io/Logging_1380/artfynd/A 35502-2021 artfynd.xlsx", "A 35502-2021")</f>
        <v/>
      </c>
      <c r="T15">
        <f>HYPERLINK("https://klasma.github.io/Logging_1380/kartor/A 35502-2021 karta.png", "A 35502-2021")</f>
        <v/>
      </c>
      <c r="V15">
        <f>HYPERLINK("https://klasma.github.io/Logging_1380/klagomål/A 35502-2021 FSC-klagomål.docx", "A 35502-2021")</f>
        <v/>
      </c>
      <c r="W15">
        <f>HYPERLINK("https://klasma.github.io/Logging_1380/klagomålsmail/A 35502-2021 FSC-klagomål mail.docx", "A 35502-2021")</f>
        <v/>
      </c>
      <c r="X15">
        <f>HYPERLINK("https://klasma.github.io/Logging_1380/tillsyn/A 35502-2021 tillsynsbegäran.docx", "A 35502-2021")</f>
        <v/>
      </c>
      <c r="Y15">
        <f>HYPERLINK("https://klasma.github.io/Logging_1380/tillsynsmail/A 35502-2021 tillsynsbegäran mail.docx", "A 35502-2021")</f>
        <v/>
      </c>
    </row>
    <row r="16" ht="15" customHeight="1">
      <c r="A16" t="inlineStr">
        <is>
          <t>A 70738-2021</t>
        </is>
      </c>
      <c r="B16" s="1" t="n">
        <v>44537</v>
      </c>
      <c r="C16" s="1" t="n">
        <v>45835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Hårginst</t>
        </is>
      </c>
      <c r="S16">
        <f>HYPERLINK("https://klasma.github.io/Logging_1380/artfynd/A 70738-2021 artfynd.xlsx", "A 70738-2021")</f>
        <v/>
      </c>
      <c r="T16">
        <f>HYPERLINK("https://klasma.github.io/Logging_1380/kartor/A 70738-2021 karta.png", "A 70738-2021")</f>
        <v/>
      </c>
      <c r="V16">
        <f>HYPERLINK("https://klasma.github.io/Logging_1380/klagomål/A 70738-2021 FSC-klagomål.docx", "A 70738-2021")</f>
        <v/>
      </c>
      <c r="W16">
        <f>HYPERLINK("https://klasma.github.io/Logging_1380/klagomålsmail/A 70738-2021 FSC-klagomål mail.docx", "A 70738-2021")</f>
        <v/>
      </c>
      <c r="X16">
        <f>HYPERLINK("https://klasma.github.io/Logging_1380/tillsyn/A 70738-2021 tillsynsbegäran.docx", "A 70738-2021")</f>
        <v/>
      </c>
      <c r="Y16">
        <f>HYPERLINK("https://klasma.github.io/Logging_1380/tillsynsmail/A 70738-2021 tillsynsbegäran mail.docx", "A 70738-2021")</f>
        <v/>
      </c>
    </row>
    <row r="17" ht="15" customHeight="1">
      <c r="A17" t="inlineStr">
        <is>
          <t>A 70769-2021</t>
        </is>
      </c>
      <c r="B17" s="1" t="n">
        <v>44537</v>
      </c>
      <c r="C17" s="1" t="n">
        <v>45835</v>
      </c>
      <c r="D17" t="inlineStr">
        <is>
          <t>HALLANDS LÄN</t>
        </is>
      </c>
      <c r="E17" t="inlineStr">
        <is>
          <t>HALMSTAD</t>
        </is>
      </c>
      <c r="F17" t="inlineStr">
        <is>
          <t>Kyrkan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HYPERLINK("https://klasma.github.io/Logging_1380/artfynd/A 70769-2021 artfynd.xlsx", "A 70769-2021")</f>
        <v/>
      </c>
      <c r="T17">
        <f>HYPERLINK("https://klasma.github.io/Logging_1380/kartor/A 70769-2021 karta.png", "A 70769-2021")</f>
        <v/>
      </c>
      <c r="V17">
        <f>HYPERLINK("https://klasma.github.io/Logging_1380/klagomål/A 70769-2021 FSC-klagomål.docx", "A 70769-2021")</f>
        <v/>
      </c>
      <c r="W17">
        <f>HYPERLINK("https://klasma.github.io/Logging_1380/klagomålsmail/A 70769-2021 FSC-klagomål mail.docx", "A 70769-2021")</f>
        <v/>
      </c>
      <c r="X17">
        <f>HYPERLINK("https://klasma.github.io/Logging_1380/tillsyn/A 70769-2021 tillsynsbegäran.docx", "A 70769-2021")</f>
        <v/>
      </c>
      <c r="Y17">
        <f>HYPERLINK("https://klasma.github.io/Logging_1380/tillsynsmail/A 70769-2021 tillsynsbegäran mail.docx", "A 70769-2021")</f>
        <v/>
      </c>
    </row>
    <row r="18" ht="15" customHeight="1">
      <c r="A18" t="inlineStr">
        <is>
          <t>A 8071-2022</t>
        </is>
      </c>
      <c r="B18" s="1" t="n">
        <v>44609</v>
      </c>
      <c r="C18" s="1" t="n">
        <v>45835</v>
      </c>
      <c r="D18" t="inlineStr">
        <is>
          <t>HALLANDS LÄN</t>
        </is>
      </c>
      <c r="E18" t="inlineStr">
        <is>
          <t>HALMSTAD</t>
        </is>
      </c>
      <c r="G18" t="n">
        <v>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HYPERLINK("https://klasma.github.io/Logging_1380/artfynd/A 8071-2022 artfynd.xlsx", "A 8071-2022")</f>
        <v/>
      </c>
      <c r="T18">
        <f>HYPERLINK("https://klasma.github.io/Logging_1380/kartor/A 8071-2022 karta.png", "A 8071-2022")</f>
        <v/>
      </c>
      <c r="V18">
        <f>HYPERLINK("https://klasma.github.io/Logging_1380/klagomål/A 8071-2022 FSC-klagomål.docx", "A 8071-2022")</f>
        <v/>
      </c>
      <c r="W18">
        <f>HYPERLINK("https://klasma.github.io/Logging_1380/klagomålsmail/A 8071-2022 FSC-klagomål mail.docx", "A 8071-2022")</f>
        <v/>
      </c>
      <c r="X18">
        <f>HYPERLINK("https://klasma.github.io/Logging_1380/tillsyn/A 8071-2022 tillsynsbegäran.docx", "A 8071-2022")</f>
        <v/>
      </c>
      <c r="Y18">
        <f>HYPERLINK("https://klasma.github.io/Logging_1380/tillsynsmail/A 8071-2022 tillsynsbegäran mail.docx", "A 8071-2022")</f>
        <v/>
      </c>
    </row>
    <row r="19" ht="15" customHeight="1">
      <c r="A19" t="inlineStr">
        <is>
          <t>A 22842-2022</t>
        </is>
      </c>
      <c r="B19" s="1" t="n">
        <v>44715</v>
      </c>
      <c r="C19" s="1" t="n">
        <v>45835</v>
      </c>
      <c r="D19" t="inlineStr">
        <is>
          <t>HALLANDS LÄN</t>
        </is>
      </c>
      <c r="E19" t="inlineStr">
        <is>
          <t>HALMSTAD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22842-2022 artfynd.xlsx", "A 22842-2022")</f>
        <v/>
      </c>
      <c r="T19">
        <f>HYPERLINK("https://klasma.github.io/Logging_1380/kartor/A 22842-2022 karta.png", "A 22842-2022")</f>
        <v/>
      </c>
      <c r="V19">
        <f>HYPERLINK("https://klasma.github.io/Logging_1380/klagomål/A 22842-2022 FSC-klagomål.docx", "A 22842-2022")</f>
        <v/>
      </c>
      <c r="W19">
        <f>HYPERLINK("https://klasma.github.io/Logging_1380/klagomålsmail/A 22842-2022 FSC-klagomål mail.docx", "A 22842-2022")</f>
        <v/>
      </c>
      <c r="X19">
        <f>HYPERLINK("https://klasma.github.io/Logging_1380/tillsyn/A 22842-2022 tillsynsbegäran.docx", "A 22842-2022")</f>
        <v/>
      </c>
      <c r="Y19">
        <f>HYPERLINK("https://klasma.github.io/Logging_1380/tillsynsmail/A 22842-2022 tillsynsbegäran mail.docx", "A 22842-2022")</f>
        <v/>
      </c>
      <c r="Z19">
        <f>HYPERLINK("https://klasma.github.io/Logging_1380/fåglar/A 22842-2022 prioriterade fågelarter.docx", "A 22842-2022")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45835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12185-2023</t>
        </is>
      </c>
      <c r="B21" s="1" t="n">
        <v>44998</v>
      </c>
      <c r="C21" s="1" t="n">
        <v>45835</v>
      </c>
      <c r="D21" t="inlineStr">
        <is>
          <t>HALLANDS LÄN</t>
        </is>
      </c>
      <c r="E21" t="inlineStr">
        <is>
          <t>HALMSTAD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Loppstarr</t>
        </is>
      </c>
      <c r="S21">
        <f>HYPERLINK("https://klasma.github.io/Logging_1380/artfynd/A 12185-2023 artfynd.xlsx", "A 12185-2023")</f>
        <v/>
      </c>
      <c r="T21">
        <f>HYPERLINK("https://klasma.github.io/Logging_1380/kartor/A 12185-2023 karta.png", "A 12185-2023")</f>
        <v/>
      </c>
      <c r="V21">
        <f>HYPERLINK("https://klasma.github.io/Logging_1380/klagomål/A 12185-2023 FSC-klagomål.docx", "A 12185-2023")</f>
        <v/>
      </c>
      <c r="W21">
        <f>HYPERLINK("https://klasma.github.io/Logging_1380/klagomålsmail/A 12185-2023 FSC-klagomål mail.docx", "A 12185-2023")</f>
        <v/>
      </c>
      <c r="X21">
        <f>HYPERLINK("https://klasma.github.io/Logging_1380/tillsyn/A 12185-2023 tillsynsbegäran.docx", "A 12185-2023")</f>
        <v/>
      </c>
      <c r="Y21">
        <f>HYPERLINK("https://klasma.github.io/Logging_1380/tillsynsmail/A 12185-2023 tillsynsbegäran mail.docx", "A 12185-2023")</f>
        <v/>
      </c>
    </row>
    <row r="22" ht="15" customHeight="1">
      <c r="A22" t="inlineStr">
        <is>
          <t>A 30046-2023</t>
        </is>
      </c>
      <c r="B22" s="1" t="n">
        <v>45099</v>
      </c>
      <c r="C22" s="1" t="n">
        <v>45835</v>
      </c>
      <c r="D22" t="inlineStr">
        <is>
          <t>HALLANDS LÄN</t>
        </is>
      </c>
      <c r="E22" t="inlineStr">
        <is>
          <t>HALMSTAD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30046-2023 artfynd.xlsx", "A 30046-2023")</f>
        <v/>
      </c>
      <c r="T22">
        <f>HYPERLINK("https://klasma.github.io/Logging_1380/kartor/A 30046-2023 karta.png", "A 30046-2023")</f>
        <v/>
      </c>
      <c r="V22">
        <f>HYPERLINK("https://klasma.github.io/Logging_1380/klagomål/A 30046-2023 FSC-klagomål.docx", "A 30046-2023")</f>
        <v/>
      </c>
      <c r="W22">
        <f>HYPERLINK("https://klasma.github.io/Logging_1380/klagomålsmail/A 30046-2023 FSC-klagomål mail.docx", "A 30046-2023")</f>
        <v/>
      </c>
      <c r="X22">
        <f>HYPERLINK("https://klasma.github.io/Logging_1380/tillsyn/A 30046-2023 tillsynsbegäran.docx", "A 30046-2023")</f>
        <v/>
      </c>
      <c r="Y22">
        <f>HYPERLINK("https://klasma.github.io/Logging_1380/tillsynsmail/A 30046-2023 tillsynsbegäran mail.docx", "A 30046-2023")</f>
        <v/>
      </c>
      <c r="Z22">
        <f>HYPERLINK("https://klasma.github.io/Logging_1380/fåglar/A 30046-2023 prioriterade fågelarter.docx", "A 30046-2023")</f>
        <v/>
      </c>
    </row>
    <row r="23" ht="15" customHeight="1">
      <c r="A23" t="inlineStr">
        <is>
          <t>A 33757-2023</t>
        </is>
      </c>
      <c r="B23" s="1" t="n">
        <v>45120</v>
      </c>
      <c r="C23" s="1" t="n">
        <v>45835</v>
      </c>
      <c r="D23" t="inlineStr">
        <is>
          <t>HALLANDS LÄN</t>
        </is>
      </c>
      <c r="E23" t="inlineStr">
        <is>
          <t>HALMSTAD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33757-2023 artfynd.xlsx", "A 33757-2023")</f>
        <v/>
      </c>
      <c r="T23">
        <f>HYPERLINK("https://klasma.github.io/Logging_1380/kartor/A 33757-2023 karta.png", "A 33757-2023")</f>
        <v/>
      </c>
      <c r="V23">
        <f>HYPERLINK("https://klasma.github.io/Logging_1380/klagomål/A 33757-2023 FSC-klagomål.docx", "A 33757-2023")</f>
        <v/>
      </c>
      <c r="W23">
        <f>HYPERLINK("https://klasma.github.io/Logging_1380/klagomålsmail/A 33757-2023 FSC-klagomål mail.docx", "A 33757-2023")</f>
        <v/>
      </c>
      <c r="X23">
        <f>HYPERLINK("https://klasma.github.io/Logging_1380/tillsyn/A 33757-2023 tillsynsbegäran.docx", "A 33757-2023")</f>
        <v/>
      </c>
      <c r="Y23">
        <f>HYPERLINK("https://klasma.github.io/Logging_1380/tillsynsmail/A 33757-2023 tillsynsbegäran mail.docx", "A 33757-2023")</f>
        <v/>
      </c>
    </row>
    <row r="24" ht="15" customHeight="1">
      <c r="A24" t="inlineStr">
        <is>
          <t>A 40600-2023</t>
        </is>
      </c>
      <c r="B24" s="1" t="n">
        <v>45168</v>
      </c>
      <c r="C24" s="1" t="n">
        <v>45835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snok</t>
        </is>
      </c>
      <c r="S24">
        <f>HYPERLINK("https://klasma.github.io/Logging_1380/artfynd/A 40600-2023 artfynd.xlsx", "A 40600-2023")</f>
        <v/>
      </c>
      <c r="T24">
        <f>HYPERLINK("https://klasma.github.io/Logging_1380/kartor/A 40600-2023 karta.png", "A 40600-2023")</f>
        <v/>
      </c>
      <c r="V24">
        <f>HYPERLINK("https://klasma.github.io/Logging_1380/klagomål/A 40600-2023 FSC-klagomål.docx", "A 40600-2023")</f>
        <v/>
      </c>
      <c r="W24">
        <f>HYPERLINK("https://klasma.github.io/Logging_1380/klagomålsmail/A 40600-2023 FSC-klagomål mail.docx", "A 40600-2023")</f>
        <v/>
      </c>
      <c r="X24">
        <f>HYPERLINK("https://klasma.github.io/Logging_1380/tillsyn/A 40600-2023 tillsynsbegäran.docx", "A 40600-2023")</f>
        <v/>
      </c>
      <c r="Y24">
        <f>HYPERLINK("https://klasma.github.io/Logging_1380/tillsynsmail/A 40600-2023 tillsynsbegäran mail.docx", "A 40600-2023")</f>
        <v/>
      </c>
    </row>
    <row r="25" ht="15" customHeight="1">
      <c r="A25" t="inlineStr">
        <is>
          <t>A 40523-2023</t>
        </is>
      </c>
      <c r="B25" s="1" t="n">
        <v>45168</v>
      </c>
      <c r="C25" s="1" t="n">
        <v>45835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40523-2023 artfynd.xlsx", "A 40523-2023")</f>
        <v/>
      </c>
      <c r="T25">
        <f>HYPERLINK("https://klasma.github.io/Logging_1380/kartor/A 40523-2023 karta.png", "A 40523-2023")</f>
        <v/>
      </c>
      <c r="V25">
        <f>HYPERLINK("https://klasma.github.io/Logging_1380/klagomål/A 40523-2023 FSC-klagomål.docx", "A 40523-2023")</f>
        <v/>
      </c>
      <c r="W25">
        <f>HYPERLINK("https://klasma.github.io/Logging_1380/klagomålsmail/A 40523-2023 FSC-klagomål mail.docx", "A 40523-2023")</f>
        <v/>
      </c>
      <c r="X25">
        <f>HYPERLINK("https://klasma.github.io/Logging_1380/tillsyn/A 40523-2023 tillsynsbegäran.docx", "A 40523-2023")</f>
        <v/>
      </c>
      <c r="Y25">
        <f>HYPERLINK("https://klasma.github.io/Logging_1380/tillsynsmail/A 40523-2023 tillsynsbegäran mail.docx", "A 40523-2023")</f>
        <v/>
      </c>
      <c r="Z25">
        <f>HYPERLINK("https://klasma.github.io/Logging_1380/fåglar/A 40523-2023 prioriterade fågelarter.docx", "A 40523-2023")</f>
        <v/>
      </c>
    </row>
    <row r="26" ht="15" customHeight="1">
      <c r="A26" t="inlineStr">
        <is>
          <t>A 40650-2023</t>
        </is>
      </c>
      <c r="B26" s="1" t="n">
        <v>45168</v>
      </c>
      <c r="C26" s="1" t="n">
        <v>45835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14.7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HYPERLINK("https://klasma.github.io/Logging_1380/artfynd/A 40650-2023 artfynd.xlsx", "A 40650-2023")</f>
        <v/>
      </c>
      <c r="T26">
        <f>HYPERLINK("https://klasma.github.io/Logging_1380/kartor/A 40650-2023 karta.png", "A 40650-2023")</f>
        <v/>
      </c>
      <c r="V26">
        <f>HYPERLINK("https://klasma.github.io/Logging_1380/klagomål/A 40650-2023 FSC-klagomål.docx", "A 40650-2023")</f>
        <v/>
      </c>
      <c r="W26">
        <f>HYPERLINK("https://klasma.github.io/Logging_1380/klagomålsmail/A 40650-2023 FSC-klagomål mail.docx", "A 40650-2023")</f>
        <v/>
      </c>
      <c r="X26">
        <f>HYPERLINK("https://klasma.github.io/Logging_1380/tillsyn/A 40650-2023 tillsynsbegäran.docx", "A 40650-2023")</f>
        <v/>
      </c>
      <c r="Y26">
        <f>HYPERLINK("https://klasma.github.io/Logging_1380/tillsynsmail/A 40650-2023 tillsynsbegäran mail.docx", "A 40650-2023")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45835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42311-2023</t>
        </is>
      </c>
      <c r="B28" s="1" t="n">
        <v>45175</v>
      </c>
      <c r="C28" s="1" t="n">
        <v>45835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42311-2023 artfynd.xlsx", "A 42311-2023")</f>
        <v/>
      </c>
      <c r="T28">
        <f>HYPERLINK("https://klasma.github.io/Logging_1380/kartor/A 42311-2023 karta.png", "A 42311-2023")</f>
        <v/>
      </c>
      <c r="V28">
        <f>HYPERLINK("https://klasma.github.io/Logging_1380/klagomål/A 42311-2023 FSC-klagomål.docx", "A 42311-2023")</f>
        <v/>
      </c>
      <c r="W28">
        <f>HYPERLINK("https://klasma.github.io/Logging_1380/klagomålsmail/A 42311-2023 FSC-klagomål mail.docx", "A 42311-2023")</f>
        <v/>
      </c>
      <c r="X28">
        <f>HYPERLINK("https://klasma.github.io/Logging_1380/tillsyn/A 42311-2023 tillsynsbegäran.docx", "A 42311-2023")</f>
        <v/>
      </c>
      <c r="Y28">
        <f>HYPERLINK("https://klasma.github.io/Logging_1380/tillsynsmail/A 42311-2023 tillsynsbegäran mail.docx", "A 42311-2023")</f>
        <v/>
      </c>
    </row>
    <row r="29" ht="15" customHeight="1">
      <c r="A29" t="inlineStr">
        <is>
          <t>A 47773-2023</t>
        </is>
      </c>
      <c r="B29" s="1" t="n">
        <v>45203</v>
      </c>
      <c r="C29" s="1" t="n">
        <v>45835</v>
      </c>
      <c r="D29" t="inlineStr">
        <is>
          <t>HALLANDS LÄN</t>
        </is>
      </c>
      <c r="E29" t="inlineStr">
        <is>
          <t>HALMSTAD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HYPERLINK("https://klasma.github.io/Logging_1380/artfynd/A 47773-2023 artfynd.xlsx", "A 47773-2023")</f>
        <v/>
      </c>
      <c r="T29">
        <f>HYPERLINK("https://klasma.github.io/Logging_1380/kartor/A 47773-2023 karta.png", "A 47773-2023")</f>
        <v/>
      </c>
      <c r="V29">
        <f>HYPERLINK("https://klasma.github.io/Logging_1380/klagomål/A 47773-2023 FSC-klagomål.docx", "A 47773-2023")</f>
        <v/>
      </c>
      <c r="W29">
        <f>HYPERLINK("https://klasma.github.io/Logging_1380/klagomålsmail/A 47773-2023 FSC-klagomål mail.docx", "A 47773-2023")</f>
        <v/>
      </c>
      <c r="X29">
        <f>HYPERLINK("https://klasma.github.io/Logging_1380/tillsyn/A 47773-2023 tillsynsbegäran.docx", "A 47773-2023")</f>
        <v/>
      </c>
      <c r="Y29">
        <f>HYPERLINK("https://klasma.github.io/Logging_1380/tillsynsmail/A 47773-2023 tillsynsbegäran mail.docx", "A 47773-2023")</f>
        <v/>
      </c>
    </row>
    <row r="30" ht="15" customHeight="1">
      <c r="A30" t="inlineStr">
        <is>
          <t>A 47997-2023</t>
        </is>
      </c>
      <c r="B30" s="1" t="n">
        <v>45204</v>
      </c>
      <c r="C30" s="1" t="n">
        <v>45835</v>
      </c>
      <c r="D30" t="inlineStr">
        <is>
          <t>HALLANDS LÄN</t>
        </is>
      </c>
      <c r="E30" t="inlineStr">
        <is>
          <t>HALMSTAD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HYPERLINK("https://klasma.github.io/Logging_1380/artfynd/A 47997-2023 artfynd.xlsx", "A 47997-2023")</f>
        <v/>
      </c>
      <c r="T30">
        <f>HYPERLINK("https://klasma.github.io/Logging_1380/kartor/A 47997-2023 karta.png", "A 47997-2023")</f>
        <v/>
      </c>
      <c r="V30">
        <f>HYPERLINK("https://klasma.github.io/Logging_1380/klagomål/A 47997-2023 FSC-klagomål.docx", "A 47997-2023")</f>
        <v/>
      </c>
      <c r="W30">
        <f>HYPERLINK("https://klasma.github.io/Logging_1380/klagomålsmail/A 47997-2023 FSC-klagomål mail.docx", "A 47997-2023")</f>
        <v/>
      </c>
      <c r="X30">
        <f>HYPERLINK("https://klasma.github.io/Logging_1380/tillsyn/A 47997-2023 tillsynsbegäran.docx", "A 47997-2023")</f>
        <v/>
      </c>
      <c r="Y30">
        <f>HYPERLINK("https://klasma.github.io/Logging_1380/tillsynsmail/A 47997-2023 tillsynsbegäran mail.docx", "A 47997-2023")</f>
        <v/>
      </c>
    </row>
    <row r="31" ht="15" customHeight="1">
      <c r="A31" t="inlineStr">
        <is>
          <t>A 55580-2023</t>
        </is>
      </c>
      <c r="B31" s="1" t="n">
        <v>45238</v>
      </c>
      <c r="C31" s="1" t="n">
        <v>45835</v>
      </c>
      <c r="D31" t="inlineStr">
        <is>
          <t>HALLANDS LÄN</t>
        </is>
      </c>
      <c r="E31" t="inlineStr">
        <is>
          <t>HALMSTAD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Hårginst</t>
        </is>
      </c>
      <c r="S31">
        <f>HYPERLINK("https://klasma.github.io/Logging_1380/artfynd/A 55580-2023 artfynd.xlsx", "A 55580-2023")</f>
        <v/>
      </c>
      <c r="T31">
        <f>HYPERLINK("https://klasma.github.io/Logging_1380/kartor/A 55580-2023 karta.png", "A 55580-2023")</f>
        <v/>
      </c>
      <c r="V31">
        <f>HYPERLINK("https://klasma.github.io/Logging_1380/klagomål/A 55580-2023 FSC-klagomål.docx", "A 55580-2023")</f>
        <v/>
      </c>
      <c r="W31">
        <f>HYPERLINK("https://klasma.github.io/Logging_1380/klagomålsmail/A 55580-2023 FSC-klagomål mail.docx", "A 55580-2023")</f>
        <v/>
      </c>
      <c r="X31">
        <f>HYPERLINK("https://klasma.github.io/Logging_1380/tillsyn/A 55580-2023 tillsynsbegäran.docx", "A 55580-2023")</f>
        <v/>
      </c>
      <c r="Y31">
        <f>HYPERLINK("https://klasma.github.io/Logging_1380/tillsynsmail/A 55580-2023 tillsynsbegäran mail.docx", "A 55580-2023")</f>
        <v/>
      </c>
    </row>
    <row r="32" ht="15" customHeight="1">
      <c r="A32" t="inlineStr">
        <is>
          <t>A 60387-2023</t>
        </is>
      </c>
      <c r="B32" s="1" t="n">
        <v>45259</v>
      </c>
      <c r="C32" s="1" t="n">
        <v>45835</v>
      </c>
      <c r="D32" t="inlineStr">
        <is>
          <t>HALLANDS LÄN</t>
        </is>
      </c>
      <c r="E32" t="inlineStr">
        <is>
          <t>HALMSTAD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HYPERLINK("https://klasma.github.io/Logging_1380/artfynd/A 60387-2023 artfynd.xlsx", "A 60387-2023")</f>
        <v/>
      </c>
      <c r="T32">
        <f>HYPERLINK("https://klasma.github.io/Logging_1380/kartor/A 60387-2023 karta.png", "A 60387-2023")</f>
        <v/>
      </c>
      <c r="V32">
        <f>HYPERLINK("https://klasma.github.io/Logging_1380/klagomål/A 60387-2023 FSC-klagomål.docx", "A 60387-2023")</f>
        <v/>
      </c>
      <c r="W32">
        <f>HYPERLINK("https://klasma.github.io/Logging_1380/klagomålsmail/A 60387-2023 FSC-klagomål mail.docx", "A 60387-2023")</f>
        <v/>
      </c>
      <c r="X32">
        <f>HYPERLINK("https://klasma.github.io/Logging_1380/tillsyn/A 60387-2023 tillsynsbegäran.docx", "A 60387-2023")</f>
        <v/>
      </c>
      <c r="Y32">
        <f>HYPERLINK("https://klasma.github.io/Logging_1380/tillsynsmail/A 60387-2023 tillsynsbegäran mail.docx", "A 60387-2023")</f>
        <v/>
      </c>
      <c r="Z32">
        <f>HYPERLINK("https://klasma.github.io/Logging_1380/fåglar/A 60387-2023 prioriterade fågelarter.docx", "A 60387-2023")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45835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8102-2024</t>
        </is>
      </c>
      <c r="B34" s="1" t="n">
        <v>45351</v>
      </c>
      <c r="C34" s="1" t="n">
        <v>45835</v>
      </c>
      <c r="D34" t="inlineStr">
        <is>
          <t>HALLANDS LÄN</t>
        </is>
      </c>
      <c r="E34" t="inlineStr">
        <is>
          <t>HALMSTAD</t>
        </is>
      </c>
      <c r="G34" t="n">
        <v>7.6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HYPERLINK("https://klasma.github.io/Logging_1380/artfynd/A 8102-2024 artfynd.xlsx", "A 8102-2024")</f>
        <v/>
      </c>
      <c r="T34">
        <f>HYPERLINK("https://klasma.github.io/Logging_1380/kartor/A 8102-2024 karta.png", "A 8102-2024")</f>
        <v/>
      </c>
      <c r="V34">
        <f>HYPERLINK("https://klasma.github.io/Logging_1380/klagomål/A 8102-2024 FSC-klagomål.docx", "A 8102-2024")</f>
        <v/>
      </c>
      <c r="W34">
        <f>HYPERLINK("https://klasma.github.io/Logging_1380/klagomålsmail/A 8102-2024 FSC-klagomål mail.docx", "A 8102-2024")</f>
        <v/>
      </c>
      <c r="X34">
        <f>HYPERLINK("https://klasma.github.io/Logging_1380/tillsyn/A 8102-2024 tillsynsbegäran.docx", "A 8102-2024")</f>
        <v/>
      </c>
      <c r="Y34">
        <f>HYPERLINK("https://klasma.github.io/Logging_1380/tillsynsmail/A 8102-2024 tillsynsbegäran mail.docx", "A 8102-2024")</f>
        <v/>
      </c>
      <c r="Z34">
        <f>HYPERLINK("https://klasma.github.io/Logging_1380/fåglar/A 8102-2024 prioriterade fågelarter.docx", "A 8102-2024")</f>
        <v/>
      </c>
    </row>
    <row r="35" ht="15" customHeight="1">
      <c r="A35" t="inlineStr">
        <is>
          <t>A 10229-2024</t>
        </is>
      </c>
      <c r="B35" s="1" t="n">
        <v>45365</v>
      </c>
      <c r="C35" s="1" t="n">
        <v>45835</v>
      </c>
      <c r="D35" t="inlineStr">
        <is>
          <t>HALLANDS LÄN</t>
        </is>
      </c>
      <c r="E35" t="inlineStr">
        <is>
          <t>HALMSTAD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Trind spretmossa</t>
        </is>
      </c>
      <c r="S35">
        <f>HYPERLINK("https://klasma.github.io/Logging_1380/artfynd/A 10229-2024 artfynd.xlsx", "A 10229-2024")</f>
        <v/>
      </c>
      <c r="T35">
        <f>HYPERLINK("https://klasma.github.io/Logging_1380/kartor/A 10229-2024 karta.png", "A 10229-2024")</f>
        <v/>
      </c>
      <c r="V35">
        <f>HYPERLINK("https://klasma.github.io/Logging_1380/klagomål/A 10229-2024 FSC-klagomål.docx", "A 10229-2024")</f>
        <v/>
      </c>
      <c r="W35">
        <f>HYPERLINK("https://klasma.github.io/Logging_1380/klagomålsmail/A 10229-2024 FSC-klagomål mail.docx", "A 10229-2024")</f>
        <v/>
      </c>
      <c r="X35">
        <f>HYPERLINK("https://klasma.github.io/Logging_1380/tillsyn/A 10229-2024 tillsynsbegäran.docx", "A 10229-2024")</f>
        <v/>
      </c>
      <c r="Y35">
        <f>HYPERLINK("https://klasma.github.io/Logging_1380/tillsynsmail/A 10229-2024 tillsynsbegäran mail.docx", "A 10229-2024")</f>
        <v/>
      </c>
    </row>
    <row r="36" ht="15" customHeight="1">
      <c r="A36" t="inlineStr">
        <is>
          <t>A 21622-2024</t>
        </is>
      </c>
      <c r="B36" s="1" t="n">
        <v>45442</v>
      </c>
      <c r="C36" s="1" t="n">
        <v>45835</v>
      </c>
      <c r="D36" t="inlineStr">
        <is>
          <t>HALLANDS LÄN</t>
        </is>
      </c>
      <c r="E36" t="inlineStr">
        <is>
          <t>HALMSTAD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Barbastell</t>
        </is>
      </c>
      <c r="S36">
        <f>HYPERLINK("https://klasma.github.io/Logging_1380/artfynd/A 21622-2024 artfynd.xlsx", "A 21622-2024")</f>
        <v/>
      </c>
      <c r="T36">
        <f>HYPERLINK("https://klasma.github.io/Logging_1380/kartor/A 21622-2024 karta.png", "A 21622-2024")</f>
        <v/>
      </c>
      <c r="V36">
        <f>HYPERLINK("https://klasma.github.io/Logging_1380/klagomål/A 21622-2024 FSC-klagomål.docx", "A 21622-2024")</f>
        <v/>
      </c>
      <c r="W36">
        <f>HYPERLINK("https://klasma.github.io/Logging_1380/klagomålsmail/A 21622-2024 FSC-klagomål mail.docx", "A 21622-2024")</f>
        <v/>
      </c>
      <c r="X36">
        <f>HYPERLINK("https://klasma.github.io/Logging_1380/tillsyn/A 21622-2024 tillsynsbegäran.docx", "A 21622-2024")</f>
        <v/>
      </c>
      <c r="Y36">
        <f>HYPERLINK("https://klasma.github.io/Logging_1380/tillsynsmail/A 21622-2024 tillsynsbegäran mail.docx", "A 21622-2024")</f>
        <v/>
      </c>
    </row>
    <row r="37" ht="15" customHeight="1">
      <c r="A37" t="inlineStr">
        <is>
          <t>A 37600-2024</t>
        </is>
      </c>
      <c r="B37" s="1" t="n">
        <v>45541</v>
      </c>
      <c r="C37" s="1" t="n">
        <v>45835</v>
      </c>
      <c r="D37" t="inlineStr">
        <is>
          <t>HALLANDS LÄN</t>
        </is>
      </c>
      <c r="E37" t="inlineStr">
        <is>
          <t>HALMSTAD</t>
        </is>
      </c>
      <c r="G37" t="n">
        <v>23.1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37600-2024 artfynd.xlsx", "A 37600-2024")</f>
        <v/>
      </c>
      <c r="T37">
        <f>HYPERLINK("https://klasma.github.io/Logging_1380/kartor/A 37600-2024 karta.png", "A 37600-2024")</f>
        <v/>
      </c>
      <c r="V37">
        <f>HYPERLINK("https://klasma.github.io/Logging_1380/klagomål/A 37600-2024 FSC-klagomål.docx", "A 37600-2024")</f>
        <v/>
      </c>
      <c r="W37">
        <f>HYPERLINK("https://klasma.github.io/Logging_1380/klagomålsmail/A 37600-2024 FSC-klagomål mail.docx", "A 37600-2024")</f>
        <v/>
      </c>
      <c r="X37">
        <f>HYPERLINK("https://klasma.github.io/Logging_1380/tillsyn/A 37600-2024 tillsynsbegäran.docx", "A 37600-2024")</f>
        <v/>
      </c>
      <c r="Y37">
        <f>HYPERLINK("https://klasma.github.io/Logging_1380/tillsynsmail/A 37600-2024 tillsynsbegäran mail.docx", "A 37600-2024")</f>
        <v/>
      </c>
    </row>
    <row r="38" ht="15" customHeight="1">
      <c r="A38" t="inlineStr">
        <is>
          <t>A 42732-2024</t>
        </is>
      </c>
      <c r="B38" s="1" t="n">
        <v>45566</v>
      </c>
      <c r="C38" s="1" t="n">
        <v>45835</v>
      </c>
      <c r="D38" t="inlineStr">
        <is>
          <t>HALLANDS LÄN</t>
        </is>
      </c>
      <c r="E38" t="inlineStr">
        <is>
          <t>HALMSTAD</t>
        </is>
      </c>
      <c r="G38" t="n">
        <v>13.9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HYPERLINK("https://klasma.github.io/Logging_1380/artfynd/A 42732-2024 artfynd.xlsx", "A 42732-2024")</f>
        <v/>
      </c>
      <c r="T38">
        <f>HYPERLINK("https://klasma.github.io/Logging_1380/kartor/A 42732-2024 karta.png", "A 42732-2024")</f>
        <v/>
      </c>
      <c r="V38">
        <f>HYPERLINK("https://klasma.github.io/Logging_1380/klagomål/A 42732-2024 FSC-klagomål.docx", "A 42732-2024")</f>
        <v/>
      </c>
      <c r="W38">
        <f>HYPERLINK("https://klasma.github.io/Logging_1380/klagomålsmail/A 42732-2024 FSC-klagomål mail.docx", "A 42732-2024")</f>
        <v/>
      </c>
      <c r="X38">
        <f>HYPERLINK("https://klasma.github.io/Logging_1380/tillsyn/A 42732-2024 tillsynsbegäran.docx", "A 42732-2024")</f>
        <v/>
      </c>
      <c r="Y38">
        <f>HYPERLINK("https://klasma.github.io/Logging_1380/tillsynsmail/A 42732-2024 tillsynsbegäran mail.docx", "A 42732-2024")</f>
        <v/>
      </c>
    </row>
    <row r="39" ht="15" customHeight="1">
      <c r="A39" t="inlineStr">
        <is>
          <t>A 5530-2025</t>
        </is>
      </c>
      <c r="B39" s="1" t="n">
        <v>45692</v>
      </c>
      <c r="C39" s="1" t="n">
        <v>45835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HYPERLINK("https://klasma.github.io/Logging_1380/artfynd/A 5530-2025 artfynd.xlsx", "A 5530-2025")</f>
        <v/>
      </c>
      <c r="T39">
        <f>HYPERLINK("https://klasma.github.io/Logging_1380/kartor/A 5530-2025 karta.png", "A 5530-2025")</f>
        <v/>
      </c>
      <c r="V39">
        <f>HYPERLINK("https://klasma.github.io/Logging_1380/klagomål/A 5530-2025 FSC-klagomål.docx", "A 5530-2025")</f>
        <v/>
      </c>
      <c r="W39">
        <f>HYPERLINK("https://klasma.github.io/Logging_1380/klagomålsmail/A 5530-2025 FSC-klagomål mail.docx", "A 5530-2025")</f>
        <v/>
      </c>
      <c r="X39">
        <f>HYPERLINK("https://klasma.github.io/Logging_1380/tillsyn/A 5530-2025 tillsynsbegäran.docx", "A 5530-2025")</f>
        <v/>
      </c>
      <c r="Y39">
        <f>HYPERLINK("https://klasma.github.io/Logging_1380/tillsynsmail/A 5530-2025 tillsynsbegäran mail.docx", "A 5530-2025")</f>
        <v/>
      </c>
    </row>
    <row r="40" ht="15" customHeight="1">
      <c r="A40" t="inlineStr">
        <is>
          <t>A 5240-2025</t>
        </is>
      </c>
      <c r="B40" s="1" t="n">
        <v>45692</v>
      </c>
      <c r="C40" s="1" t="n">
        <v>45835</v>
      </c>
      <c r="D40" t="inlineStr">
        <is>
          <t>HALLANDS LÄN</t>
        </is>
      </c>
      <c r="E40" t="inlineStr">
        <is>
          <t>HALMSTAD</t>
        </is>
      </c>
      <c r="G40" t="n">
        <v>8.300000000000001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Mussellav</t>
        </is>
      </c>
      <c r="S40">
        <f>HYPERLINK("https://klasma.github.io/Logging_1380/artfynd/A 5240-2025 artfynd.xlsx", "A 5240-2025")</f>
        <v/>
      </c>
      <c r="T40">
        <f>HYPERLINK("https://klasma.github.io/Logging_1380/kartor/A 5240-2025 karta.png", "A 5240-2025")</f>
        <v/>
      </c>
      <c r="V40">
        <f>HYPERLINK("https://klasma.github.io/Logging_1380/klagomål/A 5240-2025 FSC-klagomål.docx", "A 5240-2025")</f>
        <v/>
      </c>
      <c r="W40">
        <f>HYPERLINK("https://klasma.github.io/Logging_1380/klagomålsmail/A 5240-2025 FSC-klagomål mail.docx", "A 5240-2025")</f>
        <v/>
      </c>
      <c r="X40">
        <f>HYPERLINK("https://klasma.github.io/Logging_1380/tillsyn/A 5240-2025 tillsynsbegäran.docx", "A 5240-2025")</f>
        <v/>
      </c>
      <c r="Y40">
        <f>HYPERLINK("https://klasma.github.io/Logging_1380/tillsynsmail/A 5240-2025 tillsynsbegäran mail.docx", "A 5240-2025")</f>
        <v/>
      </c>
    </row>
    <row r="41" ht="15" customHeight="1">
      <c r="A41" t="inlineStr">
        <is>
          <t>A 17740-2019</t>
        </is>
      </c>
      <c r="B41" s="1" t="n">
        <v>43556</v>
      </c>
      <c r="C41" s="1" t="n">
        <v>45835</v>
      </c>
      <c r="D41" t="inlineStr">
        <is>
          <t>HALLANDS LÄN</t>
        </is>
      </c>
      <c r="E41" t="inlineStr">
        <is>
          <t>HALMSTAD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17783-2019</t>
        </is>
      </c>
      <c r="B42" s="1" t="n">
        <v>43556</v>
      </c>
      <c r="C42" s="1" t="n">
        <v>45835</v>
      </c>
      <c r="D42" t="inlineStr">
        <is>
          <t>HALLANDS LÄN</t>
        </is>
      </c>
      <c r="E42" t="inlineStr">
        <is>
          <t>HALMSTAD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17776-2019</t>
        </is>
      </c>
      <c r="B43" s="1" t="n">
        <v>43556</v>
      </c>
      <c r="C43" s="1" t="n">
        <v>45835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18661-2019</t>
        </is>
      </c>
      <c r="B44" s="1" t="n">
        <v>43560</v>
      </c>
      <c r="C44" s="1" t="n">
        <v>45835</v>
      </c>
      <c r="D44" t="inlineStr">
        <is>
          <t>HALLANDS LÄN</t>
        </is>
      </c>
      <c r="E44" t="inlineStr">
        <is>
          <t>HALMSTAD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19203-2019</t>
        </is>
      </c>
      <c r="B45" s="1" t="n">
        <v>43564</v>
      </c>
      <c r="C45" s="1" t="n">
        <v>45835</v>
      </c>
      <c r="D45" t="inlineStr">
        <is>
          <t>HALLANDS LÄN</t>
        </is>
      </c>
      <c r="E45" t="inlineStr">
        <is>
          <t>HALMSTAD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20327-2019</t>
        </is>
      </c>
      <c r="B46" s="1" t="n">
        <v>43571</v>
      </c>
      <c r="C46" s="1" t="n">
        <v>45835</v>
      </c>
      <c r="D46" t="inlineStr">
        <is>
          <t>HALLANDS LÄN</t>
        </is>
      </c>
      <c r="E46" t="inlineStr">
        <is>
          <t>HALMSTAD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20554-2019</t>
        </is>
      </c>
      <c r="B47" s="1" t="n">
        <v>43572</v>
      </c>
      <c r="C47" s="1" t="n">
        <v>45835</v>
      </c>
      <c r="D47" t="inlineStr">
        <is>
          <t>HALLANDS LÄN</t>
        </is>
      </c>
      <c r="E47" t="inlineStr">
        <is>
          <t>HALMSTAD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21163-2019</t>
        </is>
      </c>
      <c r="B48" s="1" t="n">
        <v>43578</v>
      </c>
      <c r="C48" s="1" t="n">
        <v>45835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21159-2019</t>
        </is>
      </c>
      <c r="B49" s="1" t="n">
        <v>43578</v>
      </c>
      <c r="C49" s="1" t="n">
        <v>45835</v>
      </c>
      <c r="D49" t="inlineStr">
        <is>
          <t>HALLANDS LÄN</t>
        </is>
      </c>
      <c r="E49" t="inlineStr">
        <is>
          <t>HALMSTAD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21536-2019</t>
        </is>
      </c>
      <c r="B50" s="1" t="n">
        <v>43580</v>
      </c>
      <c r="C50" s="1" t="n">
        <v>45835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21713-2019</t>
        </is>
      </c>
      <c r="B51" s="1" t="n">
        <v>43581</v>
      </c>
      <c r="C51" s="1" t="n">
        <v>45835</v>
      </c>
      <c r="D51" t="inlineStr">
        <is>
          <t>HALLANDS LÄN</t>
        </is>
      </c>
      <c r="E51" t="inlineStr">
        <is>
          <t>HALMSTAD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23552-2019</t>
        </is>
      </c>
      <c r="B52" s="1" t="n">
        <v>43593</v>
      </c>
      <c r="C52" s="1" t="n">
        <v>45835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23522-2019</t>
        </is>
      </c>
      <c r="B53" s="1" t="n">
        <v>43593</v>
      </c>
      <c r="C53" s="1" t="n">
        <v>45835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24480-2019</t>
        </is>
      </c>
      <c r="B54" s="1" t="n">
        <v>43600</v>
      </c>
      <c r="C54" s="1" t="n">
        <v>45835</v>
      </c>
      <c r="D54" t="inlineStr">
        <is>
          <t>HALLANDS LÄN</t>
        </is>
      </c>
      <c r="E54" t="inlineStr">
        <is>
          <t>HALMSTAD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25198-2019</t>
        </is>
      </c>
      <c r="B55" s="1" t="n">
        <v>43605</v>
      </c>
      <c r="C55" s="1" t="n">
        <v>45835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25222-2019</t>
        </is>
      </c>
      <c r="B56" s="1" t="n">
        <v>43605</v>
      </c>
      <c r="C56" s="1" t="n">
        <v>45835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26295-2019</t>
        </is>
      </c>
      <c r="B57" s="1" t="n">
        <v>43606</v>
      </c>
      <c r="C57" s="1" t="n">
        <v>45835</v>
      </c>
      <c r="D57" t="inlineStr">
        <is>
          <t>HALLANDS LÄN</t>
        </is>
      </c>
      <c r="E57" t="inlineStr">
        <is>
          <t>HALMSTAD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26135-2019</t>
        </is>
      </c>
      <c r="B58" s="1" t="n">
        <v>43609</v>
      </c>
      <c r="C58" s="1" t="n">
        <v>45835</v>
      </c>
      <c r="D58" t="inlineStr">
        <is>
          <t>HALLANDS LÄN</t>
        </is>
      </c>
      <c r="E58" t="inlineStr">
        <is>
          <t>HALMSTAD</t>
        </is>
      </c>
      <c r="F58" t="inlineStr">
        <is>
          <t>Övriga statliga verk och myndigheter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27796-2019</t>
        </is>
      </c>
      <c r="B59" s="1" t="n">
        <v>43620</v>
      </c>
      <c r="C59" s="1" t="n">
        <v>45835</v>
      </c>
      <c r="D59" t="inlineStr">
        <is>
          <t>HALLANDS LÄN</t>
        </is>
      </c>
      <c r="E59" t="inlineStr">
        <is>
          <t>HALMSTAD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29870-2019</t>
        </is>
      </c>
      <c r="B60" s="1" t="n">
        <v>43633</v>
      </c>
      <c r="C60" s="1" t="n">
        <v>45835</v>
      </c>
      <c r="D60" t="inlineStr">
        <is>
          <t>HALLANDS LÄN</t>
        </is>
      </c>
      <c r="E60" t="inlineStr">
        <is>
          <t>HALMSTAD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30422-2019</t>
        </is>
      </c>
      <c r="B61" s="1" t="n">
        <v>43633</v>
      </c>
      <c r="C61" s="1" t="n">
        <v>45835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30490-2019</t>
        </is>
      </c>
      <c r="B62" s="1" t="n">
        <v>43635</v>
      </c>
      <c r="C62" s="1" t="n">
        <v>45835</v>
      </c>
      <c r="D62" t="inlineStr">
        <is>
          <t>HALLANDS LÄN</t>
        </is>
      </c>
      <c r="E62" t="inlineStr">
        <is>
          <t>HALMSTAD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31527-2019</t>
        </is>
      </c>
      <c r="B63" s="1" t="n">
        <v>43641</v>
      </c>
      <c r="C63" s="1" t="n">
        <v>45835</v>
      </c>
      <c r="D63" t="inlineStr">
        <is>
          <t>HALLANDS LÄN</t>
        </is>
      </c>
      <c r="E63" t="inlineStr">
        <is>
          <t>HALMSTAD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31367-2019</t>
        </is>
      </c>
      <c r="B64" s="1" t="n">
        <v>43641</v>
      </c>
      <c r="C64" s="1" t="n">
        <v>45835</v>
      </c>
      <c r="D64" t="inlineStr">
        <is>
          <t>HALLANDS LÄN</t>
        </is>
      </c>
      <c r="E64" t="inlineStr">
        <is>
          <t>HALMSTAD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32265-2019</t>
        </is>
      </c>
      <c r="B65" s="1" t="n">
        <v>43644</v>
      </c>
      <c r="C65" s="1" t="n">
        <v>45835</v>
      </c>
      <c r="D65" t="inlineStr">
        <is>
          <t>HALLANDS LÄN</t>
        </is>
      </c>
      <c r="E65" t="inlineStr">
        <is>
          <t>HALMSTAD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32755-2019</t>
        </is>
      </c>
      <c r="B66" s="1" t="n">
        <v>43648</v>
      </c>
      <c r="C66" s="1" t="n">
        <v>45835</v>
      </c>
      <c r="D66" t="inlineStr">
        <is>
          <t>HALLANDS LÄN</t>
        </is>
      </c>
      <c r="E66" t="inlineStr">
        <is>
          <t>HALMSTAD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33945-2019</t>
        </is>
      </c>
      <c r="B67" s="1" t="n">
        <v>43654</v>
      </c>
      <c r="C67" s="1" t="n">
        <v>45835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34849-2019</t>
        </is>
      </c>
      <c r="B68" s="1" t="n">
        <v>43658</v>
      </c>
      <c r="C68" s="1" t="n">
        <v>45835</v>
      </c>
      <c r="D68" t="inlineStr">
        <is>
          <t>HALLANDS LÄN</t>
        </is>
      </c>
      <c r="E68" t="inlineStr">
        <is>
          <t>HALMSTAD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34850-2019</t>
        </is>
      </c>
      <c r="B69" s="1" t="n">
        <v>43658</v>
      </c>
      <c r="C69" s="1" t="n">
        <v>45835</v>
      </c>
      <c r="D69" t="inlineStr">
        <is>
          <t>HALLANDS LÄN</t>
        </is>
      </c>
      <c r="E69" t="inlineStr">
        <is>
          <t>HALMSTAD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36757-2019</t>
        </is>
      </c>
      <c r="B70" s="1" t="n">
        <v>43672</v>
      </c>
      <c r="C70" s="1" t="n">
        <v>45835</v>
      </c>
      <c r="D70" t="inlineStr">
        <is>
          <t>HALLANDS LÄN</t>
        </is>
      </c>
      <c r="E70" t="inlineStr">
        <is>
          <t>HALMSTAD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38958-2019</t>
        </is>
      </c>
      <c r="B71" s="1" t="n">
        <v>43685</v>
      </c>
      <c r="C71" s="1" t="n">
        <v>45835</v>
      </c>
      <c r="D71" t="inlineStr">
        <is>
          <t>HALLANDS LÄN</t>
        </is>
      </c>
      <c r="E71" t="inlineStr">
        <is>
          <t>HALMSTAD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38962-2019</t>
        </is>
      </c>
      <c r="B72" s="1" t="n">
        <v>43685</v>
      </c>
      <c r="C72" s="1" t="n">
        <v>45835</v>
      </c>
      <c r="D72" t="inlineStr">
        <is>
          <t>HALLANDS LÄN</t>
        </is>
      </c>
      <c r="E72" t="inlineStr">
        <is>
          <t>HALMSTAD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39657-2019</t>
        </is>
      </c>
      <c r="B73" s="1" t="n">
        <v>43691</v>
      </c>
      <c r="C73" s="1" t="n">
        <v>45835</v>
      </c>
      <c r="D73" t="inlineStr">
        <is>
          <t>HALLANDS LÄN</t>
        </is>
      </c>
      <c r="E73" t="inlineStr">
        <is>
          <t>HALMSTAD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39820-2019</t>
        </is>
      </c>
      <c r="B74" s="1" t="n">
        <v>43692</v>
      </c>
      <c r="C74" s="1" t="n">
        <v>45835</v>
      </c>
      <c r="D74" t="inlineStr">
        <is>
          <t>HALLANDS LÄN</t>
        </is>
      </c>
      <c r="E74" t="inlineStr">
        <is>
          <t>HALMSTAD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41064-2019</t>
        </is>
      </c>
      <c r="B75" s="1" t="n">
        <v>43698</v>
      </c>
      <c r="C75" s="1" t="n">
        <v>45835</v>
      </c>
      <c r="D75" t="inlineStr">
        <is>
          <t>HALLANDS LÄN</t>
        </is>
      </c>
      <c r="E75" t="inlineStr">
        <is>
          <t>HALMSTAD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41177-2019</t>
        </is>
      </c>
      <c r="B76" s="1" t="n">
        <v>43698</v>
      </c>
      <c r="C76" s="1" t="n">
        <v>45835</v>
      </c>
      <c r="D76" t="inlineStr">
        <is>
          <t>HALLANDS LÄN</t>
        </is>
      </c>
      <c r="E76" t="inlineStr">
        <is>
          <t>HALMSTAD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41295-2019</t>
        </is>
      </c>
      <c r="B77" s="1" t="n">
        <v>43698</v>
      </c>
      <c r="C77" s="1" t="n">
        <v>45835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41302-2019</t>
        </is>
      </c>
      <c r="B78" s="1" t="n">
        <v>43698</v>
      </c>
      <c r="C78" s="1" t="n">
        <v>45835</v>
      </c>
      <c r="D78" t="inlineStr">
        <is>
          <t>HALLANDS LÄN</t>
        </is>
      </c>
      <c r="E78" t="inlineStr">
        <is>
          <t>HALMSTAD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41301-2019</t>
        </is>
      </c>
      <c r="B79" s="1" t="n">
        <v>43698</v>
      </c>
      <c r="C79" s="1" t="n">
        <v>45835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44175-2019</t>
        </is>
      </c>
      <c r="B80" s="1" t="n">
        <v>43710</v>
      </c>
      <c r="C80" s="1" t="n">
        <v>45835</v>
      </c>
      <c r="D80" t="inlineStr">
        <is>
          <t>HALLANDS LÄN</t>
        </is>
      </c>
      <c r="E80" t="inlineStr">
        <is>
          <t>HALMSTAD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44170-2019</t>
        </is>
      </c>
      <c r="B81" s="1" t="n">
        <v>43710</v>
      </c>
      <c r="C81" s="1" t="n">
        <v>45835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46030-2019</t>
        </is>
      </c>
      <c r="B82" s="1" t="n">
        <v>43718</v>
      </c>
      <c r="C82" s="1" t="n">
        <v>45835</v>
      </c>
      <c r="D82" t="inlineStr">
        <is>
          <t>HALLANDS LÄN</t>
        </is>
      </c>
      <c r="E82" t="inlineStr">
        <is>
          <t>HALMSTAD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46041-2019</t>
        </is>
      </c>
      <c r="B83" s="1" t="n">
        <v>43718</v>
      </c>
      <c r="C83" s="1" t="n">
        <v>45835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46035-2019</t>
        </is>
      </c>
      <c r="B84" s="1" t="n">
        <v>43718</v>
      </c>
      <c r="C84" s="1" t="n">
        <v>45835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46042-2019</t>
        </is>
      </c>
      <c r="B85" s="1" t="n">
        <v>43718</v>
      </c>
      <c r="C85" s="1" t="n">
        <v>45835</v>
      </c>
      <c r="D85" t="inlineStr">
        <is>
          <t>HALLANDS LÄN</t>
        </is>
      </c>
      <c r="E85" t="inlineStr">
        <is>
          <t>HALMSTAD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46025-2019</t>
        </is>
      </c>
      <c r="B86" s="1" t="n">
        <v>43718</v>
      </c>
      <c r="C86" s="1" t="n">
        <v>45835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47139-2019</t>
        </is>
      </c>
      <c r="B87" s="1" t="n">
        <v>43721</v>
      </c>
      <c r="C87" s="1" t="n">
        <v>45835</v>
      </c>
      <c r="D87" t="inlineStr">
        <is>
          <t>HALLANDS LÄN</t>
        </is>
      </c>
      <c r="E87" t="inlineStr">
        <is>
          <t>HALMSTAD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47480-2019</t>
        </is>
      </c>
      <c r="B88" s="1" t="n">
        <v>43724</v>
      </c>
      <c r="C88" s="1" t="n">
        <v>45835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48619-2019</t>
        </is>
      </c>
      <c r="B89" s="1" t="n">
        <v>43727</v>
      </c>
      <c r="C89" s="1" t="n">
        <v>45835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49808-2019</t>
        </is>
      </c>
      <c r="B90" s="1" t="n">
        <v>43733</v>
      </c>
      <c r="C90" s="1" t="n">
        <v>45835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52108-2019</t>
        </is>
      </c>
      <c r="B91" s="1" t="n">
        <v>43742</v>
      </c>
      <c r="C91" s="1" t="n">
        <v>45835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53861-2019</t>
        </is>
      </c>
      <c r="B92" s="1" t="n">
        <v>43742</v>
      </c>
      <c r="C92" s="1" t="n">
        <v>45835</v>
      </c>
      <c r="D92" t="inlineStr">
        <is>
          <t>HALLANDS LÄN</t>
        </is>
      </c>
      <c r="E92" t="inlineStr">
        <is>
          <t>HALMSTAD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52106-2019</t>
        </is>
      </c>
      <c r="B93" s="1" t="n">
        <v>43742</v>
      </c>
      <c r="C93" s="1" t="n">
        <v>45835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52118-2019</t>
        </is>
      </c>
      <c r="B94" s="1" t="n">
        <v>43742</v>
      </c>
      <c r="C94" s="1" t="n">
        <v>45835</v>
      </c>
      <c r="D94" t="inlineStr">
        <is>
          <t>HALLANDS LÄN</t>
        </is>
      </c>
      <c r="E94" t="inlineStr">
        <is>
          <t>HALMSTAD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53283-2019</t>
        </is>
      </c>
      <c r="B95" s="1" t="n">
        <v>43748</v>
      </c>
      <c r="C95" s="1" t="n">
        <v>45835</v>
      </c>
      <c r="D95" t="inlineStr">
        <is>
          <t>HALLANDS LÄN</t>
        </is>
      </c>
      <c r="E95" t="inlineStr">
        <is>
          <t>HALMSTAD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54461-2019</t>
        </is>
      </c>
      <c r="B96" s="1" t="n">
        <v>43754</v>
      </c>
      <c r="C96" s="1" t="n">
        <v>45835</v>
      </c>
      <c r="D96" t="inlineStr">
        <is>
          <t>HALLANDS LÄN</t>
        </is>
      </c>
      <c r="E96" t="inlineStr">
        <is>
          <t>HALMSTAD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58277-2019</t>
        </is>
      </c>
      <c r="B97" s="1" t="n">
        <v>43770</v>
      </c>
      <c r="C97" s="1" t="n">
        <v>45835</v>
      </c>
      <c r="D97" t="inlineStr">
        <is>
          <t>HALLANDS LÄN</t>
        </is>
      </c>
      <c r="E97" t="inlineStr">
        <is>
          <t>HALMSTAD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59406-2019</t>
        </is>
      </c>
      <c r="B98" s="1" t="n">
        <v>43775</v>
      </c>
      <c r="C98" s="1" t="n">
        <v>45835</v>
      </c>
      <c r="D98" t="inlineStr">
        <is>
          <t>HALLANDS LÄN</t>
        </is>
      </c>
      <c r="E98" t="inlineStr">
        <is>
          <t>HALMSTAD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59410-2019</t>
        </is>
      </c>
      <c r="B99" s="1" t="n">
        <v>43775</v>
      </c>
      <c r="C99" s="1" t="n">
        <v>45835</v>
      </c>
      <c r="D99" t="inlineStr">
        <is>
          <t>HALLANDS LÄN</t>
        </is>
      </c>
      <c r="E99" t="inlineStr">
        <is>
          <t>HALMSTAD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59407-2019</t>
        </is>
      </c>
      <c r="B100" s="1" t="n">
        <v>43775</v>
      </c>
      <c r="C100" s="1" t="n">
        <v>45835</v>
      </c>
      <c r="D100" t="inlineStr">
        <is>
          <t>HALLANDS LÄN</t>
        </is>
      </c>
      <c r="E100" t="inlineStr">
        <is>
          <t>HALMSTAD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59348-2019</t>
        </is>
      </c>
      <c r="B101" s="1" t="n">
        <v>43775</v>
      </c>
      <c r="C101" s="1" t="n">
        <v>45835</v>
      </c>
      <c r="D101" t="inlineStr">
        <is>
          <t>HALLANDS LÄN</t>
        </is>
      </c>
      <c r="E101" t="inlineStr">
        <is>
          <t>HALMSTAD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62365-2019</t>
        </is>
      </c>
      <c r="B102" s="1" t="n">
        <v>43788</v>
      </c>
      <c r="C102" s="1" t="n">
        <v>45835</v>
      </c>
      <c r="D102" t="inlineStr">
        <is>
          <t>HALLANDS LÄN</t>
        </is>
      </c>
      <c r="E102" t="inlineStr">
        <is>
          <t>HALMSTAD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45835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45835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45835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45835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45835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45835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45835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45835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45835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45835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45835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45835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45835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45835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45835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45835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45835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45835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45835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45835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45835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45835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45835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45835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45835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45835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45835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45835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45835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45835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45835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45835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45835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45835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45835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45835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45835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45835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45835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45835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45835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45835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45835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45835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45835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45835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45835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45835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45835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45835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45835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45835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45835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45835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45835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45835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45835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45835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45835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45835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45835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45835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45835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45835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45835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45835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45835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45835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45835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45835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45835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45835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45835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45835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45835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45835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45835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45835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45835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45835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45835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45835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45835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45835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45835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45835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45835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45835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45835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45835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45835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45835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45835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45835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45835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45835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45835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45835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45835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45835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45835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45835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45835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45835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45835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45835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45835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45835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45835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45835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45835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45835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45835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45835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45835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45835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45835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45835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45835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45835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45835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45835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45835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45835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45835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45835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45835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45835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45835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45835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45835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45835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45835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45835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45835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45835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45835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45835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45835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45835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45835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45835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45835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45835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45835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45835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45835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45835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45835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45835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45835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45835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45835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45835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45835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45835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45835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45835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45835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45835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45835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45835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45835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45835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45835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45835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45835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45835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45835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45835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45835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45835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45835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45835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45835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45835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45835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45835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45835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45835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45835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45835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45835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45835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45835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45835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45835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45835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45835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45835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45835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45835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45835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45835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45835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45835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45835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45835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45835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45835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45835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45835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45835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45835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45835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45835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45835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45835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45835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45835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45835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45835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45835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45835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45835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45835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45835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45835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45835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45835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45835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45835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45835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45835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45835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45835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45835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45835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45835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45835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45835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45835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45835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45835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45835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45835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45835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45835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45835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45835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45835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45835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45835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45835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45835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45835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45835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45835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45835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45835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45835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45835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45835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45835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45835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45835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45835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45835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45835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45835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45835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45835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45835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45835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45835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45835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45835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45835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45835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45835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45835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45835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45835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45835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45835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45835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45835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45835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45835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45835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45835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45835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45835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45835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45835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45835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45835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45835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45835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45835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45835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45835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45835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45835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45835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45835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45835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45835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45835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45835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45835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45835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45835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45835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45835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45835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45835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45835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45835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45835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45835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45835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45835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45835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45835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45835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45835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45835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45835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45835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45835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45835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45835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45835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45835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45835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45835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45835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45835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45835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45835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45835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45835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45835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45835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45835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45835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45835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45835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45835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45835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45835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45835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45835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45835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45835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45835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45835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45835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45835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45835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45835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45835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45835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45835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45835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45835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45835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45835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45835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45835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45835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45835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45835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45835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45835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45835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45835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45835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45835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45835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45835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45835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45835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45835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45835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45835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45835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45835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45835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45835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45835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45835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45835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45835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45835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45835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45835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45835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45835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45835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45835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45835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45835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45835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45835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45835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45835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45835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45835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45835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45835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45835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45835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45835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45835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45835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45835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45835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45835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45835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45835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45835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45835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45835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45835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45835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45835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45835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45835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45835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45835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45835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45835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45835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45835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45835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45835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45835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45835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45835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45835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45835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45835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45835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45835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45835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45835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45835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45835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45835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45835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45835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45835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45835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45835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45835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45835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45835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45835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45835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45835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45835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45835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45835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45835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45835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45835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45835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45835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45835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45835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45835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45835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45835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45835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45835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45835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45835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45835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45835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45835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45835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45835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45835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45835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45835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45835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45835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45835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45835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45835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45835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45835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45835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45835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45835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45835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45835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45835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45835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45835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45835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45835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45835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45835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45835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45835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45835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45835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45835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45835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45835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45835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45835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45835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45835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45835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45835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45835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45835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45835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45835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45835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45835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45835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45835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45835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45835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45835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45835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45835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45835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45835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45835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45835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45835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45835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45835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45835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45835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45835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45835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45835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45835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45835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45835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45835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45835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45835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45835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45835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45835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45835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45835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45835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45835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45835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45835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45835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45835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45835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45835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45835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45835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45835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45835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45835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45835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45835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45835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45835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45835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45835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45835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45835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45835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45835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45835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45835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45835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45835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45835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45835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45835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45835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45835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45835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45835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45835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45835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45835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45835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45835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45835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45835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45835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45835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45835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45835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45835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45835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45835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45835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45835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45835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45835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45835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45835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45835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45835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45835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45835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45835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45835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45835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45835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45835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45835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45835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45835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45835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45835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45835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45835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45835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45835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45835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45835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45835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45835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45835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45835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45835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45835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45835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45835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45835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45835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45835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45835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45835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45835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45835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45835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45835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45835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45835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45835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45835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45835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45835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45835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45835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45835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45835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45835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45835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45835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45835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45835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45835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45835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45835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45835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45835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45835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45835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45835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45835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45835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45835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45835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45835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45835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45835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45835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45835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45835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45835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45835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45835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45835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45835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45835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45835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45835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45835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45835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45835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45835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45835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45835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45835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45835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45835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45835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45835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45835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45835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45835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45835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45835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45835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45835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45835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45835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45835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45835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45835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45835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45835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45835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45835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45835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45835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45835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45835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45835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45835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45835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45835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45835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45835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45835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45835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45835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45835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45835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45835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45835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45835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45835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45835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45835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45835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45835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45835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45835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45835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45835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45835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45835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45835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45835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45835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45835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45835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45835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45835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45835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45835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45835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45835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45835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45835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45835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45835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45835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45835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45835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45835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45835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45835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45835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45835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45835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45835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45835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45835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45835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45835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45835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45835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45835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45835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45835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45835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45835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45835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45835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45835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45835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45835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45835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45835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45835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45835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45835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45835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45835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45835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45835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45835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45835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45835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45835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45835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45835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45835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45835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45835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45835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45835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45835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45835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45835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45835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45835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24265-2025</t>
        </is>
      </c>
      <c r="B902" s="1" t="n">
        <v>45797</v>
      </c>
      <c r="C902" s="1" t="n">
        <v>45835</v>
      </c>
      <c r="D902" t="inlineStr">
        <is>
          <t>HALLANDS LÄN</t>
        </is>
      </c>
      <c r="E902" t="inlineStr">
        <is>
          <t>HALMSTAD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45835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45835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45835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45835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45835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45835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45835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45835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45835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45835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28128-2025</t>
        </is>
      </c>
      <c r="B913" s="1" t="n">
        <v>45818</v>
      </c>
      <c r="C913" s="1" t="n">
        <v>45835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28243-2025</t>
        </is>
      </c>
      <c r="B914" s="1" t="n">
        <v>45818</v>
      </c>
      <c r="C914" s="1" t="n">
        <v>45835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45835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29316-2025</t>
        </is>
      </c>
      <c r="B916" s="1" t="n">
        <v>45824</v>
      </c>
      <c r="C916" s="1" t="n">
        <v>45835</v>
      </c>
      <c r="D916" t="inlineStr">
        <is>
          <t>HALLANDS LÄN</t>
        </is>
      </c>
      <c r="E916" t="inlineStr">
        <is>
          <t>HALMSTAD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29302-2025</t>
        </is>
      </c>
      <c r="B917" s="1" t="n">
        <v>45824</v>
      </c>
      <c r="C917" s="1" t="n">
        <v>45835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29865-2025</t>
        </is>
      </c>
      <c r="B918" s="1" t="n">
        <v>45826</v>
      </c>
      <c r="C918" s="1" t="n">
        <v>45835</v>
      </c>
      <c r="D918" t="inlineStr">
        <is>
          <t>HALLANDS LÄN</t>
        </is>
      </c>
      <c r="E918" t="inlineStr">
        <is>
          <t>HALMSTAD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30107-2025</t>
        </is>
      </c>
      <c r="B919" s="1" t="n">
        <v>45826</v>
      </c>
      <c r="C919" s="1" t="n">
        <v>45835</v>
      </c>
      <c r="D919" t="inlineStr">
        <is>
          <t>HALLANDS LÄN</t>
        </is>
      </c>
      <c r="E919" t="inlineStr">
        <is>
          <t>HALMSTAD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31103-2025</t>
        </is>
      </c>
      <c r="B920" s="1" t="n">
        <v>45831</v>
      </c>
      <c r="C920" s="1" t="n">
        <v>45835</v>
      </c>
      <c r="D920" t="inlineStr">
        <is>
          <t>HALLANDS LÄN</t>
        </is>
      </c>
      <c r="E920" t="inlineStr">
        <is>
          <t>HALMSTAD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31112-2025</t>
        </is>
      </c>
      <c r="B921" s="1" t="n">
        <v>45831</v>
      </c>
      <c r="C921" s="1" t="n">
        <v>45835</v>
      </c>
      <c r="D921" t="inlineStr">
        <is>
          <t>HALLANDS LÄN</t>
        </is>
      </c>
      <c r="E921" t="inlineStr">
        <is>
          <t>HALMSTAD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31109-2025</t>
        </is>
      </c>
      <c r="B922" s="1" t="n">
        <v>45831</v>
      </c>
      <c r="C922" s="1" t="n">
        <v>45835</v>
      </c>
      <c r="D922" t="inlineStr">
        <is>
          <t>HALLANDS LÄN</t>
        </is>
      </c>
      <c r="E922" t="inlineStr">
        <is>
          <t>HALMSTAD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30692-2025</t>
        </is>
      </c>
      <c r="B923" s="1" t="n">
        <v>45831</v>
      </c>
      <c r="C923" s="1" t="n">
        <v>45835</v>
      </c>
      <c r="D923" t="inlineStr">
        <is>
          <t>HALLANDS LÄN</t>
        </is>
      </c>
      <c r="E923" t="inlineStr">
        <is>
          <t>HALMSTAD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30698-2025</t>
        </is>
      </c>
      <c r="B924" s="1" t="n">
        <v>45831</v>
      </c>
      <c r="C924" s="1" t="n">
        <v>45835</v>
      </c>
      <c r="D924" t="inlineStr">
        <is>
          <t>HALLANDS LÄN</t>
        </is>
      </c>
      <c r="E924" t="inlineStr">
        <is>
          <t>HALMSTAD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30694-2025</t>
        </is>
      </c>
      <c r="B925" s="1" t="n">
        <v>45831</v>
      </c>
      <c r="C925" s="1" t="n">
        <v>45835</v>
      </c>
      <c r="D925" t="inlineStr">
        <is>
          <t>HALLANDS LÄN</t>
        </is>
      </c>
      <c r="E925" t="inlineStr">
        <is>
          <t>HALMSTAD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30740-2025</t>
        </is>
      </c>
      <c r="B926" s="1" t="n">
        <v>45831</v>
      </c>
      <c r="C926" s="1" t="n">
        <v>45835</v>
      </c>
      <c r="D926" t="inlineStr">
        <is>
          <t>HALLANDS LÄN</t>
        </is>
      </c>
      <c r="E926" t="inlineStr">
        <is>
          <t>HALMSTAD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30641-2025</t>
        </is>
      </c>
      <c r="B927" s="1" t="n">
        <v>45831</v>
      </c>
      <c r="C927" s="1" t="n">
        <v>45835</v>
      </c>
      <c r="D927" t="inlineStr">
        <is>
          <t>HALLANDS LÄN</t>
        </is>
      </c>
      <c r="E927" t="inlineStr">
        <is>
          <t>HALMSTAD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31151-2025</t>
        </is>
      </c>
      <c r="B928" s="1" t="n">
        <v>45831</v>
      </c>
      <c r="C928" s="1" t="n">
        <v>45835</v>
      </c>
      <c r="D928" t="inlineStr">
        <is>
          <t>HALLANDS LÄN</t>
        </is>
      </c>
      <c r="E928" t="inlineStr">
        <is>
          <t>HALMSTAD</t>
        </is>
      </c>
      <c r="F928" t="inlineStr">
        <is>
          <t>Bergvik skog väst AB</t>
        </is>
      </c>
      <c r="G928" t="n">
        <v>11.2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31635-2025</t>
        </is>
      </c>
      <c r="B929" s="1" t="n">
        <v>45834</v>
      </c>
      <c r="C929" s="1" t="n">
        <v>45835</v>
      </c>
      <c r="D929" t="inlineStr">
        <is>
          <t>HALLANDS LÄN</t>
        </is>
      </c>
      <c r="E929" t="inlineStr">
        <is>
          <t>HALMSTAD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2025-06-27T19:27:10Z</dcterms:created>
  <dcterms:modified xmlns:dcterms="http://purl.org/dc/terms/" xmlns:xsi="http://www.w3.org/2001/XMLSchema-instance" xsi:type="dcterms:W3CDTF">2025-06-27T19:27:11Z</dcterms:modified>
</cp:coreProperties>
</file>
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46298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46298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46298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46298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46298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46298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46298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46298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46298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46298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46298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46298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46298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46298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46298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46298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46298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46298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46298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46298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46298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46298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46298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46298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46298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46298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46298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46298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46298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46298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46298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46298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46298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46298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46298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46298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46298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Gulsparv</t>
        </is>
      </c>
      <c r="W52">
        <f>HYPERLINK("https://klasma.github.io/Logging_1380/artfynd/A 57025-2021 artfynd.xlsx", "A 57025-2021")</f>
        <v/>
      </c>
      <c r="X52">
        <f>HYPERLINK("https://klasma.github.io/Logging_1380/kartor/A 57025-2021 karta.png", "A 57025-2021")</f>
        <v/>
      </c>
      <c r="Y52">
        <f>HYPERLINK("https://klasma.github.io/Logging_1380/kartor_geotiff/A 57025-2021 georefererad karta.tif", "A 57025-2021")</f>
        <v/>
      </c>
      <c r="AA52">
        <f>HYPERLINK("https://klasma.github.io/Logging_1380/klagomål/A 57025-2021 FSC-klagomål.docx", "A 57025-2021")</f>
        <v/>
      </c>
      <c r="AB52">
        <f>HYPERLINK("https://klasma.github.io/Logging_1380/klagomålsmail/A 57025-2021 FSC-klagomål mail.docx", "A 57025-2021")</f>
        <v/>
      </c>
      <c r="AC52">
        <f>HYPERLINK("https://klasma.github.io/Logging_1380/tillsyn/A 57025-2021 tillsynsbegäran.docx", "A 57025-2021")</f>
        <v/>
      </c>
      <c r="AD52">
        <f>HYPERLINK("https://klasma.github.io/Logging_1380/tillsynsmail/A 57025-2021 tillsynsbegäran mail.docx", "A 57025-2021")</f>
        <v/>
      </c>
      <c r="AE52">
        <f>HYPERLINK("https://klasma.github.io/Logging_1380/fåglar/A 57025-2021 prioriterade fågelarter.docx", "A 57025-2021")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46298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27386-2025 artfynd.xlsx", "A 27386-2025")</f>
        <v/>
      </c>
      <c r="X53">
        <f>HYPERLINK("https://klasma.github.io/Logging_1380/kartor/A 27386-2025 karta.png", "A 27386-2025")</f>
        <v/>
      </c>
      <c r="Y53">
        <f>HYPERLINK("https://klasma.github.io/Logging_1380/kartor_geotiff/A 27386-2025 georefererad karta.tif", "A 27386-2025")</f>
        <v/>
      </c>
      <c r="AA53">
        <f>HYPERLINK("https://klasma.github.io/Logging_1380/klagomål/A 27386-2025 FSC-klagomål.docx", "A 27386-2025")</f>
        <v/>
      </c>
      <c r="AB53">
        <f>HYPERLINK("https://klasma.github.io/Logging_1380/klagomålsmail/A 27386-2025 FSC-klagomål mail.docx", "A 27386-2025")</f>
        <v/>
      </c>
      <c r="AC53">
        <f>HYPERLINK("https://klasma.github.io/Logging_1380/tillsyn/A 27386-2025 tillsynsbegäran.docx", "A 27386-2025")</f>
        <v/>
      </c>
      <c r="AD53">
        <f>HYPERLINK("https://klasma.github.io/Logging_1380/tillsynsmail/A 27386-2025 tillsynsbegäran mail.docx", "A 27386-2025")</f>
        <v/>
      </c>
    </row>
    <row r="54" ht="15" customHeight="1">
      <c r="A54" t="inlineStr">
        <is>
          <t>A 15579-2026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46298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Åkerrättika</t>
        </is>
      </c>
      <c r="W54">
        <f>HYPERLINK("https://klasma.github.io/Logging_1380/artfynd/A 15579-2026 artfynd.xlsx", "A 15579-2026")</f>
        <v/>
      </c>
      <c r="X54">
        <f>HYPERLINK("https://klasma.github.io/Logging_1380/kartor/A 15579-2026 karta.png", "A 15579-2026")</f>
        <v/>
      </c>
      <c r="Y54">
        <f>HYPERLINK("https://klasma.github.io/Logging_1380/kartor_geotiff/A 15579-2026 georefererad karta.tif", "A 15579-2026")</f>
        <v/>
      </c>
      <c r="AA54">
        <f>HYPERLINK("https://klasma.github.io/Logging_1380/klagomål/A 15579-2026 FSC-klagomål.docx", "A 15579-2026")</f>
        <v/>
      </c>
      <c r="AB54">
        <f>HYPERLINK("https://klasma.github.io/Logging_1380/klagomålsmail/A 15579-2026 FSC-klagomål mail.docx", "A 15579-2026")</f>
        <v/>
      </c>
      <c r="AC54">
        <f>HYPERLINK("https://klasma.github.io/Logging_1380/tillsyn/A 15579-2026 tillsynsbegäran.docx", "A 15579-2026")</f>
        <v/>
      </c>
      <c r="AD54">
        <f>HYPERLINK("https://klasma.github.io/Logging_1380/tillsynsmail/A 15579-2026 tillsynsbegäran mail.docx", "A 15579-2026")</f>
        <v/>
      </c>
    </row>
    <row r="55" ht="15" customHeight="1">
      <c r="A55" t="inlineStr">
        <is>
          <t>A 32822-2025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45839</v>
      </c>
      <c r="E55" s="1" t="n">
        <v>46298</v>
      </c>
      <c r="F55" t="inlineStr">
        <is>
          <t>HALLANDS LÄN</t>
        </is>
      </c>
      <c r="G55" t="inlineStr">
        <is>
          <t>HALMSTAD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32822-2025 artfynd.xlsx", "A 32822-2025")</f>
        <v/>
      </c>
      <c r="X55">
        <f>HYPERLINK("https://klasma.github.io/Logging_1380/kartor/A 32822-2025 karta.png", "A 32822-2025")</f>
        <v/>
      </c>
      <c r="Y55">
        <f>HYPERLINK("https://klasma.github.io/Logging_1380/kartor_geotiff/A 32822-2025 georefererad karta.tif", "A 32822-2025")</f>
        <v/>
      </c>
      <c r="AA55">
        <f>HYPERLINK("https://klasma.github.io/Logging_1380/klagomål/A 32822-2025 FSC-klagomål.docx", "A 32822-2025")</f>
        <v/>
      </c>
      <c r="AB55">
        <f>HYPERLINK("https://klasma.github.io/Logging_1380/klagomålsmail/A 32822-2025 FSC-klagomål mail.docx", "A 32822-2025")</f>
        <v/>
      </c>
      <c r="AC55">
        <f>HYPERLINK("https://klasma.github.io/Logging_1380/tillsyn/A 32822-2025 tillsynsbegäran.docx", "A 32822-2025")</f>
        <v/>
      </c>
      <c r="AD55">
        <f>HYPERLINK("https://klasma.github.io/Logging_1380/tillsynsmail/A 32822-2025 tillsynsbegäran mail.docx", "A 32822-2025")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46298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46298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5240-2025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45692</v>
      </c>
      <c r="E58" s="1" t="n">
        <v>46298</v>
      </c>
      <c r="F58" t="inlineStr">
        <is>
          <t>HALLANDS LÄN</t>
        </is>
      </c>
      <c r="G58" t="inlineStr">
        <is>
          <t>HALMSTAD</t>
        </is>
      </c>
      <c r="I58" t="n">
        <v>8.300000000000001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Mussellav</t>
        </is>
      </c>
      <c r="W58">
        <f>HYPERLINK("https://klasma.github.io/Logging_1380/artfynd/A 5240-2025 artfynd.xlsx", "A 5240-2025")</f>
        <v/>
      </c>
      <c r="X58">
        <f>HYPERLINK("https://klasma.github.io/Logging_1380/kartor/A 5240-2025 karta.png", "A 5240-2025")</f>
        <v/>
      </c>
      <c r="Y58">
        <f>HYPERLINK("https://klasma.github.io/Logging_1380/kartor_geotiff/A 5240-2025 georefererad karta.tif", "A 5240-2025")</f>
        <v/>
      </c>
      <c r="AA58">
        <f>HYPERLINK("https://klasma.github.io/Logging_1380/klagomål/A 5240-2025 FSC-klagomål.docx", "A 5240-2025")</f>
        <v/>
      </c>
      <c r="AB58">
        <f>HYPERLINK("https://klasma.github.io/Logging_1380/klagomålsmail/A 5240-2025 FSC-klagomål mail.docx", "A 5240-2025")</f>
        <v/>
      </c>
      <c r="AC58">
        <f>HYPERLINK("https://klasma.github.io/Logging_1380/tillsyn/A 5240-2025 tillsynsbegäran.docx", "A 5240-2025")</f>
        <v/>
      </c>
      <c r="AD58">
        <f>HYPERLINK("https://klasma.github.io/Logging_1380/tillsynsmail/A 5240-2025 tillsynsbegäran mail.docx", "A 5240-2025")</f>
        <v/>
      </c>
    </row>
    <row r="59" ht="15" customHeight="1">
      <c r="A59" t="inlineStr">
        <is>
          <t>A 20419-2022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44699</v>
      </c>
      <c r="E59" s="1" t="n">
        <v>46298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6.5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20419-2022 artfynd.xlsx", "A 20419-2022")</f>
        <v/>
      </c>
      <c r="X59">
        <f>HYPERLINK("https://klasma.github.io/Logging_1380/kartor/A 20419-2022 karta.png", "A 20419-2022")</f>
        <v/>
      </c>
      <c r="Y59">
        <f>HYPERLINK("https://klasma.github.io/Logging_1380/kartor_geotiff/A 20419-2022 georefererad karta.tif", "A 20419-2022")</f>
        <v/>
      </c>
      <c r="AA59">
        <f>HYPERLINK("https://klasma.github.io/Logging_1380/klagomål/A 20419-2022 FSC-klagomål.docx", "A 20419-2022")</f>
        <v/>
      </c>
      <c r="AB59">
        <f>HYPERLINK("https://klasma.github.io/Logging_1380/klagomålsmail/A 20419-2022 FSC-klagomål mail.docx", "A 20419-2022")</f>
        <v/>
      </c>
      <c r="AC59">
        <f>HYPERLINK("https://klasma.github.io/Logging_1380/tillsyn/A 20419-2022 tillsynsbegäran.docx", "A 20419-2022")</f>
        <v/>
      </c>
      <c r="AD59">
        <f>HYPERLINK("https://klasma.github.io/Logging_1380/tillsynsmail/A 20419-2022 tillsynsbegäran mail.docx", "A 20419-2022")</f>
        <v/>
      </c>
    </row>
    <row r="60" ht="15" customHeight="1">
      <c r="A60" t="inlineStr">
        <is>
          <t>A 24383-2023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46298</v>
      </c>
      <c r="F60" t="inlineStr">
        <is>
          <t>HALLANDS LÄN</t>
        </is>
      </c>
      <c r="G60" t="inlineStr">
        <is>
          <t>HALMSTAD</t>
        </is>
      </c>
      <c r="I60" t="n">
        <v>3.2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24383-2023 artfynd.xlsx", "A 24383-2023")</f>
        <v/>
      </c>
      <c r="X60">
        <f>HYPERLINK("https://klasma.github.io/Logging_1380/kartor/A 24383-2023 karta.png", "A 24383-2023")</f>
        <v/>
      </c>
      <c r="Y60">
        <f>HYPERLINK("https://klasma.github.io/Logging_1380/kartor_geotiff/A 24383-2023 georefererad karta.tif", "A 24383-2023")</f>
        <v/>
      </c>
      <c r="AA60">
        <f>HYPERLINK("https://klasma.github.io/Logging_1380/klagomål/A 24383-2023 FSC-klagomål.docx", "A 24383-2023")</f>
        <v/>
      </c>
      <c r="AB60">
        <f>HYPERLINK("https://klasma.github.io/Logging_1380/klagomålsmail/A 24383-2023 FSC-klagomål mail.docx", "A 24383-2023")</f>
        <v/>
      </c>
      <c r="AC60">
        <f>HYPERLINK("https://klasma.github.io/Logging_1380/tillsyn/A 24383-2023 tillsynsbegäran.docx", "A 24383-2023")</f>
        <v/>
      </c>
      <c r="AD60">
        <f>HYPERLINK("https://klasma.github.io/Logging_1380/tillsynsmail/A 24383-2023 tillsynsbegäran mail.docx", "A 24383-2023")</f>
        <v/>
      </c>
    </row>
    <row r="61" ht="15" customHeight="1">
      <c r="A61" t="inlineStr">
        <is>
          <t>A 19588-2023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46298</v>
      </c>
      <c r="F61" t="inlineStr">
        <is>
          <t>HALLANDS LÄN</t>
        </is>
      </c>
      <c r="G61" t="inlineStr">
        <is>
          <t>HALMSTAD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Ljungögontröst</t>
        </is>
      </c>
      <c r="W61">
        <f>HYPERLINK("https://klasma.github.io/Logging_1380/artfynd/A 19588-2023 artfynd.xlsx", "A 19588-2023")</f>
        <v/>
      </c>
      <c r="X61">
        <f>HYPERLINK("https://klasma.github.io/Logging_1380/kartor/A 19588-2023 karta.png", "A 19588-2023")</f>
        <v/>
      </c>
      <c r="Y61">
        <f>HYPERLINK("https://klasma.github.io/Logging_1380/kartor_geotiff/A 19588-2023 georefererad karta.tif", "A 19588-2023")</f>
        <v/>
      </c>
      <c r="AA61">
        <f>HYPERLINK("https://klasma.github.io/Logging_1380/klagomål/A 19588-2023 FSC-klagomål.docx", "A 19588-2023")</f>
        <v/>
      </c>
      <c r="AB61">
        <f>HYPERLINK("https://klasma.github.io/Logging_1380/klagomålsmail/A 19588-2023 FSC-klagomål mail.docx", "A 19588-2023")</f>
        <v/>
      </c>
      <c r="AC61">
        <f>HYPERLINK("https://klasma.github.io/Logging_1380/tillsyn/A 19588-2023 tillsynsbegäran.docx", "A 19588-2023")</f>
        <v/>
      </c>
      <c r="AD61">
        <f>HYPERLINK("https://klasma.github.io/Logging_1380/tillsynsmail/A 19588-2023 tillsynsbegäran mail.docx", "A 19588-2023")</f>
        <v/>
      </c>
    </row>
    <row r="62" ht="15" customHeight="1">
      <c r="A62" t="inlineStr">
        <is>
          <t>A 16387-2023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46298</v>
      </c>
      <c r="F62" t="inlineStr">
        <is>
          <t>HALLANDS LÄN</t>
        </is>
      </c>
      <c r="G62" t="inlineStr">
        <is>
          <t>HALMSTAD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HYPERLINK("https://klasma.github.io/Logging_1380/artfynd/A 16387-2023 artfynd.xlsx", "A 16387-2023")</f>
        <v/>
      </c>
      <c r="X62">
        <f>HYPERLINK("https://klasma.github.io/Logging_1380/kartor/A 16387-2023 karta.png", "A 16387-2023")</f>
        <v/>
      </c>
      <c r="Y62">
        <f>HYPERLINK("https://klasma.github.io/Logging_1380/kartor_geotiff/A 16387-2023 georefererad karta.tif", "A 16387-2023")</f>
        <v/>
      </c>
      <c r="AA62">
        <f>HYPERLINK("https://klasma.github.io/Logging_1380/klagomål/A 16387-2023 FSC-klagomål.docx", "A 16387-2023")</f>
        <v/>
      </c>
      <c r="AB62">
        <f>HYPERLINK("https://klasma.github.io/Logging_1380/klagomålsmail/A 16387-2023 FSC-klagomål mail.docx", "A 16387-2023")</f>
        <v/>
      </c>
      <c r="AC62">
        <f>HYPERLINK("https://klasma.github.io/Logging_1380/tillsyn/A 16387-2023 tillsynsbegäran.docx", "A 16387-2023")</f>
        <v/>
      </c>
      <c r="AD62">
        <f>HYPERLINK("https://klasma.github.io/Logging_1380/tillsynsmail/A 16387-2023 tillsynsbegäran mail.docx", "A 16387-2023")</f>
        <v/>
      </c>
      <c r="AE62">
        <f>HYPERLINK("https://klasma.github.io/Logging_1380/fåglar/A 16387-2023 prioriterade fågelarter.docx", "A 16387-2023")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46298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46298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46298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22842-2022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46298</v>
      </c>
      <c r="F66" t="inlineStr">
        <is>
          <t>HALLANDS LÄN</t>
        </is>
      </c>
      <c r="G66" t="inlineStr">
        <is>
          <t>HALMSTAD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4</v>
      </c>
      <c r="V66" s="2" t="inlineStr">
        <is>
          <t>Spillkråka</t>
        </is>
      </c>
      <c r="W66">
        <f>HYPERLINK("https://klasma.github.io/Logging_1380/artfynd/A 22842-2022 artfynd.xlsx", "A 22842-2022")</f>
        <v/>
      </c>
      <c r="X66">
        <f>HYPERLINK("https://klasma.github.io/Logging_1380/kartor/A 22842-2022 karta.png", "A 22842-2022")</f>
        <v/>
      </c>
      <c r="Y66">
        <f>HYPERLINK("https://klasma.github.io/Logging_1380/kartor_geotiff/A 22842-2022 georefererad karta.tif", "A 22842-2022")</f>
        <v/>
      </c>
      <c r="AA66">
        <f>HYPERLINK("https://klasma.github.io/Logging_1380/klagomål/A 22842-2022 FSC-klagomål.docx", "A 22842-2022")</f>
        <v/>
      </c>
      <c r="AB66">
        <f>HYPERLINK("https://klasma.github.io/Logging_1380/klagomålsmail/A 22842-2022 FSC-klagomål mail.docx", "A 22842-2022")</f>
        <v/>
      </c>
      <c r="AC66">
        <f>HYPERLINK("https://klasma.github.io/Logging_1380/tillsyn/A 22842-2022 tillsynsbegäran.docx", "A 22842-2022")</f>
        <v/>
      </c>
      <c r="AD66">
        <f>HYPERLINK("https://klasma.github.io/Logging_1380/tillsynsmail/A 22842-2022 tillsynsbegäran mail.docx", "A 22842-2022")</f>
        <v/>
      </c>
      <c r="AE66">
        <f>HYPERLINK("https://klasma.github.io/Logging_1380/fåglar/A 22842-2022 prioriterade fågelarter.docx", "A 22842-2022")</f>
        <v/>
      </c>
    </row>
    <row r="67" ht="15" customHeight="1">
      <c r="A67" t="inlineStr">
        <is>
          <t>A 9045-2026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46298</v>
      </c>
      <c r="F67" t="inlineStr">
        <is>
          <t>HALLANDS LÄN</t>
        </is>
      </c>
      <c r="G67" t="inlineStr">
        <is>
          <t>HALMSTAD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9045-2026 artfynd.xlsx", "A 9045-2026")</f>
        <v/>
      </c>
      <c r="X67">
        <f>HYPERLINK("https://klasma.github.io/Logging_1380/kartor/A 9045-2026 karta.png", "A 9045-2026")</f>
        <v/>
      </c>
      <c r="Y67">
        <f>HYPERLINK("https://klasma.github.io/Logging_1380/kartor_geotiff/A 9045-2026 georefererad karta.tif", "A 9045-2026")</f>
        <v/>
      </c>
      <c r="AA67">
        <f>HYPERLINK("https://klasma.github.io/Logging_1380/klagomål/A 9045-2026 FSC-klagomål.docx", "A 9045-2026")</f>
        <v/>
      </c>
      <c r="AB67">
        <f>HYPERLINK("https://klasma.github.io/Logging_1380/klagomålsmail/A 9045-2026 FSC-klagomål mail.docx", "A 9045-2026")</f>
        <v/>
      </c>
      <c r="AC67">
        <f>HYPERLINK("https://klasma.github.io/Logging_1380/tillsyn/A 9045-2026 tillsynsbegäran.docx", "A 9045-2026")</f>
        <v/>
      </c>
      <c r="AD67">
        <f>HYPERLINK("https://klasma.github.io/Logging_1380/tillsynsmail/A 9045-2026 tillsynsbegäran mail.docx", "A 9045-2026")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46298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46298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21483-2024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45441</v>
      </c>
      <c r="E70" s="1" t="n">
        <v>46298</v>
      </c>
      <c r="F70" t="inlineStr">
        <is>
          <t>HALLANDS LÄN</t>
        </is>
      </c>
      <c r="G70" t="inlineStr">
        <is>
          <t>HALMSTAD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21483-2024 artfynd.xlsx", "A 21483-2024")</f>
        <v/>
      </c>
      <c r="X70">
        <f>HYPERLINK("https://klasma.github.io/Logging_1380/kartor/A 21483-2024 karta.png", "A 21483-2024")</f>
        <v/>
      </c>
      <c r="Y70">
        <f>HYPERLINK("https://klasma.github.io/Logging_1380/kartor_geotiff/A 21483-2024 georefererad karta.tif", "A 21483-2024")</f>
        <v/>
      </c>
      <c r="AA70">
        <f>HYPERLINK("https://klasma.github.io/Logging_1380/klagomål/A 21483-2024 FSC-klagomål.docx", "A 21483-2024")</f>
        <v/>
      </c>
      <c r="AB70">
        <f>HYPERLINK("https://klasma.github.io/Logging_1380/klagomålsmail/A 21483-2024 FSC-klagomål mail.docx", "A 21483-2024")</f>
        <v/>
      </c>
      <c r="AC70">
        <f>HYPERLINK("https://klasma.github.io/Logging_1380/tillsyn/A 21483-2024 tillsynsbegäran.docx", "A 21483-2024")</f>
        <v/>
      </c>
      <c r="AD70">
        <f>HYPERLINK("https://klasma.github.io/Logging_1380/tillsynsmail/A 21483-2024 tillsynsbegäran mail.docx", "A 21483-2024")</f>
        <v/>
      </c>
    </row>
    <row r="71" ht="15" customHeight="1">
      <c r="A71" t="inlineStr">
        <is>
          <t>A 38318-2025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45883</v>
      </c>
      <c r="E71" s="1" t="n">
        <v>46298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HYPERLINK("https://klasma.github.io/Logging_1380/artfynd/A 38318-2025 artfynd.xlsx", "A 38318-2025")</f>
        <v/>
      </c>
      <c r="X71">
        <f>HYPERLINK("https://klasma.github.io/Logging_1380/kartor/A 38318-2025 karta.png", "A 38318-2025")</f>
        <v/>
      </c>
      <c r="Y71">
        <f>HYPERLINK("https://klasma.github.io/Logging_1380/kartor_geotiff/A 38318-2025 georefererad karta.tif", "A 38318-2025")</f>
        <v/>
      </c>
      <c r="AA71">
        <f>HYPERLINK("https://klasma.github.io/Logging_1380/klagomål/A 38318-2025 FSC-klagomål.docx", "A 38318-2025")</f>
        <v/>
      </c>
      <c r="AB71">
        <f>HYPERLINK("https://klasma.github.io/Logging_1380/klagomålsmail/A 38318-2025 FSC-klagomål mail.docx", "A 38318-2025")</f>
        <v/>
      </c>
      <c r="AC71">
        <f>HYPERLINK("https://klasma.github.io/Logging_1380/tillsyn/A 38318-2025 tillsynsbegäran.docx", "A 38318-2025")</f>
        <v/>
      </c>
      <c r="AD71">
        <f>HYPERLINK("https://klasma.github.io/Logging_1380/tillsynsmail/A 38318-2025 tillsynsbegäran mail.docx", "A 38318-2025")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46298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46298</v>
      </c>
      <c r="F73" t="inlineStr">
        <is>
          <t>HALLANDS LÄN</t>
        </is>
      </c>
      <c r="G73" t="inlineStr">
        <is>
          <t>HALMSTAD</t>
        </is>
      </c>
      <c r="I73" t="n">
        <v>14.9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snok</t>
        </is>
      </c>
      <c r="W73">
        <f>HYPERLINK("https://klasma.github.io/Logging_1380/artfynd/A 25887-2026 artfynd.xlsx", "A 25887-2026")</f>
        <v/>
      </c>
      <c r="X73">
        <f>HYPERLINK("https://klasma.github.io/Logging_1380/kartor/A 25887-2026 karta.png", "A 25887-2026")</f>
        <v/>
      </c>
      <c r="Y73">
        <f>HYPERLINK("https://klasma.github.io/Logging_1380/kartor_geotiff/A 25887-2026 georefererad karta.tif", "A 25887-2026")</f>
        <v/>
      </c>
      <c r="AA73">
        <f>HYPERLINK("https://klasma.github.io/Logging_1380/klagomål/A 25887-2026 FSC-klagomål.docx", "A 25887-2026")</f>
        <v/>
      </c>
      <c r="AB73">
        <f>HYPERLINK("https://klasma.github.io/Logging_1380/klagomålsmail/A 25887-2026 FSC-klagomål mail.docx", "A 25887-2026")</f>
        <v/>
      </c>
      <c r="AC73">
        <f>HYPERLINK("https://klasma.github.io/Logging_1380/tillsyn/A 25887-2026 tillsynsbegäran.docx", "A 25887-2026")</f>
        <v/>
      </c>
      <c r="AD73">
        <f>HYPERLINK("https://klasma.github.io/Logging_1380/tillsynsmail/A 25887-2026 tillsynsbegäran mail.docx", "A 25887-2026")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46298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46298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46298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6775-2026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46298</v>
      </c>
      <c r="F77" t="inlineStr">
        <is>
          <t>HALLANDS LÄN</t>
        </is>
      </c>
      <c r="G77" t="inlineStr">
        <is>
          <t>HALMSTAD</t>
        </is>
      </c>
      <c r="I77" t="n">
        <v>8.199999999999999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Barbastell</t>
        </is>
      </c>
      <c r="W77">
        <f>HYPERLINK("https://klasma.github.io/Logging_1380/artfynd/A 6775-2026 artfynd.xlsx", "A 6775-2026")</f>
        <v/>
      </c>
      <c r="X77">
        <f>HYPERLINK("https://klasma.github.io/Logging_1380/kartor/A 6775-2026 karta.png", "A 6775-2026")</f>
        <v/>
      </c>
      <c r="Y77">
        <f>HYPERLINK("https://klasma.github.io/Logging_1380/kartor_geotiff/A 6775-2026 georefererad karta.tif", "A 6775-2026")</f>
        <v/>
      </c>
      <c r="AA77">
        <f>HYPERLINK("https://klasma.github.io/Logging_1380/klagomål/A 6775-2026 FSC-klagomål.docx", "A 6775-2026")</f>
        <v/>
      </c>
      <c r="AB77">
        <f>HYPERLINK("https://klasma.github.io/Logging_1380/klagomålsmail/A 6775-2026 FSC-klagomål mail.docx", "A 6775-2026")</f>
        <v/>
      </c>
      <c r="AC77">
        <f>HYPERLINK("https://klasma.github.io/Logging_1380/tillsyn/A 6775-2026 tillsynsbegäran.docx", "A 6775-2026")</f>
        <v/>
      </c>
      <c r="AD77">
        <f>HYPERLINK("https://klasma.github.io/Logging_1380/tillsynsmail/A 6775-2026 tillsynsbegäran mail.docx", "A 6775-2026")</f>
        <v/>
      </c>
    </row>
    <row r="78" ht="15" customHeight="1">
      <c r="A78" t="inlineStr">
        <is>
          <t>A 53797-2024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46298</v>
      </c>
      <c r="F78" t="inlineStr">
        <is>
          <t>HALLANDS LÄN</t>
        </is>
      </c>
      <c r="G78" t="inlineStr">
        <is>
          <t>HALMSTAD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Dvärglin</t>
        </is>
      </c>
      <c r="W78">
        <f>HYPERLINK("https://klasma.github.io/Logging_1380/artfynd/A 53797-2024 artfynd.xlsx", "A 53797-2024")</f>
        <v/>
      </c>
      <c r="X78">
        <f>HYPERLINK("https://klasma.github.io/Logging_1380/kartor/A 53797-2024 karta.png", "A 53797-2024")</f>
        <v/>
      </c>
      <c r="Y78">
        <f>HYPERLINK("https://klasma.github.io/Logging_1380/kartor_geotiff/A 53797-2024 georefererad karta.tif", "A 53797-2024")</f>
        <v/>
      </c>
      <c r="AA78">
        <f>HYPERLINK("https://klasma.github.io/Logging_1380/klagomål/A 53797-2024 FSC-klagomål.docx", "A 53797-2024")</f>
        <v/>
      </c>
      <c r="AB78">
        <f>HYPERLINK("https://klasma.github.io/Logging_1380/klagomålsmail/A 53797-2024 FSC-klagomål mail.docx", "A 53797-2024")</f>
        <v/>
      </c>
      <c r="AC78">
        <f>HYPERLINK("https://klasma.github.io/Logging_1380/tillsyn/A 53797-2024 tillsynsbegäran.docx", "A 53797-2024")</f>
        <v/>
      </c>
      <c r="AD78">
        <f>HYPERLINK("https://klasma.github.io/Logging_1380/tillsynsmail/A 53797-2024 tillsynsbegäran mail.docx", "A 53797-2024")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46298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46298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46298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46298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46298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46298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46298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46298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46298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46298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46298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46298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46298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46298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46298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46298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46298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46298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46298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46298</v>
      </c>
      <c r="F99" t="inlineStr">
        <is>
          <t>HALLANDS LÄN</t>
        </is>
      </c>
      <c r="G99" t="inlineStr">
        <is>
          <t>HALMSTAD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46298</v>
      </c>
      <c r="F100" t="inlineStr">
        <is>
          <t>HALLANDS LÄN</t>
        </is>
      </c>
      <c r="G100" t="inlineStr">
        <is>
          <t>HALMSTAD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46298</v>
      </c>
      <c r="F101" t="inlineStr">
        <is>
          <t>HALLANDS LÄN</t>
        </is>
      </c>
      <c r="G101" t="inlineStr">
        <is>
          <t>HALMSTAD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46298</v>
      </c>
      <c r="F102" t="inlineStr">
        <is>
          <t>HALLANDS LÄN</t>
        </is>
      </c>
      <c r="G102" t="inlineStr">
        <is>
          <t>HALMSTAD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46298</v>
      </c>
      <c r="F103" t="inlineStr">
        <is>
          <t>HALLANDS LÄN</t>
        </is>
      </c>
      <c r="G103" t="inlineStr">
        <is>
          <t>HALMSTAD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46298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46298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46298</v>
      </c>
      <c r="F106" t="inlineStr">
        <is>
          <t>HALLANDS LÄN</t>
        </is>
      </c>
      <c r="G106" t="inlineStr">
        <is>
          <t>HALMSTAD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46298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46298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46298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72139-2021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46298</v>
      </c>
      <c r="F110" t="inlineStr">
        <is>
          <t>HALLANDS LÄN</t>
        </is>
      </c>
      <c r="G110" t="inlineStr">
        <is>
          <t>HALMSTAD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44875</v>
      </c>
      <c r="E111" s="1" t="n">
        <v>46298</v>
      </c>
      <c r="F111" t="inlineStr">
        <is>
          <t>HALLANDS LÄN</t>
        </is>
      </c>
      <c r="G111" t="inlineStr">
        <is>
          <t>HALMSTAD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46298</v>
      </c>
      <c r="F112" t="inlineStr">
        <is>
          <t>HALLANDS LÄN</t>
        </is>
      </c>
      <c r="G112" t="inlineStr">
        <is>
          <t>HALMSTAD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46298</v>
      </c>
      <c r="F113" t="inlineStr">
        <is>
          <t>HALLANDS LÄN</t>
        </is>
      </c>
      <c r="G113" t="inlineStr">
        <is>
          <t>HALMSTAD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46298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46298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46298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46298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46298</v>
      </c>
      <c r="F118" t="inlineStr">
        <is>
          <t>HALLANDS LÄN</t>
        </is>
      </c>
      <c r="G118" t="inlineStr">
        <is>
          <t>HALMSTAD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61853-2023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46298</v>
      </c>
      <c r="F119" t="inlineStr">
        <is>
          <t>HALLANDS LÄN</t>
        </is>
      </c>
      <c r="G119" t="inlineStr">
        <is>
          <t>HALMSTAD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46298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46298</v>
      </c>
      <c r="F121" t="inlineStr">
        <is>
          <t>HALLANDS LÄN</t>
        </is>
      </c>
      <c r="G121" t="inlineStr">
        <is>
          <t>HALMSTAD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46298</v>
      </c>
      <c r="F122" t="inlineStr">
        <is>
          <t>HALLANDS LÄN</t>
        </is>
      </c>
      <c r="G122" t="inlineStr">
        <is>
          <t>HALMSTAD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46298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46298</v>
      </c>
      <c r="F124" t="inlineStr">
        <is>
          <t>HALLANDS LÄN</t>
        </is>
      </c>
      <c r="G124" t="inlineStr">
        <is>
          <t>HALMSTAD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46298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46298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46298</v>
      </c>
      <c r="F127" t="inlineStr">
        <is>
          <t>HALLANDS LÄN</t>
        </is>
      </c>
      <c r="G127" t="inlineStr">
        <is>
          <t>HALMSTAD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46298</v>
      </c>
      <c r="F128" t="inlineStr">
        <is>
          <t>HALLANDS LÄN</t>
        </is>
      </c>
      <c r="G128" t="inlineStr">
        <is>
          <t>HALMSTAD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46298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46298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46298</v>
      </c>
      <c r="F131" t="inlineStr">
        <is>
          <t>HALLANDS LÄN</t>
        </is>
      </c>
      <c r="G131" t="inlineStr">
        <is>
          <t>HALMSTAD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46298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46298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46298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46298</v>
      </c>
      <c r="F135" t="inlineStr">
        <is>
          <t>HALLANDS LÄN</t>
        </is>
      </c>
      <c r="G135" t="inlineStr">
        <is>
          <t>HALMSTAD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46298</v>
      </c>
      <c r="F136" t="inlineStr">
        <is>
          <t>HALLANDS LÄN</t>
        </is>
      </c>
      <c r="G136" t="inlineStr">
        <is>
          <t>HALMSTAD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46298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46298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46298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46298</v>
      </c>
      <c r="F140" t="inlineStr">
        <is>
          <t>HALLANDS LÄN</t>
        </is>
      </c>
      <c r="G140" t="inlineStr">
        <is>
          <t>HALMSTAD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46298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46298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46298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46298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46298</v>
      </c>
      <c r="F145" t="inlineStr">
        <is>
          <t>HALLANDS LÄN</t>
        </is>
      </c>
      <c r="G145" t="inlineStr">
        <is>
          <t>HALMSTAD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46298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46298</v>
      </c>
      <c r="F147" t="inlineStr">
        <is>
          <t>HALLANDS LÄN</t>
        </is>
      </c>
      <c r="G147" t="inlineStr">
        <is>
          <t>HALMSTAD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46298</v>
      </c>
      <c r="F148" t="inlineStr">
        <is>
          <t>HALLANDS LÄN</t>
        </is>
      </c>
      <c r="G148" t="inlineStr">
        <is>
          <t>HALMSTAD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46298</v>
      </c>
      <c r="F149" t="inlineStr">
        <is>
          <t>HALLANDS LÄN</t>
        </is>
      </c>
      <c r="G149" t="inlineStr">
        <is>
          <t>HALMSTAD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46298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46298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46298</v>
      </c>
      <c r="F152" t="inlineStr">
        <is>
          <t>HALLANDS LÄN</t>
        </is>
      </c>
      <c r="G152" t="inlineStr">
        <is>
          <t>HALMSTAD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46298</v>
      </c>
      <c r="F153" t="inlineStr">
        <is>
          <t>HALLANDS LÄN</t>
        </is>
      </c>
      <c r="G153" t="inlineStr">
        <is>
          <t>HALMSTAD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46298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46298</v>
      </c>
      <c r="F155" t="inlineStr">
        <is>
          <t>HALLANDS LÄN</t>
        </is>
      </c>
      <c r="G155" t="inlineStr">
        <is>
          <t>HALMSTAD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46298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45627</v>
      </c>
      <c r="E157" s="1" t="n">
        <v>46298</v>
      </c>
      <c r="F157" t="inlineStr">
        <is>
          <t>HALLANDS LÄN</t>
        </is>
      </c>
      <c r="G157" t="inlineStr">
        <is>
          <t>HALMSTAD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46298</v>
      </c>
      <c r="F158" t="inlineStr">
        <is>
          <t>HALLANDS LÄN</t>
        </is>
      </c>
      <c r="G158" t="inlineStr">
        <is>
          <t>HALMSTAD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46298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46298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46298</v>
      </c>
      <c r="F161" t="inlineStr">
        <is>
          <t>HALLANDS LÄN</t>
        </is>
      </c>
      <c r="G161" t="inlineStr">
        <is>
          <t>HALMSTAD</t>
        </is>
      </c>
      <c r="H161" t="inlineStr">
        <is>
          <t>Övriga statliga verk och myndigheter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46298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46298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46298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46298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46298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44691</v>
      </c>
      <c r="E167" s="1" t="n">
        <v>46298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46298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46298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46298</v>
      </c>
      <c r="F170" t="inlineStr">
        <is>
          <t>HALLANDS LÄN</t>
        </is>
      </c>
      <c r="G170" t="inlineStr">
        <is>
          <t>HALMSTAD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46298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45734</v>
      </c>
      <c r="E172" s="1" t="n">
        <v>46298</v>
      </c>
      <c r="F172" t="inlineStr">
        <is>
          <t>HALLANDS LÄN</t>
        </is>
      </c>
      <c r="G172" t="inlineStr">
        <is>
          <t>HALMSTAD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46298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46298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46298</v>
      </c>
      <c r="F175" t="inlineStr">
        <is>
          <t>HALLANDS LÄN</t>
        </is>
      </c>
      <c r="G175" t="inlineStr">
        <is>
          <t>HALMSTAD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46298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46298</v>
      </c>
      <c r="F177" t="inlineStr">
        <is>
          <t>HALLANDS LÄN</t>
        </is>
      </c>
      <c r="G177" t="inlineStr">
        <is>
          <t>HALMSTAD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46298</v>
      </c>
      <c r="F178" t="inlineStr">
        <is>
          <t>HALLANDS LÄN</t>
        </is>
      </c>
      <c r="G178" t="inlineStr">
        <is>
          <t>HALMSTAD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46298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46298</v>
      </c>
      <c r="F180" t="inlineStr">
        <is>
          <t>HALLANDS LÄN</t>
        </is>
      </c>
      <c r="G180" t="inlineStr">
        <is>
          <t>HALMSTAD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46298</v>
      </c>
      <c r="F181" t="inlineStr">
        <is>
          <t>HALLANDS LÄN</t>
        </is>
      </c>
      <c r="G181" t="inlineStr">
        <is>
          <t>HALMSTAD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44687</v>
      </c>
      <c r="E182" s="1" t="n">
        <v>46298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46298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46298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46298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46298</v>
      </c>
      <c r="F186" t="inlineStr">
        <is>
          <t>HALLANDS LÄN</t>
        </is>
      </c>
      <c r="G186" t="inlineStr">
        <is>
          <t>HALMSTAD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46298</v>
      </c>
      <c r="F187" t="inlineStr">
        <is>
          <t>HALLANDS LÄN</t>
        </is>
      </c>
      <c r="G187" t="inlineStr">
        <is>
          <t>HALMSTAD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46298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46298</v>
      </c>
      <c r="F189" t="inlineStr">
        <is>
          <t>HALLANDS LÄN</t>
        </is>
      </c>
      <c r="G189" t="inlineStr">
        <is>
          <t>HALMSTAD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46298</v>
      </c>
      <c r="F190" t="inlineStr">
        <is>
          <t>HALLANDS LÄN</t>
        </is>
      </c>
      <c r="G190" t="inlineStr">
        <is>
          <t>HALMSTAD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46298</v>
      </c>
      <c r="F191" t="inlineStr">
        <is>
          <t>HALLANDS LÄN</t>
        </is>
      </c>
      <c r="G191" t="inlineStr">
        <is>
          <t>HALMSTAD</t>
        </is>
      </c>
      <c r="H191" t="inlineStr">
        <is>
          <t>Bergvik skog väst AB</t>
        </is>
      </c>
      <c r="I191" t="n">
        <v>19.5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46298</v>
      </c>
      <c r="F192" t="inlineStr">
        <is>
          <t>HALLANDS LÄN</t>
        </is>
      </c>
      <c r="G192" t="inlineStr">
        <is>
          <t>HALMSTAD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46298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44827</v>
      </c>
      <c r="E194" s="1" t="n">
        <v>46298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46298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46298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45302</v>
      </c>
      <c r="E197" s="1" t="n">
        <v>46298</v>
      </c>
      <c r="F197" t="inlineStr">
        <is>
          <t>HALLANDS LÄN</t>
        </is>
      </c>
      <c r="G197" t="inlineStr">
        <is>
          <t>HALMSTAD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46298</v>
      </c>
      <c r="F198" t="inlineStr">
        <is>
          <t>HALLANDS LÄN</t>
        </is>
      </c>
      <c r="G198" t="inlineStr">
        <is>
          <t>HALMSTAD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46298</v>
      </c>
      <c r="F199" t="inlineStr">
        <is>
          <t>HALLANDS LÄN</t>
        </is>
      </c>
      <c r="G199" t="inlineStr">
        <is>
          <t>HALMSTAD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46298</v>
      </c>
      <c r="F200" t="inlineStr">
        <is>
          <t>HALLANDS LÄN</t>
        </is>
      </c>
      <c r="G200" t="inlineStr">
        <is>
          <t>HALMSTAD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46298</v>
      </c>
      <c r="F201" t="inlineStr">
        <is>
          <t>HALLANDS LÄN</t>
        </is>
      </c>
      <c r="G201" t="inlineStr">
        <is>
          <t>HALMSTAD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46298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46298</v>
      </c>
      <c r="F203" t="inlineStr">
        <is>
          <t>HALLANDS LÄN</t>
        </is>
      </c>
      <c r="G203" t="inlineStr">
        <is>
          <t>HALMSTAD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46298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46298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46298</v>
      </c>
      <c r="F206" t="inlineStr">
        <is>
          <t>HALLANDS LÄN</t>
        </is>
      </c>
      <c r="G206" t="inlineStr">
        <is>
          <t>HALMSTAD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46298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46298</v>
      </c>
      <c r="F208" t="inlineStr">
        <is>
          <t>HALLANDS LÄN</t>
        </is>
      </c>
      <c r="G208" t="inlineStr">
        <is>
          <t>HALMSTAD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46298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46298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46298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44885</v>
      </c>
      <c r="E212" s="1" t="n">
        <v>46298</v>
      </c>
      <c r="F212" t="inlineStr">
        <is>
          <t>HALLANDS LÄN</t>
        </is>
      </c>
      <c r="G212" t="inlineStr">
        <is>
          <t>HALMSTAD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44885</v>
      </c>
      <c r="E213" s="1" t="n">
        <v>46298</v>
      </c>
      <c r="F213" t="inlineStr">
        <is>
          <t>HALLANDS LÄN</t>
        </is>
      </c>
      <c r="G213" t="inlineStr">
        <is>
          <t>HALMSTAD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46298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46298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46298</v>
      </c>
      <c r="F216" t="inlineStr">
        <is>
          <t>HALLANDS LÄN</t>
        </is>
      </c>
      <c r="G216" t="inlineStr">
        <is>
          <t>HALMSTAD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46298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46298</v>
      </c>
      <c r="F218" t="inlineStr">
        <is>
          <t>HALLANDS LÄN</t>
        </is>
      </c>
      <c r="G218" t="inlineStr">
        <is>
          <t>HALMSTAD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46298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46298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46298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46298</v>
      </c>
      <c r="F222" t="inlineStr">
        <is>
          <t>HALLANDS LÄN</t>
        </is>
      </c>
      <c r="G222" t="inlineStr">
        <is>
          <t>HALMSTAD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46298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46298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46298</v>
      </c>
      <c r="F225" t="inlineStr">
        <is>
          <t>HALLANDS LÄN</t>
        </is>
      </c>
      <c r="G225" t="inlineStr">
        <is>
          <t>HALMSTAD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46298</v>
      </c>
      <c r="F226" t="inlineStr">
        <is>
          <t>HALLANDS LÄN</t>
        </is>
      </c>
      <c r="G226" t="inlineStr">
        <is>
          <t>HALMSTAD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46298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46298</v>
      </c>
      <c r="F228" t="inlineStr">
        <is>
          <t>HALLANDS LÄN</t>
        </is>
      </c>
      <c r="G228" t="inlineStr">
        <is>
          <t>HALMSTAD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45415</v>
      </c>
      <c r="E229" s="1" t="n">
        <v>46298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45660</v>
      </c>
      <c r="E230" s="1" t="n">
        <v>46298</v>
      </c>
      <c r="F230" t="inlineStr">
        <is>
          <t>HALLANDS LÄN</t>
        </is>
      </c>
      <c r="G230" t="inlineStr">
        <is>
          <t>HALMSTAD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46298</v>
      </c>
      <c r="F231" t="inlineStr">
        <is>
          <t>HALLANDS LÄN</t>
        </is>
      </c>
      <c r="G231" t="inlineStr">
        <is>
          <t>HALMSTAD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46298</v>
      </c>
      <c r="F232" t="inlineStr">
        <is>
          <t>HALLANDS LÄN</t>
        </is>
      </c>
      <c r="G232" t="inlineStr">
        <is>
          <t>HALMSTAD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46298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46298</v>
      </c>
      <c r="F234" t="inlineStr">
        <is>
          <t>HALLANDS LÄN</t>
        </is>
      </c>
      <c r="G234" t="inlineStr">
        <is>
          <t>HALMSTAD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46298</v>
      </c>
      <c r="F235" t="inlineStr">
        <is>
          <t>HALLANDS LÄN</t>
        </is>
      </c>
      <c r="G235" t="inlineStr">
        <is>
          <t>HALMSTAD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46298</v>
      </c>
      <c r="F236" t="inlineStr">
        <is>
          <t>HALLANDS LÄN</t>
        </is>
      </c>
      <c r="G236" t="inlineStr">
        <is>
          <t>HALMSTAD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46298</v>
      </c>
      <c r="F237" t="inlineStr">
        <is>
          <t>HALLANDS LÄN</t>
        </is>
      </c>
      <c r="G237" t="inlineStr">
        <is>
          <t>HALMSTAD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46298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46298</v>
      </c>
      <c r="F239" t="inlineStr">
        <is>
          <t>HALLANDS LÄN</t>
        </is>
      </c>
      <c r="G239" t="inlineStr">
        <is>
          <t>HALMSTAD</t>
        </is>
      </c>
      <c r="H239" t="inlineStr">
        <is>
          <t>Bergvik skog väst AB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46298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46298</v>
      </c>
      <c r="F241" t="inlineStr">
        <is>
          <t>HALLANDS LÄN</t>
        </is>
      </c>
      <c r="G241" t="inlineStr">
        <is>
          <t>HALMSTAD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46298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46298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46298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46298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46298</v>
      </c>
      <c r="F246" t="inlineStr">
        <is>
          <t>HALLANDS LÄN</t>
        </is>
      </c>
      <c r="G246" t="inlineStr">
        <is>
          <t>HALMSTAD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46298</v>
      </c>
      <c r="F247" t="inlineStr">
        <is>
          <t>HALLANDS LÄN</t>
        </is>
      </c>
      <c r="G247" t="inlineStr">
        <is>
          <t>HALMSTAD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46298</v>
      </c>
      <c r="F248" t="inlineStr">
        <is>
          <t>HALLANDS LÄN</t>
        </is>
      </c>
      <c r="G248" t="inlineStr">
        <is>
          <t>HALMSTAD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45257</v>
      </c>
      <c r="E249" s="1" t="n">
        <v>46298</v>
      </c>
      <c r="F249" t="inlineStr">
        <is>
          <t>HALLANDS LÄN</t>
        </is>
      </c>
      <c r="G249" t="inlineStr">
        <is>
          <t>HALMSTAD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46298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46298</v>
      </c>
      <c r="F251" t="inlineStr">
        <is>
          <t>HALLANDS LÄN</t>
        </is>
      </c>
      <c r="G251" t="inlineStr">
        <is>
          <t>HALMSTAD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46298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46298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46298</v>
      </c>
      <c r="F254" t="inlineStr">
        <is>
          <t>HALLANDS LÄN</t>
        </is>
      </c>
      <c r="G254" t="inlineStr">
        <is>
          <t>HALMSTAD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46298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46298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46298</v>
      </c>
      <c r="F257" t="inlineStr">
        <is>
          <t>HALLANDS LÄN</t>
        </is>
      </c>
      <c r="G257" t="inlineStr">
        <is>
          <t>HALMSTAD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46298</v>
      </c>
      <c r="F258" t="inlineStr">
        <is>
          <t>HALLANDS LÄN</t>
        </is>
      </c>
      <c r="G258" t="inlineStr">
        <is>
          <t>HALMSTAD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46298</v>
      </c>
      <c r="F259" t="inlineStr">
        <is>
          <t>HALLANDS LÄN</t>
        </is>
      </c>
      <c r="G259" t="inlineStr">
        <is>
          <t>HALMSTAD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46298</v>
      </c>
      <c r="F260" t="inlineStr">
        <is>
          <t>HALLANDS LÄN</t>
        </is>
      </c>
      <c r="G260" t="inlineStr">
        <is>
          <t>HALMSTAD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44662</v>
      </c>
      <c r="E261" s="1" t="n">
        <v>46298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22070-2022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44711</v>
      </c>
      <c r="E262" s="1" t="n">
        <v>46298</v>
      </c>
      <c r="F262" t="inlineStr">
        <is>
          <t>HALLANDS LÄN</t>
        </is>
      </c>
      <c r="G262" t="inlineStr">
        <is>
          <t>HALMSTAD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46298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46298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46298</v>
      </c>
      <c r="F265" t="inlineStr">
        <is>
          <t>HALLANDS LÄN</t>
        </is>
      </c>
      <c r="G265" t="inlineStr">
        <is>
          <t>HALMSTAD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45488</v>
      </c>
      <c r="E266" s="1" t="n">
        <v>46298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46298</v>
      </c>
      <c r="F267" t="inlineStr">
        <is>
          <t>HALLANDS LÄN</t>
        </is>
      </c>
      <c r="G267" t="inlineStr">
        <is>
          <t>HALMSTAD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46298</v>
      </c>
      <c r="F268" t="inlineStr">
        <is>
          <t>HALLANDS LÄN</t>
        </is>
      </c>
      <c r="G268" t="inlineStr">
        <is>
          <t>HALMSTAD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46298</v>
      </c>
      <c r="F269" t="inlineStr">
        <is>
          <t>HALLANDS LÄN</t>
        </is>
      </c>
      <c r="G269" t="inlineStr">
        <is>
          <t>HALMSTAD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46298</v>
      </c>
      <c r="F270" t="inlineStr">
        <is>
          <t>HALLANDS LÄN</t>
        </is>
      </c>
      <c r="G270" t="inlineStr">
        <is>
          <t>HALMSTAD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46298</v>
      </c>
      <c r="F271" t="inlineStr">
        <is>
          <t>HALLANDS LÄN</t>
        </is>
      </c>
      <c r="G271" t="inlineStr">
        <is>
          <t>HALMSTAD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46298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64231-2023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46298</v>
      </c>
      <c r="F273" t="inlineStr">
        <is>
          <t>HALLANDS LÄN</t>
        </is>
      </c>
      <c r="G273" t="inlineStr">
        <is>
          <t>HALMSTAD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46298</v>
      </c>
      <c r="F274" t="inlineStr">
        <is>
          <t>HALLANDS LÄN</t>
        </is>
      </c>
      <c r="G274" t="inlineStr">
        <is>
          <t>HALMSTAD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45856</v>
      </c>
      <c r="E275" s="1" t="n">
        <v>46298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46298</v>
      </c>
      <c r="F276" t="inlineStr">
        <is>
          <t>HALLANDS LÄN</t>
        </is>
      </c>
      <c r="G276" t="inlineStr">
        <is>
          <t>HALMSTAD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46298</v>
      </c>
      <c r="F277" t="inlineStr">
        <is>
          <t>HALLANDS LÄN</t>
        </is>
      </c>
      <c r="G277" t="inlineStr">
        <is>
          <t>HALMSTAD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46298</v>
      </c>
      <c r="F278" t="inlineStr">
        <is>
          <t>HALLANDS LÄN</t>
        </is>
      </c>
      <c r="G278" t="inlineStr">
        <is>
          <t>HALMSTAD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46298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58980-2024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46298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46298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46298</v>
      </c>
      <c r="F282" t="inlineStr">
        <is>
          <t>HALLANDS LÄN</t>
        </is>
      </c>
      <c r="G282" t="inlineStr">
        <is>
          <t>HALMSTAD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46298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46298</v>
      </c>
      <c r="F284" t="inlineStr">
        <is>
          <t>HALLANDS LÄN</t>
        </is>
      </c>
      <c r="G284" t="inlineStr">
        <is>
          <t>HALMSTAD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46298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46298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46298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45493</v>
      </c>
      <c r="E288" s="1" t="n">
        <v>46298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62766-2023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45268</v>
      </c>
      <c r="E289" s="1" t="n">
        <v>46298</v>
      </c>
      <c r="F289" t="inlineStr">
        <is>
          <t>HALLANDS LÄN</t>
        </is>
      </c>
      <c r="G289" t="inlineStr">
        <is>
          <t>HALMSTAD</t>
        </is>
      </c>
      <c r="H289" t="inlineStr">
        <is>
          <t>Sveaskog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45172</v>
      </c>
      <c r="E290" s="1" t="n">
        <v>46298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46298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46298</v>
      </c>
      <c r="F292" t="inlineStr">
        <is>
          <t>HALLANDS LÄN</t>
        </is>
      </c>
      <c r="G292" t="inlineStr">
        <is>
          <t>HALMSTAD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46298</v>
      </c>
      <c r="F293" t="inlineStr">
        <is>
          <t>HALLANDS LÄN</t>
        </is>
      </c>
      <c r="G293" t="inlineStr">
        <is>
          <t>HALMSTAD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46298</v>
      </c>
      <c r="F294" t="inlineStr">
        <is>
          <t>HALLANDS LÄN</t>
        </is>
      </c>
      <c r="G294" t="inlineStr">
        <is>
          <t>HALMSTAD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46298</v>
      </c>
      <c r="F295" t="inlineStr">
        <is>
          <t>HALLANDS LÄN</t>
        </is>
      </c>
      <c r="G295" t="inlineStr">
        <is>
          <t>HALMSTAD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45736</v>
      </c>
      <c r="E296" s="1" t="n">
        <v>46298</v>
      </c>
      <c r="F296" t="inlineStr">
        <is>
          <t>HALLANDS LÄN</t>
        </is>
      </c>
      <c r="G296" t="inlineStr">
        <is>
          <t>HALMSTAD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46298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46298</v>
      </c>
      <c r="F298" t="inlineStr">
        <is>
          <t>HALLANDS LÄN</t>
        </is>
      </c>
      <c r="G298" t="inlineStr">
        <is>
          <t>HALMSTAD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46298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46298</v>
      </c>
      <c r="F300" t="inlineStr">
        <is>
          <t>HALLANDS LÄN</t>
        </is>
      </c>
      <c r="G300" t="inlineStr">
        <is>
          <t>HALMSTAD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46298</v>
      </c>
      <c r="F301" t="inlineStr">
        <is>
          <t>HALLANDS LÄN</t>
        </is>
      </c>
      <c r="G301" t="inlineStr">
        <is>
          <t>HALMSTAD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46298</v>
      </c>
      <c r="F302" t="inlineStr">
        <is>
          <t>HALLANDS LÄN</t>
        </is>
      </c>
      <c r="G302" t="inlineStr">
        <is>
          <t>HALMSTAD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46298</v>
      </c>
      <c r="F303" t="inlineStr">
        <is>
          <t>HALLANDS LÄN</t>
        </is>
      </c>
      <c r="G303" t="inlineStr">
        <is>
          <t>HALMSTAD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46298</v>
      </c>
      <c r="F304" t="inlineStr">
        <is>
          <t>HALLANDS LÄN</t>
        </is>
      </c>
      <c r="G304" t="inlineStr">
        <is>
          <t>HALMSTAD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46298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46298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2438-2024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45311</v>
      </c>
      <c r="E307" s="1" t="n">
        <v>46298</v>
      </c>
      <c r="F307" t="inlineStr">
        <is>
          <t>HALLANDS LÄN</t>
        </is>
      </c>
      <c r="G307" t="inlineStr">
        <is>
          <t>HALMSTAD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46298</v>
      </c>
      <c r="F308" t="inlineStr">
        <is>
          <t>HALLANDS LÄN</t>
        </is>
      </c>
      <c r="G308" t="inlineStr">
        <is>
          <t>HALMSTAD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46298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46298</v>
      </c>
      <c r="F310" t="inlineStr">
        <is>
          <t>HALLANDS LÄN</t>
        </is>
      </c>
      <c r="G310" t="inlineStr">
        <is>
          <t>HALMSTAD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45050</v>
      </c>
      <c r="E311" s="1" t="n">
        <v>46298</v>
      </c>
      <c r="F311" t="inlineStr">
        <is>
          <t>HALLANDS LÄN</t>
        </is>
      </c>
      <c r="G311" t="inlineStr">
        <is>
          <t>HALMSTAD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46298</v>
      </c>
      <c r="F312" t="inlineStr">
        <is>
          <t>HALLANDS LÄN</t>
        </is>
      </c>
      <c r="G312" t="inlineStr">
        <is>
          <t>HALMSTAD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46298</v>
      </c>
      <c r="F313" t="inlineStr">
        <is>
          <t>HALLANDS LÄN</t>
        </is>
      </c>
      <c r="G313" t="inlineStr">
        <is>
          <t>HALMSTAD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46298</v>
      </c>
      <c r="F314" t="inlineStr">
        <is>
          <t>HALLANDS LÄN</t>
        </is>
      </c>
      <c r="G314" t="inlineStr">
        <is>
          <t>HALMSTAD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46298</v>
      </c>
      <c r="F315" t="inlineStr">
        <is>
          <t>HALLANDS LÄN</t>
        </is>
      </c>
      <c r="G315" t="inlineStr">
        <is>
          <t>HALMSTAD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46298</v>
      </c>
      <c r="F316" t="inlineStr">
        <is>
          <t>HALLANDS LÄN</t>
        </is>
      </c>
      <c r="G316" t="inlineStr">
        <is>
          <t>HALMSTAD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44621</v>
      </c>
      <c r="E317" s="1" t="n">
        <v>46298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46298</v>
      </c>
      <c r="F318" t="inlineStr">
        <is>
          <t>HALLANDS LÄN</t>
        </is>
      </c>
      <c r="G318" t="inlineStr">
        <is>
          <t>HALMSTAD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46298</v>
      </c>
      <c r="F319" t="inlineStr">
        <is>
          <t>HALLANDS LÄN</t>
        </is>
      </c>
      <c r="G319" t="inlineStr">
        <is>
          <t>HALMSTAD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46298</v>
      </c>
      <c r="F320" t="inlineStr">
        <is>
          <t>HALLANDS LÄN</t>
        </is>
      </c>
      <c r="G320" t="inlineStr">
        <is>
          <t>HALMSTAD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45797</v>
      </c>
      <c r="E321" s="1" t="n">
        <v>46298</v>
      </c>
      <c r="F321" t="inlineStr">
        <is>
          <t>HALLANDS LÄN</t>
        </is>
      </c>
      <c r="G321" t="inlineStr">
        <is>
          <t>HALMSTAD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20414-2022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44699</v>
      </c>
      <c r="E322" s="1" t="n">
        <v>46298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45068</v>
      </c>
      <c r="E323" s="1" t="n">
        <v>46298</v>
      </c>
      <c r="F323" t="inlineStr">
        <is>
          <t>HALLANDS LÄN</t>
        </is>
      </c>
      <c r="G323" t="inlineStr">
        <is>
          <t>HALMSTAD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45581</v>
      </c>
      <c r="E324" s="1" t="n">
        <v>46298</v>
      </c>
      <c r="F324" t="inlineStr">
        <is>
          <t>HALLANDS LÄN</t>
        </is>
      </c>
      <c r="G324" t="inlineStr">
        <is>
          <t>HALMSTAD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45579</v>
      </c>
      <c r="E325" s="1" t="n">
        <v>46298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44712</v>
      </c>
      <c r="E326" s="1" t="n">
        <v>46298</v>
      </c>
      <c r="F326" t="inlineStr">
        <is>
          <t>HALLANDS LÄN</t>
        </is>
      </c>
      <c r="G326" t="inlineStr">
        <is>
          <t>HALMSTAD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46298</v>
      </c>
      <c r="F327" t="inlineStr">
        <is>
          <t>HALLANDS LÄN</t>
        </is>
      </c>
      <c r="G327" t="inlineStr">
        <is>
          <t>HALMSTAD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46298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46298</v>
      </c>
      <c r="F329" t="inlineStr">
        <is>
          <t>HALLANDS LÄN</t>
        </is>
      </c>
      <c r="G329" t="inlineStr">
        <is>
          <t>HALMSTAD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46298</v>
      </c>
      <c r="F330" t="inlineStr">
        <is>
          <t>HALLANDS LÄN</t>
        </is>
      </c>
      <c r="G330" t="inlineStr">
        <is>
          <t>HALMSTAD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46298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46298</v>
      </c>
      <c r="F332" t="inlineStr">
        <is>
          <t>HALLANDS LÄN</t>
        </is>
      </c>
      <c r="G332" t="inlineStr">
        <is>
          <t>HALMSTAD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44628</v>
      </c>
      <c r="E333" s="1" t="n">
        <v>46298</v>
      </c>
      <c r="F333" t="inlineStr">
        <is>
          <t>HALLANDS LÄN</t>
        </is>
      </c>
      <c r="G333" t="inlineStr">
        <is>
          <t>HALMSTAD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53873-2022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46298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46298</v>
      </c>
      <c r="F335" t="inlineStr">
        <is>
          <t>HALLANDS LÄN</t>
        </is>
      </c>
      <c r="G335" t="inlineStr">
        <is>
          <t>HALMSTAD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46298</v>
      </c>
      <c r="F336" t="inlineStr">
        <is>
          <t>HALLANDS LÄN</t>
        </is>
      </c>
      <c r="G336" t="inlineStr">
        <is>
          <t>HALMSTAD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59254-2022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46298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46298</v>
      </c>
      <c r="F338" t="inlineStr">
        <is>
          <t>HALLANDS LÄN</t>
        </is>
      </c>
      <c r="G338" t="inlineStr">
        <is>
          <t>HALMSTAD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46298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46298</v>
      </c>
      <c r="F340" t="inlineStr">
        <is>
          <t>HALLANDS LÄN</t>
        </is>
      </c>
      <c r="G340" t="inlineStr">
        <is>
          <t>HALMSTAD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74038-2021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44557</v>
      </c>
      <c r="E341" s="1" t="n">
        <v>46298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46298</v>
      </c>
      <c r="F342" t="inlineStr">
        <is>
          <t>HALLANDS LÄN</t>
        </is>
      </c>
      <c r="G342" t="inlineStr">
        <is>
          <t>HALMSTAD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46298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46298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46298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46298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45476</v>
      </c>
      <c r="E347" s="1" t="n">
        <v>46298</v>
      </c>
      <c r="F347" t="inlineStr">
        <is>
          <t>HALLANDS LÄN</t>
        </is>
      </c>
      <c r="G347" t="inlineStr">
        <is>
          <t>HALMSTAD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45476</v>
      </c>
      <c r="E348" s="1" t="n">
        <v>46298</v>
      </c>
      <c r="F348" t="inlineStr">
        <is>
          <t>HALLANDS LÄN</t>
        </is>
      </c>
      <c r="G348" t="inlineStr">
        <is>
          <t>HALMSTAD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46298</v>
      </c>
      <c r="F349" t="inlineStr">
        <is>
          <t>HALLANDS LÄN</t>
        </is>
      </c>
      <c r="G349" t="inlineStr">
        <is>
          <t>HALMSTAD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46298</v>
      </c>
      <c r="F350" t="inlineStr">
        <is>
          <t>HALLANDS LÄN</t>
        </is>
      </c>
      <c r="G350" t="inlineStr">
        <is>
          <t>HALMSTAD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46298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46298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46298</v>
      </c>
      <c r="F353" t="inlineStr">
        <is>
          <t>HALLANDS LÄN</t>
        </is>
      </c>
      <c r="G353" t="inlineStr">
        <is>
          <t>HALMSTAD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46298</v>
      </c>
      <c r="F354" t="inlineStr">
        <is>
          <t>HALLANDS LÄN</t>
        </is>
      </c>
      <c r="G354" t="inlineStr">
        <is>
          <t>HALMSTAD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46298</v>
      </c>
      <c r="F355" t="inlineStr">
        <is>
          <t>HALLANDS LÄN</t>
        </is>
      </c>
      <c r="G355" t="inlineStr">
        <is>
          <t>HALMSTAD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50791-2023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45217</v>
      </c>
      <c r="E356" s="1" t="n">
        <v>46298</v>
      </c>
      <c r="F356" t="inlineStr">
        <is>
          <t>HALLANDS LÄN</t>
        </is>
      </c>
      <c r="G356" t="inlineStr">
        <is>
          <t>HALMSTAD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45348</v>
      </c>
      <c r="E357" s="1" t="n">
        <v>46298</v>
      </c>
      <c r="F357" t="inlineStr">
        <is>
          <t>HALLANDS LÄN</t>
        </is>
      </c>
      <c r="G357" t="inlineStr">
        <is>
          <t>HALMSTAD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45699</v>
      </c>
      <c r="E358" s="1" t="n">
        <v>46298</v>
      </c>
      <c r="F358" t="inlineStr">
        <is>
          <t>HALLANDS LÄN</t>
        </is>
      </c>
      <c r="G358" t="inlineStr">
        <is>
          <t>HALMSTAD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46173</v>
      </c>
      <c r="E359" s="1" t="n">
        <v>46298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46298</v>
      </c>
      <c r="F360" t="inlineStr">
        <is>
          <t>HALLANDS LÄN</t>
        </is>
      </c>
      <c r="G360" t="inlineStr">
        <is>
          <t>HALMSTAD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46298</v>
      </c>
      <c r="F361" t="inlineStr">
        <is>
          <t>HALLANDS LÄN</t>
        </is>
      </c>
      <c r="G361" t="inlineStr">
        <is>
          <t>HALMSTAD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45323</v>
      </c>
      <c r="E362" s="1" t="n">
        <v>46298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46298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46298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66311-2021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44518</v>
      </c>
      <c r="E365" s="1" t="n">
        <v>46298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66730-2021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44520</v>
      </c>
      <c r="E366" s="1" t="n">
        <v>46298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45117</v>
      </c>
      <c r="E367" s="1" t="n">
        <v>46298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46298</v>
      </c>
      <c r="F368" t="inlineStr">
        <is>
          <t>HALLANDS LÄN</t>
        </is>
      </c>
      <c r="G368" t="inlineStr">
        <is>
          <t>HALMSTAD</t>
        </is>
      </c>
      <c r="I368" t="n">
        <v>17.8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46298</v>
      </c>
      <c r="F369" t="inlineStr">
        <is>
          <t>HALLANDS LÄN</t>
        </is>
      </c>
      <c r="G369" t="inlineStr">
        <is>
          <t>HALMSTAD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46298</v>
      </c>
      <c r="F370" t="inlineStr">
        <is>
          <t>HALLANDS LÄN</t>
        </is>
      </c>
      <c r="G370" t="inlineStr">
        <is>
          <t>HALMSTAD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46298</v>
      </c>
      <c r="F371" t="inlineStr">
        <is>
          <t>HALLANDS LÄN</t>
        </is>
      </c>
      <c r="G371" t="inlineStr">
        <is>
          <t>HALMSTAD</t>
        </is>
      </c>
      <c r="I371" t="n">
        <v>12.6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46298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46178</v>
      </c>
      <c r="E373" s="1" t="n">
        <v>46298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46298</v>
      </c>
      <c r="F374" t="inlineStr">
        <is>
          <t>HALLANDS LÄN</t>
        </is>
      </c>
      <c r="G374" t="inlineStr">
        <is>
          <t>HALMSTAD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44610</v>
      </c>
      <c r="E375" s="1" t="n">
        <v>46298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26335-2026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46298</v>
      </c>
      <c r="F376" t="inlineStr">
        <is>
          <t>HALLANDS LÄN</t>
        </is>
      </c>
      <c r="G376" t="inlineStr">
        <is>
          <t>HALMSTAD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44753</v>
      </c>
      <c r="E377" s="1" t="n">
        <v>46298</v>
      </c>
      <c r="F377" t="inlineStr">
        <is>
          <t>HALLANDS LÄN</t>
        </is>
      </c>
      <c r="G377" t="inlineStr">
        <is>
          <t>HALMSTAD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46298</v>
      </c>
      <c r="F378" t="inlineStr">
        <is>
          <t>HALLANDS LÄN</t>
        </is>
      </c>
      <c r="G378" t="inlineStr">
        <is>
          <t>HALMSTAD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46298</v>
      </c>
      <c r="F379" t="inlineStr">
        <is>
          <t>HALLANDS LÄN</t>
        </is>
      </c>
      <c r="G379" t="inlineStr">
        <is>
          <t>HALMSTAD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46298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44959</v>
      </c>
      <c r="E381" s="1" t="n">
        <v>46298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46298</v>
      </c>
      <c r="F382" t="inlineStr">
        <is>
          <t>HALLANDS LÄN</t>
        </is>
      </c>
      <c r="G382" t="inlineStr">
        <is>
          <t>HALMSTAD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46298</v>
      </c>
      <c r="F383" t="inlineStr">
        <is>
          <t>HALLANDS LÄN</t>
        </is>
      </c>
      <c r="G383" t="inlineStr">
        <is>
          <t>HALMSTAD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46298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46298</v>
      </c>
      <c r="F385" t="inlineStr">
        <is>
          <t>HALLANDS LÄN</t>
        </is>
      </c>
      <c r="G385" t="inlineStr">
        <is>
          <t>HALMSTAD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46298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46298</v>
      </c>
      <c r="F387" t="inlineStr">
        <is>
          <t>HALLANDS LÄN</t>
        </is>
      </c>
      <c r="G387" t="inlineStr">
        <is>
          <t>HALMSTAD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46298</v>
      </c>
      <c r="F388" t="inlineStr">
        <is>
          <t>HALLANDS LÄN</t>
        </is>
      </c>
      <c r="G388" t="inlineStr">
        <is>
          <t>HALMSTAD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46298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46298</v>
      </c>
      <c r="F390" t="inlineStr">
        <is>
          <t>HALLANDS LÄN</t>
        </is>
      </c>
      <c r="G390" t="inlineStr">
        <is>
          <t>HALMSTAD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46298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46298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46298</v>
      </c>
      <c r="F393" t="inlineStr">
        <is>
          <t>HALLANDS LÄN</t>
        </is>
      </c>
      <c r="G393" t="inlineStr">
        <is>
          <t>HALMSTAD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46298</v>
      </c>
      <c r="F394" t="inlineStr">
        <is>
          <t>HALLANDS LÄN</t>
        </is>
      </c>
      <c r="G394" t="inlineStr">
        <is>
          <t>HALMSTAD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46298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44802</v>
      </c>
      <c r="E396" s="1" t="n">
        <v>46298</v>
      </c>
      <c r="F396" t="inlineStr">
        <is>
          <t>HALLANDS LÄN</t>
        </is>
      </c>
      <c r="G396" t="inlineStr">
        <is>
          <t>HALMSTAD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46298</v>
      </c>
      <c r="F397" t="inlineStr">
        <is>
          <t>HALLANDS LÄN</t>
        </is>
      </c>
      <c r="G397" t="inlineStr">
        <is>
          <t>HALMSTAD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46298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46298</v>
      </c>
      <c r="F399" t="inlineStr">
        <is>
          <t>HALLANDS LÄN</t>
        </is>
      </c>
      <c r="G399" t="inlineStr">
        <is>
          <t>HALMSTAD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46298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61757-2022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46298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46298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46298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46298</v>
      </c>
      <c r="F404" t="inlineStr">
        <is>
          <t>HALLANDS LÄN</t>
        </is>
      </c>
      <c r="G404" t="inlineStr">
        <is>
          <t>HALMSTAD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46298</v>
      </c>
      <c r="F405" t="inlineStr">
        <is>
          <t>HALLANDS LÄN</t>
        </is>
      </c>
      <c r="G405" t="inlineStr">
        <is>
          <t>HALMSTAD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46298</v>
      </c>
      <c r="F406" t="inlineStr">
        <is>
          <t>HALLANDS LÄN</t>
        </is>
      </c>
      <c r="G406" t="inlineStr">
        <is>
          <t>HALMSTAD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44852</v>
      </c>
      <c r="E407" s="1" t="n">
        <v>46298</v>
      </c>
      <c r="F407" t="inlineStr">
        <is>
          <t>HALLANDS LÄN</t>
        </is>
      </c>
      <c r="G407" t="inlineStr">
        <is>
          <t>HALMSTAD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45170</v>
      </c>
      <c r="E408" s="1" t="n">
        <v>46298</v>
      </c>
      <c r="F408" t="inlineStr">
        <is>
          <t>HALLANDS LÄN</t>
        </is>
      </c>
      <c r="G408" t="inlineStr">
        <is>
          <t>HALMSTAD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45485</v>
      </c>
      <c r="E409" s="1" t="n">
        <v>46298</v>
      </c>
      <c r="F409" t="inlineStr">
        <is>
          <t>HALLANDS LÄN</t>
        </is>
      </c>
      <c r="G409" t="inlineStr">
        <is>
          <t>HALMSTAD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46298</v>
      </c>
      <c r="F410" t="inlineStr">
        <is>
          <t>HALLANDS LÄN</t>
        </is>
      </c>
      <c r="G410" t="inlineStr">
        <is>
          <t>HALMSTAD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46298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46298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46298</v>
      </c>
      <c r="F413" t="inlineStr">
        <is>
          <t>HALLANDS LÄN</t>
        </is>
      </c>
      <c r="G413" t="inlineStr">
        <is>
          <t>HALMSTAD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46298</v>
      </c>
      <c r="F414" t="inlineStr">
        <is>
          <t>HALLANDS LÄN</t>
        </is>
      </c>
      <c r="G414" t="inlineStr">
        <is>
          <t>HALMSTAD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46298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46298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44775</v>
      </c>
      <c r="E417" s="1" t="n">
        <v>46298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46298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46210</v>
      </c>
      <c r="E419" s="1" t="n">
        <v>46298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46298</v>
      </c>
      <c r="F420" t="inlineStr">
        <is>
          <t>HALLANDS LÄN</t>
        </is>
      </c>
      <c r="G420" t="inlineStr">
        <is>
          <t>HALMSTAD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46210</v>
      </c>
      <c r="E421" s="1" t="n">
        <v>46298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46298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60323-2022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46298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44571</v>
      </c>
      <c r="E424" s="1" t="n">
        <v>46298</v>
      </c>
      <c r="F424" t="inlineStr">
        <is>
          <t>HALLANDS LÄN</t>
        </is>
      </c>
      <c r="G424" t="inlineStr">
        <is>
          <t>HALMSTAD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46298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46298</v>
      </c>
      <c r="F426" t="inlineStr">
        <is>
          <t>HALLANDS LÄN</t>
        </is>
      </c>
      <c r="G426" t="inlineStr">
        <is>
          <t>HALMSTAD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46298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46298</v>
      </c>
      <c r="F428" t="inlineStr">
        <is>
          <t>HALLANDS LÄN</t>
        </is>
      </c>
      <c r="G428" t="inlineStr">
        <is>
          <t>HALMSTAD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46298</v>
      </c>
      <c r="F429" t="inlineStr">
        <is>
          <t>HALLANDS LÄN</t>
        </is>
      </c>
      <c r="G429" t="inlineStr">
        <is>
          <t>HALMSTAD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46298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46298</v>
      </c>
      <c r="F431" t="inlineStr">
        <is>
          <t>HALLANDS LÄN</t>
        </is>
      </c>
      <c r="G431" t="inlineStr">
        <is>
          <t>HALMSTAD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46298</v>
      </c>
      <c r="F432" t="inlineStr">
        <is>
          <t>HALLANDS LÄN</t>
        </is>
      </c>
      <c r="G432" t="inlineStr">
        <is>
          <t>HALMSTAD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46298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46298</v>
      </c>
      <c r="F434" t="inlineStr">
        <is>
          <t>HALLANDS LÄN</t>
        </is>
      </c>
      <c r="G434" t="inlineStr">
        <is>
          <t>HALMSTAD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46298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51190-2022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46298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44938</v>
      </c>
      <c r="E437" s="1" t="n">
        <v>46298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46298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13594-2023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45006</v>
      </c>
      <c r="E439" s="1" t="n">
        <v>46298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45660</v>
      </c>
      <c r="E440" s="1" t="n">
        <v>46298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46298</v>
      </c>
      <c r="F441" t="inlineStr">
        <is>
          <t>HALLANDS LÄN</t>
        </is>
      </c>
      <c r="G441" t="inlineStr">
        <is>
          <t>HALMSTAD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46298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45321</v>
      </c>
      <c r="E443" s="1" t="n">
        <v>46298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46298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46298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46298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46298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46298</v>
      </c>
      <c r="F448" t="inlineStr">
        <is>
          <t>HALLANDS LÄN</t>
        </is>
      </c>
      <c r="G448" t="inlineStr">
        <is>
          <t>HALMSTAD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46298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46298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46298</v>
      </c>
      <c r="F451" t="inlineStr">
        <is>
          <t>HALLANDS LÄN</t>
        </is>
      </c>
      <c r="G451" t="inlineStr">
        <is>
          <t>HALMSTAD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46298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46298</v>
      </c>
      <c r="F453" t="inlineStr">
        <is>
          <t>HALLANDS LÄN</t>
        </is>
      </c>
      <c r="G453" t="inlineStr">
        <is>
          <t>HALMSTAD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46298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46298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57021-2021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46298</v>
      </c>
      <c r="F456" t="inlineStr">
        <is>
          <t>HALLANDS LÄN</t>
        </is>
      </c>
      <c r="G456" t="inlineStr">
        <is>
          <t>HALMSTAD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12890-2022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44642</v>
      </c>
      <c r="E457" s="1" t="n">
        <v>46298</v>
      </c>
      <c r="F457" t="inlineStr">
        <is>
          <t>HALLANDS LÄN</t>
        </is>
      </c>
      <c r="G457" t="inlineStr">
        <is>
          <t>HALMSTAD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23772-2022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44722</v>
      </c>
      <c r="E458" s="1" t="n">
        <v>46298</v>
      </c>
      <c r="F458" t="inlineStr">
        <is>
          <t>HALLANDS LÄN</t>
        </is>
      </c>
      <c r="G458" t="inlineStr">
        <is>
          <t>HALMSTAD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70720-2021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44537</v>
      </c>
      <c r="E459" s="1" t="n">
        <v>46298</v>
      </c>
      <c r="F459" t="inlineStr">
        <is>
          <t>HALLANDS LÄN</t>
        </is>
      </c>
      <c r="G459" t="inlineStr">
        <is>
          <t>HALMSTAD</t>
        </is>
      </c>
      <c r="H459" t="inlineStr">
        <is>
          <t>Kyrkan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46298</v>
      </c>
      <c r="F460" t="inlineStr">
        <is>
          <t>HALLANDS LÄN</t>
        </is>
      </c>
      <c r="G460" t="inlineStr">
        <is>
          <t>HALMSTAD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45230</v>
      </c>
      <c r="E461" s="1" t="n">
        <v>46298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45239</v>
      </c>
      <c r="E462" s="1" t="n">
        <v>46298</v>
      </c>
      <c r="F462" t="inlineStr">
        <is>
          <t>HALLANDS LÄN</t>
        </is>
      </c>
      <c r="G462" t="inlineStr">
        <is>
          <t>HALMSTAD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46298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45589</v>
      </c>
      <c r="E464" s="1" t="n">
        <v>46298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44806</v>
      </c>
      <c r="E465" s="1" t="n">
        <v>46298</v>
      </c>
      <c r="F465" t="inlineStr">
        <is>
          <t>HALLANDS LÄN</t>
        </is>
      </c>
      <c r="G465" t="inlineStr">
        <is>
          <t>HALMSTAD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46298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46298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46298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57031-2021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44482</v>
      </c>
      <c r="E469" s="1" t="n">
        <v>46298</v>
      </c>
      <c r="F469" t="inlineStr">
        <is>
          <t>HALLANDS LÄN</t>
        </is>
      </c>
      <c r="G469" t="inlineStr">
        <is>
          <t>HALMSTAD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46298</v>
      </c>
      <c r="F470" t="inlineStr">
        <is>
          <t>HALLANDS LÄN</t>
        </is>
      </c>
      <c r="G470" t="inlineStr">
        <is>
          <t>HALMSTAD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44922</v>
      </c>
      <c r="E471" s="1" t="n">
        <v>46298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46298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46298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39303-2026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46288</v>
      </c>
      <c r="E474" s="1" t="n">
        <v>46298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35185-2026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46298</v>
      </c>
      <c r="F475" t="inlineStr">
        <is>
          <t>HALLANDS LÄN</t>
        </is>
      </c>
      <c r="G475" t="inlineStr">
        <is>
          <t>HALMSTAD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46298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46298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46276</v>
      </c>
      <c r="E478" s="1" t="n">
        <v>46298</v>
      </c>
      <c r="F478" t="inlineStr">
        <is>
          <t>HALLANDS LÄN</t>
        </is>
      </c>
      <c r="G478" t="inlineStr">
        <is>
          <t>HALMSTAD</t>
        </is>
      </c>
      <c r="I478" t="n">
        <v>13.4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44713</v>
      </c>
      <c r="E479" s="1" t="n">
        <v>46298</v>
      </c>
      <c r="F479" t="inlineStr">
        <is>
          <t>HALLANDS LÄN</t>
        </is>
      </c>
      <c r="G479" t="inlineStr">
        <is>
          <t>HALMSTAD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46298</v>
      </c>
      <c r="F480" t="inlineStr">
        <is>
          <t>HALLANDS LÄN</t>
        </is>
      </c>
      <c r="G480" t="inlineStr">
        <is>
          <t>HALMSTAD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46298</v>
      </c>
      <c r="F481" t="inlineStr">
        <is>
          <t>HALLANDS LÄN</t>
        </is>
      </c>
      <c r="G481" t="inlineStr">
        <is>
          <t>HALMSTAD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46298</v>
      </c>
      <c r="F482" t="inlineStr">
        <is>
          <t>HALLANDS LÄN</t>
        </is>
      </c>
      <c r="G482" t="inlineStr">
        <is>
          <t>HALMSTAD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46298</v>
      </c>
      <c r="F483" t="inlineStr">
        <is>
          <t>HALLANDS LÄN</t>
        </is>
      </c>
      <c r="G483" t="inlineStr">
        <is>
          <t>HALMSTAD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46298</v>
      </c>
      <c r="F484" t="inlineStr">
        <is>
          <t>HALLANDS LÄN</t>
        </is>
      </c>
      <c r="G484" t="inlineStr">
        <is>
          <t>HALMSTAD</t>
        </is>
      </c>
      <c r="H484" t="inlineStr">
        <is>
          <t>Bergvik skog väst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46298</v>
      </c>
      <c r="F485" t="inlineStr">
        <is>
          <t>HALLANDS LÄN</t>
        </is>
      </c>
      <c r="G485" t="inlineStr">
        <is>
          <t>HALMSTAD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46027</v>
      </c>
      <c r="E486" s="1" t="n">
        <v>46298</v>
      </c>
      <c r="F486" t="inlineStr">
        <is>
          <t>HALLANDS LÄN</t>
        </is>
      </c>
      <c r="G486" t="inlineStr">
        <is>
          <t>HALMSTAD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46298</v>
      </c>
      <c r="F487" t="inlineStr">
        <is>
          <t>HALLANDS LÄN</t>
        </is>
      </c>
      <c r="G487" t="inlineStr">
        <is>
          <t>HALMSTAD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46298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45203</v>
      </c>
      <c r="E489" s="1" t="n">
        <v>46298</v>
      </c>
      <c r="F489" t="inlineStr">
        <is>
          <t>HALLANDS LÄN</t>
        </is>
      </c>
      <c r="G489" t="inlineStr">
        <is>
          <t>HALMSTAD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46298</v>
      </c>
      <c r="F490" t="inlineStr">
        <is>
          <t>HALLANDS LÄN</t>
        </is>
      </c>
      <c r="G490" t="inlineStr">
        <is>
          <t>HALMSTAD</t>
        </is>
      </c>
      <c r="H490" t="inlineStr">
        <is>
          <t>Kommuner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46296</v>
      </c>
      <c r="E491" s="1" t="n">
        <v>46298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46253</v>
      </c>
      <c r="E492" s="1" t="n">
        <v>46298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46298</v>
      </c>
      <c r="F493" t="inlineStr">
        <is>
          <t>HALLANDS LÄN</t>
        </is>
      </c>
      <c r="G493" t="inlineStr">
        <is>
          <t>HALMSTAD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46298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46298</v>
      </c>
      <c r="F495" t="inlineStr">
        <is>
          <t>HALLANDS LÄN</t>
        </is>
      </c>
      <c r="G495" t="inlineStr">
        <is>
          <t>HALMSTAD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46298</v>
      </c>
      <c r="F496" t="inlineStr">
        <is>
          <t>HALLANDS LÄN</t>
        </is>
      </c>
      <c r="G496" t="inlineStr">
        <is>
          <t>HALMSTAD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58080-2024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46298</v>
      </c>
      <c r="F497" t="inlineStr">
        <is>
          <t>HALLANDS LÄN</t>
        </is>
      </c>
      <c r="G497" t="inlineStr">
        <is>
          <t>HALMSTAD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45238</v>
      </c>
      <c r="E498" s="1" t="n">
        <v>46298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46298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44827</v>
      </c>
      <c r="E500" s="1" t="n">
        <v>46298</v>
      </c>
      <c r="F500" t="inlineStr">
        <is>
          <t>HALLANDS LÄN</t>
        </is>
      </c>
      <c r="G500" t="inlineStr">
        <is>
          <t>HALMSTAD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46298</v>
      </c>
      <c r="F501" t="inlineStr">
        <is>
          <t>HALLANDS LÄN</t>
        </is>
      </c>
      <c r="G501" t="inlineStr">
        <is>
          <t>HALMSTAD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46298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44974</v>
      </c>
      <c r="E503" s="1" t="n">
        <v>46298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45450</v>
      </c>
      <c r="E504" s="1" t="n">
        <v>46298</v>
      </c>
      <c r="F504" t="inlineStr">
        <is>
          <t>HALLANDS LÄN</t>
        </is>
      </c>
      <c r="G504" t="inlineStr">
        <is>
          <t>HALMSTAD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46298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45306</v>
      </c>
      <c r="E506" s="1" t="n">
        <v>46298</v>
      </c>
      <c r="F506" t="inlineStr">
        <is>
          <t>HALLANDS LÄN</t>
        </is>
      </c>
      <c r="G506" t="inlineStr">
        <is>
          <t>HALMSTAD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46298</v>
      </c>
      <c r="F507" t="inlineStr">
        <is>
          <t>HALLANDS LÄN</t>
        </is>
      </c>
      <c r="G507" t="inlineStr">
        <is>
          <t>HALMSTAD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46298</v>
      </c>
      <c r="F508" t="inlineStr">
        <is>
          <t>HALLANDS LÄN</t>
        </is>
      </c>
      <c r="G508" t="inlineStr">
        <is>
          <t>HALMSTAD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46298</v>
      </c>
      <c r="F509" t="inlineStr">
        <is>
          <t>HALLANDS LÄN</t>
        </is>
      </c>
      <c r="G509" t="inlineStr">
        <is>
          <t>HALMSTAD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12634-2025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46298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44775</v>
      </c>
      <c r="E511" s="1" t="n">
        <v>46298</v>
      </c>
      <c r="F511" t="inlineStr">
        <is>
          <t>HALLANDS LÄN</t>
        </is>
      </c>
      <c r="G511" t="inlineStr">
        <is>
          <t>HALMSTAD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46298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46298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46298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45229</v>
      </c>
      <c r="E515" s="1" t="n">
        <v>46298</v>
      </c>
      <c r="F515" t="inlineStr">
        <is>
          <t>HALLANDS LÄN</t>
        </is>
      </c>
      <c r="G515" t="inlineStr">
        <is>
          <t>HALMSTAD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55006-2022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44886</v>
      </c>
      <c r="E516" s="1" t="n">
        <v>46298</v>
      </c>
      <c r="F516" t="inlineStr">
        <is>
          <t>HALLANDS LÄN</t>
        </is>
      </c>
      <c r="G516" t="inlineStr">
        <is>
          <t>HALMSTAD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45712</v>
      </c>
      <c r="E517" s="1" t="n">
        <v>46298</v>
      </c>
      <c r="F517" t="inlineStr">
        <is>
          <t>HALLANDS LÄN</t>
        </is>
      </c>
      <c r="G517" t="inlineStr">
        <is>
          <t>HALMSTAD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46298</v>
      </c>
      <c r="F518" t="inlineStr">
        <is>
          <t>HALLANDS LÄN</t>
        </is>
      </c>
      <c r="G518" t="inlineStr">
        <is>
          <t>HALMSTAD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46298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46298</v>
      </c>
      <c r="F520" t="inlineStr">
        <is>
          <t>HALLANDS LÄN</t>
        </is>
      </c>
      <c r="G520" t="inlineStr">
        <is>
          <t>HALMSTAD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46298</v>
      </c>
      <c r="F521" t="inlineStr">
        <is>
          <t>HALLANDS LÄN</t>
        </is>
      </c>
      <c r="G521" t="inlineStr">
        <is>
          <t>HALMSTAD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2307-2020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44132</v>
      </c>
      <c r="E522" s="1" t="n">
        <v>46298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46298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46298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46298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46298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3049-2024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45516</v>
      </c>
      <c r="E527" s="1" t="n">
        <v>46298</v>
      </c>
      <c r="F527" t="inlineStr">
        <is>
          <t>HALLANDS LÄN</t>
        </is>
      </c>
      <c r="G527" t="inlineStr">
        <is>
          <t>HALMSTAD</t>
        </is>
      </c>
      <c r="I527" t="n">
        <v>13.9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46298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46298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46298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46298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46298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46298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46298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2118-2026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46244</v>
      </c>
      <c r="E535" s="1" t="n">
        <v>46298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2026-10-03T02:00:01Z</dcterms:created>
  <dcterms:modified xmlns:dcterms="http://purl.org/dc/terms/" xmlns:xsi="http://www.w3.org/2001/XMLSchema-instance" xsi:type="dcterms:W3CDTF">2026-10-03T02:00:01Z</dcterms:modified>
</cp:coreProperties>
</file>